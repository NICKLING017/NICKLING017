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24226"/>
  <xr:revisionPtr revIDLastSave="0" documentId="13_ncr:1_{35484F8D-6B84-4DF7-B5C3-E3D9A74214CA}" xr6:coauthVersionLast="47" xr6:coauthVersionMax="47" xr10:uidLastSave="{00000000-0000-0000-0000-000000000000}"/>
  <bookViews>
    <workbookView xWindow="-120" yWindow="-120" windowWidth="29040" windowHeight="15840" tabRatio="899" activeTab="3" xr2:uid="{00000000-000D-0000-FFFF-FFFF00000000}"/>
  </bookViews>
  <sheets>
    <sheet name="节奏总纲" sheetId="1" r:id="rId1"/>
    <sheet name="其他调用" sheetId="18" r:id="rId2"/>
    <sheet name="基础信息" sheetId="12" r:id="rId3"/>
    <sheet name="门客升级" sheetId="13" r:id="rId4"/>
    <sheet name="门客进修" sheetId="14" r:id="rId5"/>
    <sheet name="属性汇总新" sheetId="15" r:id="rId6"/>
    <sheet name="基础投放" sheetId="8" r:id="rId7"/>
    <sheet name="寻访" sheetId="11" r:id="rId8"/>
    <sheet name="六艺&amp;奇遇" sheetId="19" r:id="rId9"/>
    <sheet name="付费投放" sheetId="17" r:id="rId10"/>
    <sheet name="门客经验" sheetId="16" r:id="rId11"/>
    <sheet name="门客产销" sheetId="10" r:id="rId12"/>
    <sheet name="门客效用&amp;特技行动力" sheetId="6" r:id="rId13"/>
    <sheet name="门客实力" sheetId="20" r:id="rId14"/>
    <sheet name="基础状态预估" sheetId="2" r:id="rId15"/>
    <sheet name="门客属性" sheetId="3" r:id="rId16"/>
    <sheet name="门客等级" sheetId="5" r:id="rId17"/>
    <sheet name="属性汇总" sheetId="7" r:id="rId18"/>
    <sheet name="门客获得情况预估" sheetId="4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1" l="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5" i="11"/>
  <c r="N6" i="11"/>
  <c r="O6" i="11"/>
  <c r="P6" i="11"/>
  <c r="Q6" i="11"/>
  <c r="R6" i="11"/>
  <c r="N7" i="11"/>
  <c r="O7" i="11"/>
  <c r="P7" i="11"/>
  <c r="Q7" i="11"/>
  <c r="R7" i="11"/>
  <c r="N8" i="11"/>
  <c r="O8" i="11"/>
  <c r="P8" i="11"/>
  <c r="Q8" i="11"/>
  <c r="R8" i="11"/>
  <c r="N9" i="11"/>
  <c r="O9" i="11"/>
  <c r="P9" i="11"/>
  <c r="Q9" i="11"/>
  <c r="R9" i="11"/>
  <c r="N10" i="11"/>
  <c r="O10" i="11"/>
  <c r="P10" i="11"/>
  <c r="Q10" i="11"/>
  <c r="R10" i="11"/>
  <c r="N11" i="11"/>
  <c r="O11" i="11"/>
  <c r="P11" i="11"/>
  <c r="Q11" i="11"/>
  <c r="R11" i="11"/>
  <c r="N12" i="11"/>
  <c r="O12" i="11"/>
  <c r="P12" i="11"/>
  <c r="Q12" i="11"/>
  <c r="R12" i="11"/>
  <c r="N13" i="11"/>
  <c r="O13" i="11"/>
  <c r="P13" i="11"/>
  <c r="Q13" i="11"/>
  <c r="R13" i="11"/>
  <c r="N14" i="11"/>
  <c r="O14" i="11"/>
  <c r="P14" i="11"/>
  <c r="Q14" i="11"/>
  <c r="R14" i="11"/>
  <c r="N15" i="11"/>
  <c r="O15" i="11"/>
  <c r="P15" i="11"/>
  <c r="Q15" i="11"/>
  <c r="R15" i="11"/>
  <c r="N16" i="11"/>
  <c r="O16" i="11"/>
  <c r="P16" i="11"/>
  <c r="Q16" i="11"/>
  <c r="R16" i="11"/>
  <c r="N17" i="11"/>
  <c r="O17" i="11"/>
  <c r="P17" i="11"/>
  <c r="Q17" i="11"/>
  <c r="R17" i="11"/>
  <c r="N18" i="11"/>
  <c r="O18" i="11"/>
  <c r="P18" i="11"/>
  <c r="Q18" i="11"/>
  <c r="R18" i="11"/>
  <c r="N19" i="11"/>
  <c r="O19" i="11"/>
  <c r="P19" i="11"/>
  <c r="Q19" i="11"/>
  <c r="R19" i="11"/>
  <c r="N20" i="11"/>
  <c r="O20" i="11"/>
  <c r="P20" i="11"/>
  <c r="Q20" i="11"/>
  <c r="R20" i="11"/>
  <c r="O5" i="11"/>
  <c r="P5" i="11"/>
  <c r="Q5" i="11"/>
  <c r="R5" i="11"/>
  <c r="N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5" i="11"/>
  <c r="I6" i="10"/>
  <c r="G8" i="10"/>
  <c r="J9" i="10"/>
  <c r="H11" i="10"/>
  <c r="K12" i="10"/>
  <c r="I14" i="10"/>
  <c r="G16" i="10"/>
  <c r="J17" i="10"/>
  <c r="H19" i="10"/>
  <c r="K20" i="10"/>
  <c r="G12" i="10"/>
  <c r="I18" i="10"/>
  <c r="J10" i="10"/>
  <c r="K13" i="10"/>
  <c r="H20" i="10"/>
  <c r="K10" i="10"/>
  <c r="H17" i="10"/>
  <c r="I20" i="10"/>
  <c r="G11" i="10"/>
  <c r="K15" i="10"/>
  <c r="J6" i="10"/>
  <c r="H8" i="10"/>
  <c r="K9" i="10"/>
  <c r="I11" i="10"/>
  <c r="G13" i="10"/>
  <c r="J14" i="10"/>
  <c r="H16" i="10"/>
  <c r="K17" i="10"/>
  <c r="I19" i="10"/>
  <c r="I10" i="10"/>
  <c r="K16" i="10"/>
  <c r="I7" i="10"/>
  <c r="I15" i="10"/>
  <c r="H9" i="10"/>
  <c r="G14" i="10"/>
  <c r="H6" i="10"/>
  <c r="H14" i="10"/>
  <c r="K6" i="10"/>
  <c r="I8" i="10"/>
  <c r="G10" i="10"/>
  <c r="J11" i="10"/>
  <c r="H13" i="10"/>
  <c r="K14" i="10"/>
  <c r="I16" i="10"/>
  <c r="G18" i="10"/>
  <c r="J19" i="10"/>
  <c r="K8" i="10"/>
  <c r="H15" i="10"/>
  <c r="G9" i="10"/>
  <c r="G17" i="10"/>
  <c r="G6" i="10"/>
  <c r="I12" i="10"/>
  <c r="I9" i="10"/>
  <c r="J12" i="10"/>
  <c r="G19" i="10"/>
  <c r="G7" i="10"/>
  <c r="J8" i="10"/>
  <c r="H10" i="10"/>
  <c r="K11" i="10"/>
  <c r="I13" i="10"/>
  <c r="G15" i="10"/>
  <c r="J16" i="10"/>
  <c r="H18" i="10"/>
  <c r="K19" i="10"/>
  <c r="H7" i="10"/>
  <c r="J13" i="10"/>
  <c r="G20" i="10"/>
  <c r="H12" i="10"/>
  <c r="J18" i="10"/>
  <c r="J7" i="10"/>
  <c r="J15" i="10"/>
  <c r="K18" i="10"/>
  <c r="K7" i="10"/>
  <c r="I17" i="10"/>
  <c r="J20" i="10"/>
  <c r="F26" i="19" l="1"/>
  <c r="D6" i="19"/>
  <c r="E26" i="19" l="1"/>
  <c r="G26" i="19"/>
  <c r="H26" i="19"/>
  <c r="AI100" i="14" l="1"/>
  <c r="AH100" i="14"/>
  <c r="AG100" i="14"/>
  <c r="AF100" i="14"/>
  <c r="AE100" i="14"/>
  <c r="AI99" i="14"/>
  <c r="AH99" i="14"/>
  <c r="AG99" i="14"/>
  <c r="AF99" i="14"/>
  <c r="AE99" i="14"/>
  <c r="AI98" i="14"/>
  <c r="AH98" i="14"/>
  <c r="AG98" i="14"/>
  <c r="AF98" i="14"/>
  <c r="AE98" i="14"/>
  <c r="AI97" i="14"/>
  <c r="AH97" i="14"/>
  <c r="AG97" i="14"/>
  <c r="AF97" i="14"/>
  <c r="AE97" i="14"/>
  <c r="AI96" i="14"/>
  <c r="AH96" i="14"/>
  <c r="AG96" i="14"/>
  <c r="AF96" i="14"/>
  <c r="AE96" i="14"/>
  <c r="AI95" i="14"/>
  <c r="AH95" i="14"/>
  <c r="AG95" i="14"/>
  <c r="AF95" i="14"/>
  <c r="AE95" i="14"/>
  <c r="AI94" i="14"/>
  <c r="AH94" i="14"/>
  <c r="AG94" i="14"/>
  <c r="AF94" i="14"/>
  <c r="AE94" i="14"/>
  <c r="AI93" i="14"/>
  <c r="AH93" i="14"/>
  <c r="AG93" i="14"/>
  <c r="AF93" i="14"/>
  <c r="AE93" i="14"/>
  <c r="AI92" i="14"/>
  <c r="AH92" i="14"/>
  <c r="AG92" i="14"/>
  <c r="AF92" i="14"/>
  <c r="AE92" i="14"/>
  <c r="AI91" i="14"/>
  <c r="AH91" i="14"/>
  <c r="AG91" i="14"/>
  <c r="AF91" i="14"/>
  <c r="AE91" i="14"/>
  <c r="AI90" i="14"/>
  <c r="AH90" i="14"/>
  <c r="AG90" i="14"/>
  <c r="AF90" i="14"/>
  <c r="AE90" i="14"/>
  <c r="AI89" i="14"/>
  <c r="AH89" i="14"/>
  <c r="AG89" i="14"/>
  <c r="AF89" i="14"/>
  <c r="AE89" i="14"/>
  <c r="AI88" i="14"/>
  <c r="AH88" i="14"/>
  <c r="AG88" i="14"/>
  <c r="AF88" i="14"/>
  <c r="AE88" i="14"/>
  <c r="AI87" i="14"/>
  <c r="AH87" i="14"/>
  <c r="AG87" i="14"/>
  <c r="AF87" i="14"/>
  <c r="AE87" i="14"/>
  <c r="AI86" i="14"/>
  <c r="AH86" i="14"/>
  <c r="AG86" i="14"/>
  <c r="AF86" i="14"/>
  <c r="AE86" i="14"/>
  <c r="AI85" i="14"/>
  <c r="AH85" i="14"/>
  <c r="AG85" i="14"/>
  <c r="AF85" i="14"/>
  <c r="AE85" i="14"/>
  <c r="AI80" i="14"/>
  <c r="AH80" i="14"/>
  <c r="AG80" i="14"/>
  <c r="AF80" i="14"/>
  <c r="AE80" i="14"/>
  <c r="AI79" i="14"/>
  <c r="AH79" i="14"/>
  <c r="AG79" i="14"/>
  <c r="AF79" i="14"/>
  <c r="AE79" i="14"/>
  <c r="AI78" i="14"/>
  <c r="AH78" i="14"/>
  <c r="AG78" i="14"/>
  <c r="AF78" i="14"/>
  <c r="AE78" i="14"/>
  <c r="AI77" i="14"/>
  <c r="AH77" i="14"/>
  <c r="AG77" i="14"/>
  <c r="AF77" i="14"/>
  <c r="AE77" i="14"/>
  <c r="AI76" i="14"/>
  <c r="AH76" i="14"/>
  <c r="AG76" i="14"/>
  <c r="AF76" i="14"/>
  <c r="AE76" i="14"/>
  <c r="AI75" i="14"/>
  <c r="AH75" i="14"/>
  <c r="AG75" i="14"/>
  <c r="AF75" i="14"/>
  <c r="AE75" i="14"/>
  <c r="AI74" i="14"/>
  <c r="AH74" i="14"/>
  <c r="AG74" i="14"/>
  <c r="AF74" i="14"/>
  <c r="AE74" i="14"/>
  <c r="AI73" i="14"/>
  <c r="AH73" i="14"/>
  <c r="AG73" i="14"/>
  <c r="AF73" i="14"/>
  <c r="AE73" i="14"/>
  <c r="AI72" i="14"/>
  <c r="AH72" i="14"/>
  <c r="AG72" i="14"/>
  <c r="AF72" i="14"/>
  <c r="AE72" i="14"/>
  <c r="AI71" i="14"/>
  <c r="AH71" i="14"/>
  <c r="AG71" i="14"/>
  <c r="AF71" i="14"/>
  <c r="AE71" i="14"/>
  <c r="AI70" i="14"/>
  <c r="AH70" i="14"/>
  <c r="AG70" i="14"/>
  <c r="AF70" i="14"/>
  <c r="AE70" i="14"/>
  <c r="AI69" i="14"/>
  <c r="AH69" i="14"/>
  <c r="AG69" i="14"/>
  <c r="AF69" i="14"/>
  <c r="AE69" i="14"/>
  <c r="AI68" i="14"/>
  <c r="AH68" i="14"/>
  <c r="AG68" i="14"/>
  <c r="AF68" i="14"/>
  <c r="AE68" i="14"/>
  <c r="AI67" i="14"/>
  <c r="AH67" i="14"/>
  <c r="AG67" i="14"/>
  <c r="AF67" i="14"/>
  <c r="AE67" i="14"/>
  <c r="AI66" i="14"/>
  <c r="AH66" i="14"/>
  <c r="AG66" i="14"/>
  <c r="AF66" i="14"/>
  <c r="AE66" i="14"/>
  <c r="AI65" i="14"/>
  <c r="AH65" i="14"/>
  <c r="AG65" i="14"/>
  <c r="AF65" i="14"/>
  <c r="AE65" i="14"/>
  <c r="AI60" i="14"/>
  <c r="AH60" i="14"/>
  <c r="AG60" i="14"/>
  <c r="AF60" i="14"/>
  <c r="AE60" i="14"/>
  <c r="AI59" i="14"/>
  <c r="AH59" i="14"/>
  <c r="AG59" i="14"/>
  <c r="AF59" i="14"/>
  <c r="AE59" i="14"/>
  <c r="AI58" i="14"/>
  <c r="AH58" i="14"/>
  <c r="AG58" i="14"/>
  <c r="AF58" i="14"/>
  <c r="AE58" i="14"/>
  <c r="AI57" i="14"/>
  <c r="AH57" i="14"/>
  <c r="AG57" i="14"/>
  <c r="AF57" i="14"/>
  <c r="AE57" i="14"/>
  <c r="AI56" i="14"/>
  <c r="AH56" i="14"/>
  <c r="AG56" i="14"/>
  <c r="AF56" i="14"/>
  <c r="AE56" i="14"/>
  <c r="AI55" i="14"/>
  <c r="AH55" i="14"/>
  <c r="AG55" i="14"/>
  <c r="AF55" i="14"/>
  <c r="AE55" i="14"/>
  <c r="AI54" i="14"/>
  <c r="AH54" i="14"/>
  <c r="AG54" i="14"/>
  <c r="AF54" i="14"/>
  <c r="AE54" i="14"/>
  <c r="AI53" i="14"/>
  <c r="AH53" i="14"/>
  <c r="AG53" i="14"/>
  <c r="AF53" i="14"/>
  <c r="AE53" i="14"/>
  <c r="AI52" i="14"/>
  <c r="AH52" i="14"/>
  <c r="AG52" i="14"/>
  <c r="AF52" i="14"/>
  <c r="AE52" i="14"/>
  <c r="AI51" i="14"/>
  <c r="AH51" i="14"/>
  <c r="AG51" i="14"/>
  <c r="AF51" i="14"/>
  <c r="AE51" i="14"/>
  <c r="AI50" i="14"/>
  <c r="AH50" i="14"/>
  <c r="AG50" i="14"/>
  <c r="AF50" i="14"/>
  <c r="AE50" i="14"/>
  <c r="AI49" i="14"/>
  <c r="AH49" i="14"/>
  <c r="AG49" i="14"/>
  <c r="AF49" i="14"/>
  <c r="AE49" i="14"/>
  <c r="AI48" i="14"/>
  <c r="AH48" i="14"/>
  <c r="AG48" i="14"/>
  <c r="AF48" i="14"/>
  <c r="AE48" i="14"/>
  <c r="AI47" i="14"/>
  <c r="AH47" i="14"/>
  <c r="AG47" i="14"/>
  <c r="AF47" i="14"/>
  <c r="AE47" i="14"/>
  <c r="AI46" i="14"/>
  <c r="AH46" i="14"/>
  <c r="AG46" i="14"/>
  <c r="AF46" i="14"/>
  <c r="AE46" i="14"/>
  <c r="AI45" i="14"/>
  <c r="AH45" i="14"/>
  <c r="AG45" i="14"/>
  <c r="AF45" i="14"/>
  <c r="AE45" i="14"/>
  <c r="AI40" i="14"/>
  <c r="AH40" i="14"/>
  <c r="AG40" i="14"/>
  <c r="AF40" i="14"/>
  <c r="AE40" i="14"/>
  <c r="AI39" i="14"/>
  <c r="AH39" i="14"/>
  <c r="AG39" i="14"/>
  <c r="AF39" i="14"/>
  <c r="AE39" i="14"/>
  <c r="AI38" i="14"/>
  <c r="AH38" i="14"/>
  <c r="AG38" i="14"/>
  <c r="AF38" i="14"/>
  <c r="AE38" i="14"/>
  <c r="AI37" i="14"/>
  <c r="AH37" i="14"/>
  <c r="AG37" i="14"/>
  <c r="AF37" i="14"/>
  <c r="AE37" i="14"/>
  <c r="AI36" i="14"/>
  <c r="AH36" i="14"/>
  <c r="AG36" i="14"/>
  <c r="AF36" i="14"/>
  <c r="AE36" i="14"/>
  <c r="AI35" i="14"/>
  <c r="AH35" i="14"/>
  <c r="AG35" i="14"/>
  <c r="AF35" i="14"/>
  <c r="AE35" i="14"/>
  <c r="AI34" i="14"/>
  <c r="AH34" i="14"/>
  <c r="AG34" i="14"/>
  <c r="AF34" i="14"/>
  <c r="AE34" i="14"/>
  <c r="AI33" i="14"/>
  <c r="AH33" i="14"/>
  <c r="AG33" i="14"/>
  <c r="AF33" i="14"/>
  <c r="AE33" i="14"/>
  <c r="AI32" i="14"/>
  <c r="AH32" i="14"/>
  <c r="AG32" i="14"/>
  <c r="AF32" i="14"/>
  <c r="AE32" i="14"/>
  <c r="AI31" i="14"/>
  <c r="AH31" i="14"/>
  <c r="AG31" i="14"/>
  <c r="AF31" i="14"/>
  <c r="AE31" i="14"/>
  <c r="AI30" i="14"/>
  <c r="AH30" i="14"/>
  <c r="AG30" i="14"/>
  <c r="AF30" i="14"/>
  <c r="AE30" i="14"/>
  <c r="AI29" i="14"/>
  <c r="AH29" i="14"/>
  <c r="AG29" i="14"/>
  <c r="AF29" i="14"/>
  <c r="AE29" i="14"/>
  <c r="AI28" i="14"/>
  <c r="AH28" i="14"/>
  <c r="AG28" i="14"/>
  <c r="AF28" i="14"/>
  <c r="AE28" i="14"/>
  <c r="AI27" i="14"/>
  <c r="AH27" i="14"/>
  <c r="AG27" i="14"/>
  <c r="AF27" i="14"/>
  <c r="AE27" i="14"/>
  <c r="AI26" i="14"/>
  <c r="AH26" i="14"/>
  <c r="AG26" i="14"/>
  <c r="AF26" i="14"/>
  <c r="AE26" i="14"/>
  <c r="AI25" i="14"/>
  <c r="AH25" i="14"/>
  <c r="AG25" i="14"/>
  <c r="AF25" i="14"/>
  <c r="AE25" i="14"/>
  <c r="AE6" i="14"/>
  <c r="AF6" i="14"/>
  <c r="AG6" i="14"/>
  <c r="AH6" i="14"/>
  <c r="AI6" i="14"/>
  <c r="AE7" i="14"/>
  <c r="AF7" i="14"/>
  <c r="AG7" i="14"/>
  <c r="AH7" i="14"/>
  <c r="AI7" i="14"/>
  <c r="AE8" i="14"/>
  <c r="AF8" i="14"/>
  <c r="AG8" i="14"/>
  <c r="AH8" i="14"/>
  <c r="AI8" i="14"/>
  <c r="AE9" i="14"/>
  <c r="AF9" i="14"/>
  <c r="AG9" i="14"/>
  <c r="AH9" i="14"/>
  <c r="AI9" i="14"/>
  <c r="AE10" i="14"/>
  <c r="AF10" i="14"/>
  <c r="AG10" i="14"/>
  <c r="AH10" i="14"/>
  <c r="AI10" i="14"/>
  <c r="AE11" i="14"/>
  <c r="AF11" i="14"/>
  <c r="AG11" i="14"/>
  <c r="AH11" i="14"/>
  <c r="AI11" i="14"/>
  <c r="AE12" i="14"/>
  <c r="AF12" i="14"/>
  <c r="AG12" i="14"/>
  <c r="AH12" i="14"/>
  <c r="AI12" i="14"/>
  <c r="AE13" i="14"/>
  <c r="AF13" i="14"/>
  <c r="AG13" i="14"/>
  <c r="AH13" i="14"/>
  <c r="AI13" i="14"/>
  <c r="AE14" i="14"/>
  <c r="AF14" i="14"/>
  <c r="AG14" i="14"/>
  <c r="AH14" i="14"/>
  <c r="AI14" i="14"/>
  <c r="AE15" i="14"/>
  <c r="AF15" i="14"/>
  <c r="AG15" i="14"/>
  <c r="AH15" i="14"/>
  <c r="AI15" i="14"/>
  <c r="AE16" i="14"/>
  <c r="AF16" i="14"/>
  <c r="AG16" i="14"/>
  <c r="AH16" i="14"/>
  <c r="AI16" i="14"/>
  <c r="AE17" i="14"/>
  <c r="AF17" i="14"/>
  <c r="AG17" i="14"/>
  <c r="AH17" i="14"/>
  <c r="AI17" i="14"/>
  <c r="AE18" i="14"/>
  <c r="AF18" i="14"/>
  <c r="AG18" i="14"/>
  <c r="AH18" i="14"/>
  <c r="AI18" i="14"/>
  <c r="AE19" i="14"/>
  <c r="AF19" i="14"/>
  <c r="AG19" i="14"/>
  <c r="AH19" i="14"/>
  <c r="AI19" i="14"/>
  <c r="AE20" i="14"/>
  <c r="AF20" i="14"/>
  <c r="AG20" i="14"/>
  <c r="AH20" i="14"/>
  <c r="AI20" i="14"/>
  <c r="AF5" i="14"/>
  <c r="AG5" i="14"/>
  <c r="AH5" i="14"/>
  <c r="AI5" i="14"/>
  <c r="AE5" i="14"/>
  <c r="E6" i="20" l="1"/>
  <c r="E7" i="20" s="1"/>
  <c r="E8" i="20" s="1"/>
  <c r="E9" i="20" s="1"/>
  <c r="E10" i="20" s="1"/>
  <c r="E11" i="20" s="1"/>
  <c r="E12" i="20" s="1"/>
  <c r="E13" i="20" s="1"/>
  <c r="E14" i="20" s="1"/>
  <c r="E15" i="20" s="1"/>
  <c r="E16" i="20" s="1"/>
  <c r="E17" i="20" s="1"/>
  <c r="E18" i="20" s="1"/>
  <c r="E19" i="20" s="1"/>
  <c r="E20" i="20" s="1"/>
  <c r="E21" i="20" s="1"/>
  <c r="E22" i="20" s="1"/>
  <c r="E23" i="20" s="1"/>
  <c r="E24" i="20" s="1"/>
  <c r="E25" i="20" s="1"/>
  <c r="E26" i="20" s="1"/>
  <c r="E27" i="20" s="1"/>
  <c r="E28" i="20" s="1"/>
  <c r="E29" i="20" s="1"/>
  <c r="E30" i="20" s="1"/>
  <c r="E31" i="20" s="1"/>
  <c r="E32" i="20" s="1"/>
  <c r="E33" i="20" s="1"/>
  <c r="E34" i="20" s="1"/>
  <c r="F6" i="20"/>
  <c r="F7" i="20" s="1"/>
  <c r="F8" i="20" s="1"/>
  <c r="F9" i="20" s="1"/>
  <c r="F10" i="20" s="1"/>
  <c r="F11" i="20" s="1"/>
  <c r="F12" i="20" s="1"/>
  <c r="F13" i="20" s="1"/>
  <c r="F14" i="20" s="1"/>
  <c r="F15" i="20" s="1"/>
  <c r="F16" i="20" s="1"/>
  <c r="F17" i="20" s="1"/>
  <c r="F18" i="20" s="1"/>
  <c r="F19" i="20" s="1"/>
  <c r="F20" i="20" s="1"/>
  <c r="F21" i="20" s="1"/>
  <c r="F22" i="20" s="1"/>
  <c r="F23" i="20" s="1"/>
  <c r="F24" i="20" s="1"/>
  <c r="F25" i="20" s="1"/>
  <c r="F26" i="20" s="1"/>
  <c r="F27" i="20" s="1"/>
  <c r="F28" i="20" s="1"/>
  <c r="F29" i="20" s="1"/>
  <c r="F30" i="20" s="1"/>
  <c r="F31" i="20" s="1"/>
  <c r="F32" i="20" s="1"/>
  <c r="F33" i="20" s="1"/>
  <c r="F34" i="20" s="1"/>
  <c r="G6" i="20"/>
  <c r="G7" i="20" s="1"/>
  <c r="G8" i="20" s="1"/>
  <c r="G9" i="20" s="1"/>
  <c r="G10" i="20" s="1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H6" i="20"/>
  <c r="H7" i="20" s="1"/>
  <c r="H8" i="20" s="1"/>
  <c r="H9" i="20" s="1"/>
  <c r="H10" i="20" s="1"/>
  <c r="H11" i="20" s="1"/>
  <c r="H12" i="20" s="1"/>
  <c r="H13" i="20" s="1"/>
  <c r="H14" i="20" s="1"/>
  <c r="H15" i="20" s="1"/>
  <c r="H16" i="20" s="1"/>
  <c r="H17" i="20" s="1"/>
  <c r="H18" i="20" s="1"/>
  <c r="H19" i="20" s="1"/>
  <c r="H20" i="20" s="1"/>
  <c r="H21" i="20" s="1"/>
  <c r="H22" i="20" s="1"/>
  <c r="H23" i="20" s="1"/>
  <c r="H24" i="20" s="1"/>
  <c r="H25" i="20" s="1"/>
  <c r="H26" i="20" s="1"/>
  <c r="H27" i="20" s="1"/>
  <c r="H28" i="20" s="1"/>
  <c r="H29" i="20" s="1"/>
  <c r="H30" i="20" s="1"/>
  <c r="H31" i="20" s="1"/>
  <c r="H32" i="20" s="1"/>
  <c r="H33" i="20" s="1"/>
  <c r="H34" i="20" s="1"/>
  <c r="D6" i="20"/>
  <c r="D7" i="20" s="1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V6" i="19" l="1"/>
  <c r="W6" i="19"/>
  <c r="X6" i="19"/>
  <c r="Y6" i="19"/>
  <c r="Z6" i="19"/>
  <c r="V7" i="19"/>
  <c r="W7" i="19"/>
  <c r="X7" i="19"/>
  <c r="Y7" i="19"/>
  <c r="Z7" i="19"/>
  <c r="V8" i="19"/>
  <c r="W8" i="19"/>
  <c r="X8" i="19"/>
  <c r="Y8" i="19"/>
  <c r="Z8" i="19"/>
  <c r="V9" i="19"/>
  <c r="W9" i="19"/>
  <c r="X9" i="19"/>
  <c r="Y9" i="19"/>
  <c r="Z9" i="19"/>
  <c r="V10" i="19"/>
  <c r="W10" i="19"/>
  <c r="X10" i="19"/>
  <c r="Y10" i="19"/>
  <c r="Z10" i="19"/>
  <c r="V11" i="19"/>
  <c r="W11" i="19"/>
  <c r="X11" i="19"/>
  <c r="Y11" i="19"/>
  <c r="Z11" i="19"/>
  <c r="V12" i="19"/>
  <c r="W12" i="19"/>
  <c r="X12" i="19"/>
  <c r="Y12" i="19"/>
  <c r="Z12" i="19"/>
  <c r="V13" i="19"/>
  <c r="W13" i="19"/>
  <c r="X13" i="19"/>
  <c r="Y13" i="19"/>
  <c r="Z13" i="19"/>
  <c r="V14" i="19"/>
  <c r="W14" i="19"/>
  <c r="X14" i="19"/>
  <c r="Y14" i="19"/>
  <c r="Z14" i="19"/>
  <c r="V15" i="19"/>
  <c r="W15" i="19"/>
  <c r="X15" i="19"/>
  <c r="Y15" i="19"/>
  <c r="Z15" i="19"/>
  <c r="V16" i="19"/>
  <c r="W16" i="19"/>
  <c r="X16" i="19"/>
  <c r="Y16" i="19"/>
  <c r="Z16" i="19"/>
  <c r="V17" i="19"/>
  <c r="W17" i="19"/>
  <c r="X17" i="19"/>
  <c r="Y17" i="19"/>
  <c r="Z17" i="19"/>
  <c r="V18" i="19"/>
  <c r="W18" i="19"/>
  <c r="X18" i="19"/>
  <c r="Y18" i="19"/>
  <c r="Z18" i="19"/>
  <c r="V19" i="19"/>
  <c r="W19" i="19"/>
  <c r="X19" i="19"/>
  <c r="Y19" i="19"/>
  <c r="Z19" i="19"/>
  <c r="V20" i="19"/>
  <c r="W20" i="19"/>
  <c r="X20" i="19"/>
  <c r="Y20" i="19"/>
  <c r="Z20" i="19"/>
  <c r="V21" i="19"/>
  <c r="W21" i="19"/>
  <c r="X21" i="19"/>
  <c r="Y21" i="19"/>
  <c r="Z21" i="19"/>
  <c r="V22" i="19"/>
  <c r="W22" i="19"/>
  <c r="X22" i="19"/>
  <c r="Y22" i="19"/>
  <c r="Z22" i="19"/>
  <c r="V23" i="19"/>
  <c r="W23" i="19"/>
  <c r="X23" i="19"/>
  <c r="Y23" i="19"/>
  <c r="Z23" i="19"/>
  <c r="V24" i="19"/>
  <c r="W24" i="19"/>
  <c r="X24" i="19"/>
  <c r="Y24" i="19"/>
  <c r="Z24" i="19"/>
  <c r="V25" i="19"/>
  <c r="W25" i="19"/>
  <c r="X25" i="19"/>
  <c r="Y25" i="19"/>
  <c r="Z25" i="19"/>
  <c r="V26" i="19"/>
  <c r="W26" i="19"/>
  <c r="X26" i="19"/>
  <c r="Y26" i="19"/>
  <c r="Z26" i="19"/>
  <c r="V27" i="19"/>
  <c r="W27" i="19"/>
  <c r="X27" i="19"/>
  <c r="Y27" i="19"/>
  <c r="Z27" i="19"/>
  <c r="V28" i="19"/>
  <c r="W28" i="19"/>
  <c r="X28" i="19"/>
  <c r="Y28" i="19"/>
  <c r="Z28" i="19"/>
  <c r="V29" i="19"/>
  <c r="W29" i="19"/>
  <c r="X29" i="19"/>
  <c r="Y29" i="19"/>
  <c r="Z29" i="19"/>
  <c r="V30" i="19"/>
  <c r="W30" i="19"/>
  <c r="X30" i="19"/>
  <c r="Y30" i="19"/>
  <c r="Z30" i="19"/>
  <c r="V31" i="19"/>
  <c r="W31" i="19"/>
  <c r="X31" i="19"/>
  <c r="Y31" i="19"/>
  <c r="Z31" i="19"/>
  <c r="V32" i="19"/>
  <c r="W32" i="19"/>
  <c r="X32" i="19"/>
  <c r="Y32" i="19"/>
  <c r="Z32" i="19"/>
  <c r="V33" i="19"/>
  <c r="W33" i="19"/>
  <c r="X33" i="19"/>
  <c r="Y33" i="19"/>
  <c r="Z33" i="19"/>
  <c r="V34" i="19"/>
  <c r="W34" i="19"/>
  <c r="X34" i="19"/>
  <c r="Y34" i="19"/>
  <c r="Z34" i="19"/>
  <c r="V35" i="19"/>
  <c r="W35" i="19"/>
  <c r="X35" i="19"/>
  <c r="Y35" i="19"/>
  <c r="Z35" i="19"/>
  <c r="V36" i="19"/>
  <c r="W36" i="19"/>
  <c r="X36" i="19"/>
  <c r="Y36" i="19"/>
  <c r="Z36" i="19"/>
  <c r="V37" i="19"/>
  <c r="W37" i="19"/>
  <c r="X37" i="19"/>
  <c r="Y37" i="19"/>
  <c r="Z37" i="19"/>
  <c r="V38" i="19"/>
  <c r="W38" i="19"/>
  <c r="X38" i="19"/>
  <c r="Y38" i="19"/>
  <c r="Z38" i="19"/>
  <c r="V39" i="19"/>
  <c r="W39" i="19"/>
  <c r="X39" i="19"/>
  <c r="Y39" i="19"/>
  <c r="Z39" i="19"/>
  <c r="V40" i="19"/>
  <c r="W40" i="19"/>
  <c r="X40" i="19"/>
  <c r="Y40" i="19"/>
  <c r="Z40" i="19"/>
  <c r="V41" i="19"/>
  <c r="W41" i="19"/>
  <c r="X41" i="19"/>
  <c r="Y41" i="19"/>
  <c r="Z41" i="19"/>
  <c r="V42" i="19"/>
  <c r="W42" i="19"/>
  <c r="X42" i="19"/>
  <c r="Y42" i="19"/>
  <c r="Z42" i="19"/>
  <c r="V43" i="19"/>
  <c r="W43" i="19"/>
  <c r="X43" i="19"/>
  <c r="Y43" i="19"/>
  <c r="Z43" i="19"/>
  <c r="V44" i="19"/>
  <c r="W44" i="19"/>
  <c r="X44" i="19"/>
  <c r="Y44" i="19"/>
  <c r="Z44" i="19"/>
  <c r="V45" i="19"/>
  <c r="W45" i="19"/>
  <c r="X45" i="19"/>
  <c r="Y45" i="19"/>
  <c r="Z45" i="19"/>
  <c r="V46" i="19"/>
  <c r="W46" i="19"/>
  <c r="X46" i="19"/>
  <c r="Y46" i="19"/>
  <c r="Z46" i="19"/>
  <c r="V47" i="19"/>
  <c r="W47" i="19"/>
  <c r="X47" i="19"/>
  <c r="Y47" i="19"/>
  <c r="Z47" i="19"/>
  <c r="V48" i="19"/>
  <c r="W48" i="19"/>
  <c r="X48" i="19"/>
  <c r="Y48" i="19"/>
  <c r="Z48" i="19"/>
  <c r="V49" i="19"/>
  <c r="W49" i="19"/>
  <c r="X49" i="19"/>
  <c r="Y49" i="19"/>
  <c r="Z49" i="19"/>
  <c r="V50" i="19"/>
  <c r="W50" i="19"/>
  <c r="X50" i="19"/>
  <c r="Y50" i="19"/>
  <c r="Z50" i="19"/>
  <c r="V51" i="19"/>
  <c r="W51" i="19"/>
  <c r="X51" i="19"/>
  <c r="Y51" i="19"/>
  <c r="Z51" i="19"/>
  <c r="V52" i="19"/>
  <c r="W52" i="19"/>
  <c r="X52" i="19"/>
  <c r="Y52" i="19"/>
  <c r="Z52" i="19"/>
  <c r="V53" i="19"/>
  <c r="W53" i="19"/>
  <c r="X53" i="19"/>
  <c r="Y53" i="19"/>
  <c r="Z53" i="19"/>
  <c r="V54" i="19"/>
  <c r="W54" i="19"/>
  <c r="X54" i="19"/>
  <c r="Y54" i="19"/>
  <c r="Z54" i="19"/>
  <c r="V55" i="19"/>
  <c r="W55" i="19"/>
  <c r="X55" i="19"/>
  <c r="Y55" i="19"/>
  <c r="Z55" i="19"/>
  <c r="V56" i="19"/>
  <c r="W56" i="19"/>
  <c r="X56" i="19"/>
  <c r="Y56" i="19"/>
  <c r="Z56" i="19"/>
  <c r="V57" i="19"/>
  <c r="W57" i="19"/>
  <c r="X57" i="19"/>
  <c r="Y57" i="19"/>
  <c r="Z57" i="19"/>
  <c r="V58" i="19"/>
  <c r="W58" i="19"/>
  <c r="X58" i="19"/>
  <c r="Y58" i="19"/>
  <c r="Z58" i="19"/>
  <c r="V59" i="19"/>
  <c r="W59" i="19"/>
  <c r="X59" i="19"/>
  <c r="Y59" i="19"/>
  <c r="Z59" i="19"/>
  <c r="V60" i="19"/>
  <c r="W60" i="19"/>
  <c r="X60" i="19"/>
  <c r="Y60" i="19"/>
  <c r="Z60" i="19"/>
  <c r="V61" i="19"/>
  <c r="W61" i="19"/>
  <c r="X61" i="19"/>
  <c r="Y61" i="19"/>
  <c r="Z61" i="19"/>
  <c r="V62" i="19"/>
  <c r="W62" i="19"/>
  <c r="X62" i="19"/>
  <c r="Y62" i="19"/>
  <c r="Z62" i="19"/>
  <c r="V63" i="19"/>
  <c r="W63" i="19"/>
  <c r="X63" i="19"/>
  <c r="Y63" i="19"/>
  <c r="Z63" i="19"/>
  <c r="V64" i="19"/>
  <c r="W64" i="19"/>
  <c r="X64" i="19"/>
  <c r="Y64" i="19"/>
  <c r="Z64" i="19"/>
  <c r="V65" i="19"/>
  <c r="W65" i="19"/>
  <c r="X65" i="19"/>
  <c r="Y65" i="19"/>
  <c r="Z65" i="19"/>
  <c r="V66" i="19"/>
  <c r="W66" i="19"/>
  <c r="X66" i="19"/>
  <c r="Y66" i="19"/>
  <c r="Z66" i="19"/>
  <c r="V67" i="19"/>
  <c r="W67" i="19"/>
  <c r="X67" i="19"/>
  <c r="Y67" i="19"/>
  <c r="Z67" i="19"/>
  <c r="V68" i="19"/>
  <c r="W68" i="19"/>
  <c r="X68" i="19"/>
  <c r="Y68" i="19"/>
  <c r="Z68" i="19"/>
  <c r="V69" i="19"/>
  <c r="W69" i="19"/>
  <c r="X69" i="19"/>
  <c r="Y69" i="19"/>
  <c r="Z69" i="19"/>
  <c r="V70" i="19"/>
  <c r="W70" i="19"/>
  <c r="X70" i="19"/>
  <c r="Y70" i="19"/>
  <c r="Z70" i="19"/>
  <c r="V71" i="19"/>
  <c r="W71" i="19"/>
  <c r="X71" i="19"/>
  <c r="Y71" i="19"/>
  <c r="Z71" i="19"/>
  <c r="V72" i="19"/>
  <c r="W72" i="19"/>
  <c r="X72" i="19"/>
  <c r="Y72" i="19"/>
  <c r="Z72" i="19"/>
  <c r="V73" i="19"/>
  <c r="W73" i="19"/>
  <c r="X73" i="19"/>
  <c r="Y73" i="19"/>
  <c r="Z73" i="19"/>
  <c r="V74" i="19"/>
  <c r="W74" i="19"/>
  <c r="X74" i="19"/>
  <c r="Y74" i="19"/>
  <c r="Z74" i="19"/>
  <c r="V75" i="19"/>
  <c r="W75" i="19"/>
  <c r="X75" i="19"/>
  <c r="Y75" i="19"/>
  <c r="Z75" i="19"/>
  <c r="V76" i="19"/>
  <c r="W76" i="19"/>
  <c r="X76" i="19"/>
  <c r="Y76" i="19"/>
  <c r="Z76" i="19"/>
  <c r="V77" i="19"/>
  <c r="W77" i="19"/>
  <c r="X77" i="19"/>
  <c r="Y77" i="19"/>
  <c r="Z77" i="19"/>
  <c r="V78" i="19"/>
  <c r="W78" i="19"/>
  <c r="X78" i="19"/>
  <c r="Y78" i="19"/>
  <c r="Z78" i="19"/>
  <c r="V79" i="19"/>
  <c r="W79" i="19"/>
  <c r="X79" i="19"/>
  <c r="Y79" i="19"/>
  <c r="Z79" i="19"/>
  <c r="V80" i="19"/>
  <c r="W80" i="19"/>
  <c r="X80" i="19"/>
  <c r="Y80" i="19"/>
  <c r="Z80" i="19"/>
  <c r="V81" i="19"/>
  <c r="W81" i="19"/>
  <c r="X81" i="19"/>
  <c r="Y81" i="19"/>
  <c r="Z81" i="19"/>
  <c r="V82" i="19"/>
  <c r="W82" i="19"/>
  <c r="X82" i="19"/>
  <c r="Y82" i="19"/>
  <c r="Z82" i="19"/>
  <c r="V83" i="19"/>
  <c r="W83" i="19"/>
  <c r="X83" i="19"/>
  <c r="Y83" i="19"/>
  <c r="Z83" i="19"/>
  <c r="V84" i="19"/>
  <c r="W84" i="19"/>
  <c r="X84" i="19"/>
  <c r="Y84" i="19"/>
  <c r="Z84" i="19"/>
  <c r="V85" i="19"/>
  <c r="W85" i="19"/>
  <c r="X85" i="19"/>
  <c r="Y85" i="19"/>
  <c r="Z85" i="19"/>
  <c r="V86" i="19"/>
  <c r="W86" i="19"/>
  <c r="X86" i="19"/>
  <c r="Y86" i="19"/>
  <c r="Z86" i="19"/>
  <c r="V87" i="19"/>
  <c r="W87" i="19"/>
  <c r="X87" i="19"/>
  <c r="Y87" i="19"/>
  <c r="Z87" i="19"/>
  <c r="V88" i="19"/>
  <c r="W88" i="19"/>
  <c r="X88" i="19"/>
  <c r="Y88" i="19"/>
  <c r="Z88" i="19"/>
  <c r="V89" i="19"/>
  <c r="W89" i="19"/>
  <c r="X89" i="19"/>
  <c r="Y89" i="19"/>
  <c r="Z89" i="19"/>
  <c r="V90" i="19"/>
  <c r="W90" i="19"/>
  <c r="X90" i="19"/>
  <c r="Y90" i="19"/>
  <c r="Z90" i="19"/>
  <c r="V91" i="19"/>
  <c r="W91" i="19"/>
  <c r="X91" i="19"/>
  <c r="Y91" i="19"/>
  <c r="Z91" i="19"/>
  <c r="V92" i="19"/>
  <c r="W92" i="19"/>
  <c r="X92" i="19"/>
  <c r="Y92" i="19"/>
  <c r="Z92" i="19"/>
  <c r="V93" i="19"/>
  <c r="W93" i="19"/>
  <c r="X93" i="19"/>
  <c r="Y93" i="19"/>
  <c r="Z93" i="19"/>
  <c r="V94" i="19"/>
  <c r="W94" i="19"/>
  <c r="X94" i="19"/>
  <c r="Y94" i="19"/>
  <c r="Z94" i="19"/>
  <c r="V95" i="19"/>
  <c r="W95" i="19"/>
  <c r="X95" i="19"/>
  <c r="Y95" i="19"/>
  <c r="Z95" i="19"/>
  <c r="V96" i="19"/>
  <c r="W96" i="19"/>
  <c r="X96" i="19"/>
  <c r="Y96" i="19"/>
  <c r="Z96" i="19"/>
  <c r="V97" i="19"/>
  <c r="W97" i="19"/>
  <c r="X97" i="19"/>
  <c r="Y97" i="19"/>
  <c r="Z97" i="19"/>
  <c r="V98" i="19"/>
  <c r="W98" i="19"/>
  <c r="X98" i="19"/>
  <c r="Y98" i="19"/>
  <c r="Z98" i="19"/>
  <c r="V99" i="19"/>
  <c r="W99" i="19"/>
  <c r="X99" i="19"/>
  <c r="Y99" i="19"/>
  <c r="Z99" i="19"/>
  <c r="V100" i="19"/>
  <c r="W100" i="19"/>
  <c r="X100" i="19"/>
  <c r="Y100" i="19"/>
  <c r="Z100" i="19"/>
  <c r="V101" i="19"/>
  <c r="W101" i="19"/>
  <c r="X101" i="19"/>
  <c r="Y101" i="19"/>
  <c r="Z101" i="19"/>
  <c r="V102" i="19"/>
  <c r="W102" i="19"/>
  <c r="X102" i="19"/>
  <c r="Y102" i="19"/>
  <c r="Z102" i="19"/>
  <c r="V103" i="19"/>
  <c r="W103" i="19"/>
  <c r="X103" i="19"/>
  <c r="Y103" i="19"/>
  <c r="Z103" i="19"/>
  <c r="V104" i="19"/>
  <c r="W104" i="19"/>
  <c r="X104" i="19"/>
  <c r="Y104" i="19"/>
  <c r="Z104" i="19"/>
  <c r="V105" i="19"/>
  <c r="W105" i="19"/>
  <c r="X105" i="19"/>
  <c r="Y105" i="19"/>
  <c r="Z105" i="19"/>
  <c r="V106" i="19"/>
  <c r="W106" i="19"/>
  <c r="X106" i="19"/>
  <c r="Y106" i="19"/>
  <c r="Z106" i="19"/>
  <c r="V107" i="19"/>
  <c r="W107" i="19"/>
  <c r="X107" i="19"/>
  <c r="Y107" i="19"/>
  <c r="Z107" i="19"/>
  <c r="V108" i="19"/>
  <c r="W108" i="19"/>
  <c r="X108" i="19"/>
  <c r="Y108" i="19"/>
  <c r="Z108" i="19"/>
  <c r="V109" i="19"/>
  <c r="W109" i="19"/>
  <c r="X109" i="19"/>
  <c r="Y109" i="19"/>
  <c r="Z109" i="19"/>
  <c r="V110" i="19"/>
  <c r="W110" i="19"/>
  <c r="X110" i="19"/>
  <c r="Y110" i="19"/>
  <c r="Z110" i="19"/>
  <c r="V111" i="19"/>
  <c r="W111" i="19"/>
  <c r="X111" i="19"/>
  <c r="Y111" i="19"/>
  <c r="Z111" i="19"/>
  <c r="V112" i="19"/>
  <c r="W112" i="19"/>
  <c r="X112" i="19"/>
  <c r="Y112" i="19"/>
  <c r="Z112" i="19"/>
  <c r="V113" i="19"/>
  <c r="W113" i="19"/>
  <c r="X113" i="19"/>
  <c r="Y113" i="19"/>
  <c r="Z113" i="19"/>
  <c r="W5" i="19"/>
  <c r="X5" i="19"/>
  <c r="Y5" i="19"/>
  <c r="Z5" i="19"/>
  <c r="V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U84" i="19"/>
  <c r="U85" i="19"/>
  <c r="U86" i="19"/>
  <c r="U87" i="19"/>
  <c r="U88" i="19"/>
  <c r="U89" i="19"/>
  <c r="U90" i="19"/>
  <c r="U91" i="19"/>
  <c r="U92" i="19"/>
  <c r="U93" i="19"/>
  <c r="U94" i="19"/>
  <c r="U95" i="19"/>
  <c r="U96" i="19"/>
  <c r="U97" i="19"/>
  <c r="U98" i="19"/>
  <c r="U99" i="19"/>
  <c r="U100" i="19"/>
  <c r="U101" i="19"/>
  <c r="U102" i="19"/>
  <c r="U103" i="19"/>
  <c r="U104" i="19"/>
  <c r="U105" i="19"/>
  <c r="U106" i="19"/>
  <c r="U107" i="19"/>
  <c r="U108" i="19"/>
  <c r="U109" i="19"/>
  <c r="U110" i="19"/>
  <c r="U111" i="19"/>
  <c r="U112" i="19"/>
  <c r="U113" i="19"/>
  <c r="U5" i="19"/>
  <c r="AO25" i="11"/>
  <c r="AN45" i="11"/>
  <c r="AP25" i="11"/>
  <c r="AL65" i="11"/>
  <c r="AL5" i="11"/>
  <c r="AN25" i="11"/>
  <c r="AP65" i="11"/>
  <c r="AP45" i="11"/>
  <c r="AN65" i="11"/>
  <c r="AO85" i="11"/>
  <c r="AM25" i="11"/>
  <c r="AQ25" i="11"/>
  <c r="AO5" i="11"/>
  <c r="AP85" i="11"/>
  <c r="AL45" i="11"/>
  <c r="AQ45" i="11"/>
  <c r="AP5" i="11"/>
  <c r="AQ5" i="11"/>
  <c r="AO45" i="11"/>
  <c r="AM5" i="11"/>
  <c r="AM65" i="11"/>
  <c r="AO65" i="11"/>
  <c r="AN85" i="11"/>
  <c r="AN5" i="11"/>
  <c r="AL85" i="11"/>
  <c r="AL25" i="11"/>
  <c r="AQ85" i="11"/>
  <c r="AM45" i="11"/>
  <c r="AQ65" i="11"/>
  <c r="AM85" i="11"/>
  <c r="D23" i="19" l="1"/>
  <c r="E6" i="19"/>
  <c r="E9" i="19" s="1"/>
  <c r="F6" i="19"/>
  <c r="F9" i="19" s="1"/>
  <c r="G6" i="19"/>
  <c r="G9" i="19" s="1"/>
  <c r="H6" i="19"/>
  <c r="H9" i="19" s="1"/>
  <c r="D9" i="19"/>
  <c r="D26" i="19" l="1"/>
  <c r="F27" i="19"/>
  <c r="H27" i="19"/>
  <c r="E27" i="19"/>
  <c r="D27" i="19"/>
  <c r="G27" i="19"/>
  <c r="E38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40" i="13"/>
  <c r="E41" i="13"/>
  <c r="E42" i="13"/>
  <c r="E43" i="13"/>
  <c r="E44" i="13"/>
  <c r="E39" i="13" l="1"/>
  <c r="G9" i="14" l="1"/>
  <c r="G10" i="14" s="1"/>
  <c r="F9" i="14"/>
  <c r="F10" i="14" s="1"/>
  <c r="E9" i="14"/>
  <c r="E10" i="14" s="1"/>
  <c r="V19" i="6" l="1"/>
  <c r="S18" i="6" l="1"/>
  <c r="V18" i="6"/>
  <c r="P18" i="6" s="1"/>
  <c r="T18" i="6" l="1"/>
  <c r="R18" i="6"/>
  <c r="Q18" i="6"/>
  <c r="Q17" i="6"/>
  <c r="R17" i="6"/>
  <c r="S17" i="6"/>
  <c r="T17" i="6"/>
  <c r="P17" i="6"/>
  <c r="V17" i="6" l="1"/>
  <c r="V16" i="6" l="1"/>
  <c r="V15" i="6"/>
  <c r="V14" i="6"/>
  <c r="P11" i="6"/>
  <c r="Q16" i="6" l="1"/>
  <c r="S16" i="6"/>
  <c r="T16" i="6"/>
  <c r="P16" i="6"/>
  <c r="R16" i="6"/>
  <c r="R14" i="6"/>
  <c r="S14" i="6"/>
  <c r="Q14" i="6"/>
  <c r="T14" i="6"/>
  <c r="Q15" i="6"/>
  <c r="R15" i="6"/>
  <c r="P15" i="6"/>
  <c r="S15" i="6"/>
  <c r="P14" i="6"/>
  <c r="T15" i="6"/>
  <c r="Q8" i="6" l="1"/>
  <c r="E17" i="6"/>
  <c r="E18" i="6"/>
  <c r="E19" i="6"/>
  <c r="E20" i="6"/>
  <c r="E21" i="6"/>
  <c r="G163" i="18" l="1"/>
  <c r="F163" i="18"/>
  <c r="E163" i="18"/>
  <c r="D163" i="18"/>
  <c r="C163" i="18"/>
  <c r="G162" i="18"/>
  <c r="F162" i="18"/>
  <c r="E162" i="18"/>
  <c r="D162" i="18"/>
  <c r="C162" i="18"/>
  <c r="G161" i="18"/>
  <c r="F161" i="18"/>
  <c r="E161" i="18"/>
  <c r="D161" i="18"/>
  <c r="C161" i="18"/>
  <c r="G160" i="18"/>
  <c r="F160" i="18"/>
  <c r="E160" i="18"/>
  <c r="D160" i="18"/>
  <c r="C160" i="18"/>
  <c r="G159" i="18"/>
  <c r="F159" i="18"/>
  <c r="E159" i="18"/>
  <c r="D159" i="18"/>
  <c r="C159" i="18"/>
  <c r="G158" i="18"/>
  <c r="F158" i="18"/>
  <c r="E158" i="18"/>
  <c r="D158" i="18"/>
  <c r="C158" i="18"/>
  <c r="G157" i="18"/>
  <c r="F157" i="18"/>
  <c r="E157" i="18"/>
  <c r="D157" i="18"/>
  <c r="C157" i="18"/>
  <c r="G156" i="18"/>
  <c r="F156" i="18"/>
  <c r="E156" i="18"/>
  <c r="D156" i="18"/>
  <c r="C156" i="18"/>
  <c r="G155" i="18"/>
  <c r="F155" i="18"/>
  <c r="E155" i="18"/>
  <c r="D155" i="18"/>
  <c r="C155" i="18"/>
  <c r="G154" i="18"/>
  <c r="F154" i="18"/>
  <c r="E154" i="18"/>
  <c r="D154" i="18"/>
  <c r="C154" i="18"/>
  <c r="G153" i="18"/>
  <c r="F153" i="18"/>
  <c r="E153" i="18"/>
  <c r="D153" i="18"/>
  <c r="C153" i="18"/>
  <c r="G152" i="18"/>
  <c r="F152" i="18"/>
  <c r="E152" i="18"/>
  <c r="D152" i="18"/>
  <c r="C152" i="18"/>
  <c r="G151" i="18"/>
  <c r="F151" i="18"/>
  <c r="E151" i="18"/>
  <c r="D151" i="18"/>
  <c r="C151" i="18"/>
  <c r="G150" i="18"/>
  <c r="F150" i="18"/>
  <c r="E150" i="18"/>
  <c r="D150" i="18"/>
  <c r="C150" i="18"/>
  <c r="G149" i="18"/>
  <c r="F149" i="18"/>
  <c r="E149" i="18"/>
  <c r="D149" i="18"/>
  <c r="C149" i="18"/>
  <c r="G148" i="18"/>
  <c r="F148" i="18"/>
  <c r="E148" i="18"/>
  <c r="D148" i="18"/>
  <c r="C148" i="18"/>
  <c r="G147" i="18"/>
  <c r="F147" i="18"/>
  <c r="E147" i="18"/>
  <c r="D147" i="18"/>
  <c r="C147" i="18"/>
  <c r="G146" i="18"/>
  <c r="F146" i="18"/>
  <c r="E146" i="18"/>
  <c r="D146" i="18"/>
  <c r="C146" i="18"/>
  <c r="G145" i="18"/>
  <c r="F145" i="18"/>
  <c r="E145" i="18"/>
  <c r="D145" i="18"/>
  <c r="C145" i="18"/>
  <c r="G144" i="18"/>
  <c r="F144" i="18"/>
  <c r="E144" i="18"/>
  <c r="D144" i="18"/>
  <c r="C144" i="18"/>
  <c r="G143" i="18"/>
  <c r="F143" i="18"/>
  <c r="E143" i="18"/>
  <c r="D143" i="18"/>
  <c r="C143" i="18"/>
  <c r="G142" i="18"/>
  <c r="F142" i="18"/>
  <c r="E142" i="18"/>
  <c r="D142" i="18"/>
  <c r="C142" i="18"/>
  <c r="G141" i="18"/>
  <c r="F141" i="18"/>
  <c r="E141" i="18"/>
  <c r="D141" i="18"/>
  <c r="C141" i="18"/>
  <c r="G140" i="18"/>
  <c r="F140" i="18"/>
  <c r="E140" i="18"/>
  <c r="D140" i="18"/>
  <c r="C140" i="18"/>
  <c r="G139" i="18"/>
  <c r="F139" i="18"/>
  <c r="E139" i="18"/>
  <c r="D139" i="18"/>
  <c r="C139" i="18"/>
  <c r="G138" i="18"/>
  <c r="F138" i="18"/>
  <c r="E138" i="18"/>
  <c r="D138" i="18"/>
  <c r="C138" i="18"/>
  <c r="G137" i="18"/>
  <c r="F137" i="18"/>
  <c r="E137" i="18"/>
  <c r="D137" i="18"/>
  <c r="C137" i="18"/>
  <c r="G136" i="18"/>
  <c r="F136" i="18"/>
  <c r="E136" i="18"/>
  <c r="D136" i="18"/>
  <c r="C136" i="18"/>
  <c r="G135" i="18"/>
  <c r="F135" i="18"/>
  <c r="E135" i="18"/>
  <c r="D135" i="18"/>
  <c r="C135" i="18"/>
  <c r="G134" i="18"/>
  <c r="F134" i="18"/>
  <c r="E134" i="18"/>
  <c r="D134" i="18"/>
  <c r="C134" i="18"/>
  <c r="G133" i="18"/>
  <c r="F133" i="18"/>
  <c r="E133" i="18"/>
  <c r="D133" i="18"/>
  <c r="C133" i="18"/>
  <c r="G132" i="18"/>
  <c r="F132" i="18"/>
  <c r="E132" i="18"/>
  <c r="D132" i="18"/>
  <c r="C132" i="18"/>
  <c r="G131" i="18"/>
  <c r="F131" i="18"/>
  <c r="E131" i="18"/>
  <c r="D131" i="18"/>
  <c r="C131" i="18"/>
  <c r="G130" i="18"/>
  <c r="F130" i="18"/>
  <c r="E130" i="18"/>
  <c r="D130" i="18"/>
  <c r="C130" i="18"/>
  <c r="G129" i="18"/>
  <c r="F129" i="18"/>
  <c r="E129" i="18"/>
  <c r="D129" i="18"/>
  <c r="C129" i="18"/>
  <c r="G128" i="18"/>
  <c r="F128" i="18"/>
  <c r="E128" i="18"/>
  <c r="D128" i="18"/>
  <c r="C128" i="18"/>
  <c r="G127" i="18"/>
  <c r="F127" i="18"/>
  <c r="E127" i="18"/>
  <c r="D127" i="18"/>
  <c r="C127" i="18"/>
  <c r="G126" i="18"/>
  <c r="F126" i="18"/>
  <c r="E126" i="18"/>
  <c r="D126" i="18"/>
  <c r="C126" i="18"/>
  <c r="G125" i="18"/>
  <c r="F125" i="18"/>
  <c r="E125" i="18"/>
  <c r="D125" i="18"/>
  <c r="C125" i="18"/>
  <c r="G124" i="18"/>
  <c r="F124" i="18"/>
  <c r="E124" i="18"/>
  <c r="D124" i="18"/>
  <c r="C124" i="18"/>
  <c r="G123" i="18"/>
  <c r="F123" i="18"/>
  <c r="E123" i="18"/>
  <c r="D123" i="18"/>
  <c r="C123" i="18"/>
  <c r="G122" i="18"/>
  <c r="F122" i="18"/>
  <c r="E122" i="18"/>
  <c r="D122" i="18"/>
  <c r="C122" i="18"/>
  <c r="G121" i="18"/>
  <c r="F121" i="18"/>
  <c r="E121" i="18"/>
  <c r="D121" i="18"/>
  <c r="C121" i="18"/>
  <c r="G120" i="18"/>
  <c r="F120" i="18"/>
  <c r="E120" i="18"/>
  <c r="D120" i="18"/>
  <c r="C120" i="18"/>
  <c r="G119" i="18"/>
  <c r="F119" i="18"/>
  <c r="E119" i="18"/>
  <c r="D119" i="18"/>
  <c r="C119" i="18"/>
  <c r="G118" i="18"/>
  <c r="F118" i="18"/>
  <c r="E118" i="18"/>
  <c r="D118" i="18"/>
  <c r="C118" i="18"/>
  <c r="G117" i="18"/>
  <c r="F117" i="18"/>
  <c r="E117" i="18"/>
  <c r="D117" i="18"/>
  <c r="C117" i="18"/>
  <c r="G116" i="18"/>
  <c r="F116" i="18"/>
  <c r="E116" i="18"/>
  <c r="D116" i="18"/>
  <c r="C116" i="18"/>
  <c r="G115" i="18"/>
  <c r="F115" i="18"/>
  <c r="E115" i="18"/>
  <c r="D115" i="18"/>
  <c r="C115" i="18"/>
  <c r="G114" i="18"/>
  <c r="F114" i="18"/>
  <c r="E114" i="18"/>
  <c r="D114" i="18"/>
  <c r="C114" i="18"/>
  <c r="G113" i="18"/>
  <c r="F113" i="18"/>
  <c r="E113" i="18"/>
  <c r="D113" i="18"/>
  <c r="C113" i="18"/>
  <c r="G112" i="18"/>
  <c r="F112" i="18"/>
  <c r="E112" i="18"/>
  <c r="D112" i="18"/>
  <c r="C112" i="18"/>
  <c r="G111" i="18"/>
  <c r="F111" i="18"/>
  <c r="E111" i="18"/>
  <c r="D111" i="18"/>
  <c r="C111" i="18"/>
  <c r="G110" i="18"/>
  <c r="F110" i="18"/>
  <c r="E110" i="18"/>
  <c r="D110" i="18"/>
  <c r="C110" i="18"/>
  <c r="G109" i="18"/>
  <c r="F109" i="18"/>
  <c r="E109" i="18"/>
  <c r="D109" i="18"/>
  <c r="C109" i="18"/>
  <c r="G108" i="18"/>
  <c r="F108" i="18"/>
  <c r="E108" i="18"/>
  <c r="D108" i="18"/>
  <c r="C108" i="18"/>
  <c r="G107" i="18"/>
  <c r="F107" i="18"/>
  <c r="E107" i="18"/>
  <c r="D107" i="18"/>
  <c r="C107" i="18"/>
  <c r="G106" i="18"/>
  <c r="F106" i="18"/>
  <c r="E106" i="18"/>
  <c r="D106" i="18"/>
  <c r="C106" i="18"/>
  <c r="G105" i="18"/>
  <c r="F105" i="18"/>
  <c r="E105" i="18"/>
  <c r="D105" i="18"/>
  <c r="C105" i="18"/>
  <c r="G104" i="18"/>
  <c r="F104" i="18"/>
  <c r="E104" i="18"/>
  <c r="D104" i="18"/>
  <c r="C104" i="18"/>
  <c r="G103" i="18"/>
  <c r="F103" i="18"/>
  <c r="E103" i="18"/>
  <c r="D103" i="18"/>
  <c r="C103" i="18"/>
  <c r="G102" i="18"/>
  <c r="F102" i="18"/>
  <c r="E102" i="18"/>
  <c r="D102" i="18"/>
  <c r="C102" i="18"/>
  <c r="G101" i="18"/>
  <c r="F101" i="18"/>
  <c r="E101" i="18"/>
  <c r="D101" i="18"/>
  <c r="C101" i="18"/>
  <c r="G100" i="18"/>
  <c r="F100" i="18"/>
  <c r="E100" i="18"/>
  <c r="D100" i="18"/>
  <c r="C100" i="18"/>
  <c r="G99" i="18"/>
  <c r="F99" i="18"/>
  <c r="E99" i="18"/>
  <c r="D99" i="18"/>
  <c r="C99" i="18"/>
  <c r="G98" i="18"/>
  <c r="F98" i="18"/>
  <c r="E98" i="18"/>
  <c r="D98" i="18"/>
  <c r="C98" i="18"/>
  <c r="G97" i="18"/>
  <c r="F97" i="18"/>
  <c r="E97" i="18"/>
  <c r="D97" i="18"/>
  <c r="C97" i="18"/>
  <c r="G96" i="18"/>
  <c r="F96" i="18"/>
  <c r="E96" i="18"/>
  <c r="D96" i="18"/>
  <c r="C96" i="18"/>
  <c r="G95" i="18"/>
  <c r="F95" i="18"/>
  <c r="E95" i="18"/>
  <c r="D95" i="18"/>
  <c r="C95" i="18"/>
  <c r="G94" i="18"/>
  <c r="F94" i="18"/>
  <c r="E94" i="18"/>
  <c r="D94" i="18"/>
  <c r="C94" i="18"/>
  <c r="G93" i="18"/>
  <c r="F93" i="18"/>
  <c r="E93" i="18"/>
  <c r="D93" i="18"/>
  <c r="C93" i="18"/>
  <c r="G92" i="18"/>
  <c r="F92" i="18"/>
  <c r="E92" i="18"/>
  <c r="D92" i="18"/>
  <c r="C92" i="18"/>
  <c r="G91" i="18"/>
  <c r="F91" i="18"/>
  <c r="E91" i="18"/>
  <c r="D91" i="18"/>
  <c r="C91" i="18"/>
  <c r="G90" i="18"/>
  <c r="F90" i="18"/>
  <c r="E90" i="18"/>
  <c r="D90" i="18"/>
  <c r="C90" i="18"/>
  <c r="G89" i="18"/>
  <c r="F89" i="18"/>
  <c r="E89" i="18"/>
  <c r="D89" i="18"/>
  <c r="C89" i="18"/>
  <c r="G88" i="18"/>
  <c r="F88" i="18"/>
  <c r="E88" i="18"/>
  <c r="D88" i="18"/>
  <c r="C88" i="18"/>
  <c r="G87" i="18"/>
  <c r="F87" i="18"/>
  <c r="E87" i="18"/>
  <c r="D87" i="18"/>
  <c r="C87" i="18"/>
  <c r="G86" i="18"/>
  <c r="F86" i="18"/>
  <c r="E86" i="18"/>
  <c r="D86" i="18"/>
  <c r="C86" i="18"/>
  <c r="G85" i="18"/>
  <c r="F85" i="18"/>
  <c r="E85" i="18"/>
  <c r="D85" i="18"/>
  <c r="C85" i="18"/>
  <c r="G84" i="18"/>
  <c r="F84" i="18"/>
  <c r="E84" i="18"/>
  <c r="D84" i="18"/>
  <c r="C84" i="18"/>
  <c r="G83" i="18"/>
  <c r="F83" i="18"/>
  <c r="E83" i="18"/>
  <c r="D83" i="18"/>
  <c r="C83" i="18"/>
  <c r="G82" i="18"/>
  <c r="F82" i="18"/>
  <c r="E82" i="18"/>
  <c r="D82" i="18"/>
  <c r="C82" i="18"/>
  <c r="G81" i="18"/>
  <c r="F81" i="18"/>
  <c r="E81" i="18"/>
  <c r="D81" i="18"/>
  <c r="C81" i="18"/>
  <c r="G80" i="18"/>
  <c r="F80" i="18"/>
  <c r="E80" i="18"/>
  <c r="D80" i="18"/>
  <c r="C80" i="18"/>
  <c r="G79" i="18"/>
  <c r="F79" i="18"/>
  <c r="E79" i="18"/>
  <c r="D79" i="18"/>
  <c r="C79" i="18"/>
  <c r="G78" i="18"/>
  <c r="F78" i="18"/>
  <c r="E78" i="18"/>
  <c r="D78" i="18"/>
  <c r="C78" i="18"/>
  <c r="G77" i="18"/>
  <c r="F77" i="18"/>
  <c r="E77" i="18"/>
  <c r="D77" i="18"/>
  <c r="C77" i="18"/>
  <c r="G76" i="18"/>
  <c r="F76" i="18"/>
  <c r="E76" i="18"/>
  <c r="D76" i="18"/>
  <c r="C76" i="18"/>
  <c r="G75" i="18"/>
  <c r="F75" i="18"/>
  <c r="E75" i="18"/>
  <c r="D75" i="18"/>
  <c r="C75" i="18"/>
  <c r="G74" i="18"/>
  <c r="F74" i="18"/>
  <c r="E74" i="18"/>
  <c r="D74" i="18"/>
  <c r="C74" i="18"/>
  <c r="G73" i="18"/>
  <c r="F73" i="18"/>
  <c r="E73" i="18"/>
  <c r="D73" i="18"/>
  <c r="C73" i="18"/>
  <c r="G72" i="18"/>
  <c r="F72" i="18"/>
  <c r="E72" i="18"/>
  <c r="D72" i="18"/>
  <c r="C72" i="18"/>
  <c r="G71" i="18"/>
  <c r="F71" i="18"/>
  <c r="E71" i="18"/>
  <c r="D71" i="18"/>
  <c r="C71" i="18"/>
  <c r="G70" i="18"/>
  <c r="F70" i="18"/>
  <c r="E70" i="18"/>
  <c r="D70" i="18"/>
  <c r="C70" i="18"/>
  <c r="G69" i="18"/>
  <c r="F69" i="18"/>
  <c r="E69" i="18"/>
  <c r="D69" i="18"/>
  <c r="C69" i="18"/>
  <c r="G68" i="18"/>
  <c r="F68" i="18"/>
  <c r="E68" i="18"/>
  <c r="D68" i="18"/>
  <c r="C68" i="18"/>
  <c r="G67" i="18"/>
  <c r="F67" i="18"/>
  <c r="E67" i="18"/>
  <c r="D67" i="18"/>
  <c r="C67" i="18"/>
  <c r="G66" i="18"/>
  <c r="F66" i="18"/>
  <c r="E66" i="18"/>
  <c r="D66" i="18"/>
  <c r="C66" i="18"/>
  <c r="G65" i="18"/>
  <c r="F65" i="18"/>
  <c r="E65" i="18"/>
  <c r="D65" i="18"/>
  <c r="C65" i="18"/>
  <c r="G64" i="18"/>
  <c r="F64" i="18"/>
  <c r="E64" i="18"/>
  <c r="D64" i="18"/>
  <c r="C64" i="18"/>
  <c r="G63" i="18"/>
  <c r="F63" i="18"/>
  <c r="E63" i="18"/>
  <c r="D63" i="18"/>
  <c r="C63" i="18"/>
  <c r="G62" i="18"/>
  <c r="F62" i="18"/>
  <c r="E62" i="18"/>
  <c r="D62" i="18"/>
  <c r="C62" i="18"/>
  <c r="G61" i="18"/>
  <c r="F61" i="18"/>
  <c r="E61" i="18"/>
  <c r="D61" i="18"/>
  <c r="C61" i="18"/>
  <c r="G60" i="18"/>
  <c r="F60" i="18"/>
  <c r="E60" i="18"/>
  <c r="D60" i="18"/>
  <c r="C60" i="18"/>
  <c r="G59" i="18"/>
  <c r="F59" i="18"/>
  <c r="E59" i="18"/>
  <c r="D59" i="18"/>
  <c r="C59" i="18"/>
  <c r="G58" i="18"/>
  <c r="F58" i="18"/>
  <c r="E58" i="18"/>
  <c r="D58" i="18"/>
  <c r="C58" i="18"/>
  <c r="G57" i="18"/>
  <c r="F57" i="18"/>
  <c r="E57" i="18"/>
  <c r="D57" i="18"/>
  <c r="C57" i="18"/>
  <c r="G56" i="18"/>
  <c r="F56" i="18"/>
  <c r="E56" i="18"/>
  <c r="D56" i="18"/>
  <c r="C56" i="18"/>
  <c r="G55" i="18"/>
  <c r="F55" i="18"/>
  <c r="E55" i="18"/>
  <c r="D55" i="18"/>
  <c r="C55" i="18"/>
  <c r="G54" i="18"/>
  <c r="F54" i="18"/>
  <c r="E54" i="18"/>
  <c r="D54" i="18"/>
  <c r="C54" i="18"/>
  <c r="G53" i="18"/>
  <c r="F53" i="18"/>
  <c r="E53" i="18"/>
  <c r="D53" i="18"/>
  <c r="C53" i="18"/>
  <c r="G52" i="18"/>
  <c r="F52" i="18"/>
  <c r="E52" i="18"/>
  <c r="D52" i="18"/>
  <c r="C52" i="18"/>
  <c r="G51" i="18"/>
  <c r="F51" i="18"/>
  <c r="E51" i="18"/>
  <c r="D51" i="18"/>
  <c r="C51" i="18"/>
  <c r="G50" i="18"/>
  <c r="F50" i="18"/>
  <c r="E50" i="18"/>
  <c r="D50" i="18"/>
  <c r="C50" i="18"/>
  <c r="G49" i="18"/>
  <c r="F49" i="18"/>
  <c r="E49" i="18"/>
  <c r="D49" i="18"/>
  <c r="C49" i="18"/>
  <c r="G48" i="18"/>
  <c r="F48" i="18"/>
  <c r="E48" i="18"/>
  <c r="D48" i="18"/>
  <c r="C48" i="18"/>
  <c r="G47" i="18"/>
  <c r="F47" i="18"/>
  <c r="E47" i="18"/>
  <c r="D47" i="18"/>
  <c r="C47" i="18"/>
  <c r="G46" i="18"/>
  <c r="F46" i="18"/>
  <c r="E46" i="18"/>
  <c r="D46" i="18"/>
  <c r="C46" i="18"/>
  <c r="G45" i="18"/>
  <c r="F45" i="18"/>
  <c r="E45" i="18"/>
  <c r="D45" i="18"/>
  <c r="C45" i="18"/>
  <c r="G44" i="18"/>
  <c r="F44" i="18"/>
  <c r="E44" i="18"/>
  <c r="D44" i="18"/>
  <c r="C44" i="18"/>
  <c r="G43" i="18"/>
  <c r="F43" i="18"/>
  <c r="E43" i="18"/>
  <c r="D43" i="18"/>
  <c r="C43" i="18"/>
  <c r="G42" i="18"/>
  <c r="F42" i="18"/>
  <c r="E42" i="18"/>
  <c r="D42" i="18"/>
  <c r="C42" i="18"/>
  <c r="G41" i="18"/>
  <c r="F41" i="18"/>
  <c r="E41" i="18"/>
  <c r="D41" i="18"/>
  <c r="C41" i="18"/>
  <c r="G40" i="18"/>
  <c r="F40" i="18"/>
  <c r="E40" i="18"/>
  <c r="D40" i="18"/>
  <c r="C40" i="18"/>
  <c r="G39" i="18"/>
  <c r="F39" i="18"/>
  <c r="E39" i="18"/>
  <c r="D39" i="18"/>
  <c r="C39" i="18"/>
  <c r="G38" i="18"/>
  <c r="F38" i="18"/>
  <c r="E38" i="18"/>
  <c r="D38" i="18"/>
  <c r="C38" i="18"/>
  <c r="G37" i="18"/>
  <c r="F37" i="18"/>
  <c r="E37" i="18"/>
  <c r="D37" i="18"/>
  <c r="C37" i="18"/>
  <c r="G36" i="18"/>
  <c r="F36" i="18"/>
  <c r="E36" i="18"/>
  <c r="D36" i="18"/>
  <c r="C36" i="18"/>
  <c r="G35" i="18"/>
  <c r="F35" i="18"/>
  <c r="E35" i="18"/>
  <c r="D35" i="18"/>
  <c r="C35" i="18"/>
  <c r="G34" i="18"/>
  <c r="F34" i="18"/>
  <c r="E34" i="18"/>
  <c r="D34" i="18"/>
  <c r="C34" i="18"/>
  <c r="G33" i="18"/>
  <c r="F33" i="18"/>
  <c r="E33" i="18"/>
  <c r="D33" i="18"/>
  <c r="C33" i="18"/>
  <c r="G32" i="18"/>
  <c r="F32" i="18"/>
  <c r="E32" i="18"/>
  <c r="D32" i="18"/>
  <c r="C32" i="18"/>
  <c r="G31" i="18"/>
  <c r="F31" i="18"/>
  <c r="E31" i="18"/>
  <c r="D31" i="18"/>
  <c r="C31" i="18"/>
  <c r="G30" i="18"/>
  <c r="F30" i="18"/>
  <c r="E30" i="18"/>
  <c r="D30" i="18"/>
  <c r="C30" i="18"/>
  <c r="G29" i="18"/>
  <c r="F29" i="18"/>
  <c r="E29" i="18"/>
  <c r="D29" i="18"/>
  <c r="C29" i="18"/>
  <c r="G28" i="18"/>
  <c r="F28" i="18"/>
  <c r="E28" i="18"/>
  <c r="D28" i="18"/>
  <c r="C28" i="18"/>
  <c r="G27" i="18"/>
  <c r="F27" i="18"/>
  <c r="E27" i="18"/>
  <c r="D27" i="18"/>
  <c r="C27" i="18"/>
  <c r="G26" i="18"/>
  <c r="F26" i="18"/>
  <c r="E26" i="18"/>
  <c r="D26" i="18"/>
  <c r="C26" i="18"/>
  <c r="G25" i="18"/>
  <c r="F25" i="18"/>
  <c r="E25" i="18"/>
  <c r="D25" i="18"/>
  <c r="C25" i="18"/>
  <c r="G24" i="18"/>
  <c r="F24" i="18"/>
  <c r="E24" i="18"/>
  <c r="D24" i="18"/>
  <c r="C24" i="18"/>
  <c r="G23" i="18"/>
  <c r="F23" i="18"/>
  <c r="E23" i="18"/>
  <c r="D23" i="18"/>
  <c r="C23" i="18"/>
  <c r="G22" i="18"/>
  <c r="F22" i="18"/>
  <c r="E22" i="18"/>
  <c r="D22" i="18"/>
  <c r="C22" i="18"/>
  <c r="G21" i="18"/>
  <c r="F21" i="18"/>
  <c r="E21" i="18"/>
  <c r="D21" i="18"/>
  <c r="C21" i="18"/>
  <c r="G20" i="18"/>
  <c r="F20" i="18"/>
  <c r="E20" i="18"/>
  <c r="D20" i="18"/>
  <c r="C20" i="18"/>
  <c r="G19" i="18"/>
  <c r="F19" i="18"/>
  <c r="E19" i="18"/>
  <c r="D19" i="18"/>
  <c r="C19" i="18"/>
  <c r="G18" i="18"/>
  <c r="F18" i="18"/>
  <c r="E18" i="18"/>
  <c r="D18" i="18"/>
  <c r="C18" i="18"/>
  <c r="G17" i="18"/>
  <c r="F17" i="18"/>
  <c r="E17" i="18"/>
  <c r="D17" i="18"/>
  <c r="C17" i="18"/>
  <c r="G16" i="18"/>
  <c r="F16" i="18"/>
  <c r="E16" i="18"/>
  <c r="D16" i="18"/>
  <c r="C16" i="18"/>
  <c r="G15" i="18"/>
  <c r="F15" i="18"/>
  <c r="E15" i="18"/>
  <c r="D15" i="18"/>
  <c r="C15" i="18"/>
  <c r="G14" i="18"/>
  <c r="F14" i="18"/>
  <c r="E14" i="18"/>
  <c r="D14" i="18"/>
  <c r="C14" i="18"/>
  <c r="G13" i="18"/>
  <c r="F13" i="18"/>
  <c r="E13" i="18"/>
  <c r="D13" i="18"/>
  <c r="C13" i="18"/>
  <c r="G12" i="18"/>
  <c r="F12" i="18"/>
  <c r="E12" i="18"/>
  <c r="D12" i="18"/>
  <c r="C12" i="18"/>
  <c r="G11" i="18"/>
  <c r="F11" i="18"/>
  <c r="E11" i="18"/>
  <c r="D11" i="18"/>
  <c r="C11" i="18"/>
  <c r="G10" i="18"/>
  <c r="F10" i="18"/>
  <c r="E10" i="18"/>
  <c r="D10" i="18"/>
  <c r="C10" i="18"/>
  <c r="G9" i="18"/>
  <c r="F9" i="18"/>
  <c r="E9" i="18"/>
  <c r="D9" i="18"/>
  <c r="C9" i="18"/>
  <c r="G8" i="18"/>
  <c r="F8" i="18"/>
  <c r="E8" i="18"/>
  <c r="D8" i="18"/>
  <c r="C8" i="18"/>
  <c r="G7" i="18"/>
  <c r="F7" i="18"/>
  <c r="E7" i="18"/>
  <c r="D7" i="18"/>
  <c r="C7" i="18"/>
  <c r="G6" i="18"/>
  <c r="F6" i="18"/>
  <c r="E6" i="18"/>
  <c r="D6" i="18"/>
  <c r="C6" i="18"/>
  <c r="G5" i="18"/>
  <c r="F5" i="18"/>
  <c r="E5" i="18"/>
  <c r="D5" i="18"/>
  <c r="C5" i="18"/>
  <c r="G4" i="18"/>
  <c r="F4" i="18"/>
  <c r="E4" i="18"/>
  <c r="D4" i="18"/>
  <c r="C4" i="18"/>
  <c r="K8" i="17" l="1"/>
  <c r="K7" i="17"/>
  <c r="N86" i="8" l="1"/>
  <c r="O86" i="8"/>
  <c r="P86" i="8"/>
  <c r="Q86" i="8"/>
  <c r="R86" i="8"/>
  <c r="N87" i="8"/>
  <c r="O87" i="8"/>
  <c r="P87" i="8"/>
  <c r="Q87" i="8"/>
  <c r="R87" i="8"/>
  <c r="N88" i="8"/>
  <c r="O88" i="8"/>
  <c r="P88" i="8"/>
  <c r="Q88" i="8"/>
  <c r="R88" i="8"/>
  <c r="N89" i="8"/>
  <c r="O89" i="8"/>
  <c r="P89" i="8"/>
  <c r="Q89" i="8"/>
  <c r="R89" i="8"/>
  <c r="N90" i="8"/>
  <c r="O90" i="8"/>
  <c r="P90" i="8"/>
  <c r="Q90" i="8"/>
  <c r="R90" i="8"/>
  <c r="N91" i="8"/>
  <c r="O91" i="8"/>
  <c r="P91" i="8"/>
  <c r="Q91" i="8"/>
  <c r="R91" i="8"/>
  <c r="N92" i="8"/>
  <c r="O92" i="8"/>
  <c r="P92" i="8"/>
  <c r="Q92" i="8"/>
  <c r="R92" i="8"/>
  <c r="N93" i="8"/>
  <c r="O93" i="8"/>
  <c r="P93" i="8"/>
  <c r="Q93" i="8"/>
  <c r="R93" i="8"/>
  <c r="N94" i="8"/>
  <c r="O94" i="8"/>
  <c r="P94" i="8"/>
  <c r="Q94" i="8"/>
  <c r="R94" i="8"/>
  <c r="N95" i="8"/>
  <c r="O95" i="8"/>
  <c r="P95" i="8"/>
  <c r="Q95" i="8"/>
  <c r="R95" i="8"/>
  <c r="N96" i="8"/>
  <c r="O96" i="8"/>
  <c r="P96" i="8"/>
  <c r="Q96" i="8"/>
  <c r="R96" i="8"/>
  <c r="N97" i="8"/>
  <c r="O97" i="8"/>
  <c r="P97" i="8"/>
  <c r="Q97" i="8"/>
  <c r="R97" i="8"/>
  <c r="N98" i="8"/>
  <c r="O98" i="8"/>
  <c r="P98" i="8"/>
  <c r="Q98" i="8"/>
  <c r="R98" i="8"/>
  <c r="N99" i="8"/>
  <c r="O99" i="8"/>
  <c r="P99" i="8"/>
  <c r="Q99" i="8"/>
  <c r="R99" i="8"/>
  <c r="N100" i="8"/>
  <c r="O100" i="8"/>
  <c r="P100" i="8"/>
  <c r="Q100" i="8"/>
  <c r="R100" i="8"/>
  <c r="O85" i="8"/>
  <c r="P85" i="8"/>
  <c r="Q85" i="8"/>
  <c r="R85" i="8"/>
  <c r="N66" i="8"/>
  <c r="O66" i="8"/>
  <c r="P66" i="8"/>
  <c r="Q66" i="8"/>
  <c r="R66" i="8"/>
  <c r="N67" i="8"/>
  <c r="O67" i="8"/>
  <c r="P67" i="8"/>
  <c r="Q67" i="8"/>
  <c r="R67" i="8"/>
  <c r="N68" i="8"/>
  <c r="O68" i="8"/>
  <c r="P68" i="8"/>
  <c r="Q68" i="8"/>
  <c r="R68" i="8"/>
  <c r="N69" i="8"/>
  <c r="O69" i="8"/>
  <c r="P69" i="8"/>
  <c r="Q69" i="8"/>
  <c r="R69" i="8"/>
  <c r="N70" i="8"/>
  <c r="O70" i="8"/>
  <c r="P70" i="8"/>
  <c r="Q70" i="8"/>
  <c r="R70" i="8"/>
  <c r="N71" i="8"/>
  <c r="O71" i="8"/>
  <c r="P71" i="8"/>
  <c r="Q71" i="8"/>
  <c r="R71" i="8"/>
  <c r="N72" i="8"/>
  <c r="O72" i="8"/>
  <c r="P72" i="8"/>
  <c r="Q72" i="8"/>
  <c r="R72" i="8"/>
  <c r="N73" i="8"/>
  <c r="O73" i="8"/>
  <c r="P73" i="8"/>
  <c r="Q73" i="8"/>
  <c r="R73" i="8"/>
  <c r="N74" i="8"/>
  <c r="O74" i="8"/>
  <c r="P74" i="8"/>
  <c r="Q74" i="8"/>
  <c r="R74" i="8"/>
  <c r="N75" i="8"/>
  <c r="O75" i="8"/>
  <c r="P75" i="8"/>
  <c r="Q75" i="8"/>
  <c r="R75" i="8"/>
  <c r="N76" i="8"/>
  <c r="O76" i="8"/>
  <c r="P76" i="8"/>
  <c r="Q76" i="8"/>
  <c r="R76" i="8"/>
  <c r="N77" i="8"/>
  <c r="O77" i="8"/>
  <c r="P77" i="8"/>
  <c r="Q77" i="8"/>
  <c r="R77" i="8"/>
  <c r="N78" i="8"/>
  <c r="O78" i="8"/>
  <c r="P78" i="8"/>
  <c r="Q78" i="8"/>
  <c r="R78" i="8"/>
  <c r="N79" i="8"/>
  <c r="O79" i="8"/>
  <c r="P79" i="8"/>
  <c r="Q79" i="8"/>
  <c r="R79" i="8"/>
  <c r="N80" i="8"/>
  <c r="O80" i="8"/>
  <c r="P80" i="8"/>
  <c r="Q80" i="8"/>
  <c r="R80" i="8"/>
  <c r="O65" i="8"/>
  <c r="P65" i="8"/>
  <c r="Q65" i="8"/>
  <c r="R65" i="8"/>
  <c r="N46" i="8"/>
  <c r="O46" i="8"/>
  <c r="P46" i="8"/>
  <c r="Q46" i="8"/>
  <c r="R46" i="8"/>
  <c r="N47" i="8"/>
  <c r="O47" i="8"/>
  <c r="P47" i="8"/>
  <c r="Q47" i="8"/>
  <c r="R47" i="8"/>
  <c r="N48" i="8"/>
  <c r="O48" i="8"/>
  <c r="P48" i="8"/>
  <c r="Q48" i="8"/>
  <c r="R48" i="8"/>
  <c r="N49" i="8"/>
  <c r="O49" i="8"/>
  <c r="P49" i="8"/>
  <c r="Q49" i="8"/>
  <c r="R49" i="8"/>
  <c r="N50" i="8"/>
  <c r="O50" i="8"/>
  <c r="P50" i="8"/>
  <c r="Q50" i="8"/>
  <c r="R50" i="8"/>
  <c r="N51" i="8"/>
  <c r="O51" i="8"/>
  <c r="P51" i="8"/>
  <c r="Q51" i="8"/>
  <c r="R51" i="8"/>
  <c r="N52" i="8"/>
  <c r="O52" i="8"/>
  <c r="P52" i="8"/>
  <c r="Q52" i="8"/>
  <c r="R52" i="8"/>
  <c r="N53" i="8"/>
  <c r="O53" i="8"/>
  <c r="P53" i="8"/>
  <c r="Q53" i="8"/>
  <c r="R53" i="8"/>
  <c r="N54" i="8"/>
  <c r="O54" i="8"/>
  <c r="P54" i="8"/>
  <c r="Q54" i="8"/>
  <c r="R54" i="8"/>
  <c r="N55" i="8"/>
  <c r="O55" i="8"/>
  <c r="P55" i="8"/>
  <c r="Q55" i="8"/>
  <c r="R55" i="8"/>
  <c r="N56" i="8"/>
  <c r="O56" i="8"/>
  <c r="P56" i="8"/>
  <c r="Q56" i="8"/>
  <c r="R56" i="8"/>
  <c r="N57" i="8"/>
  <c r="O57" i="8"/>
  <c r="P57" i="8"/>
  <c r="Q57" i="8"/>
  <c r="R57" i="8"/>
  <c r="N58" i="8"/>
  <c r="O58" i="8"/>
  <c r="P58" i="8"/>
  <c r="Q58" i="8"/>
  <c r="R58" i="8"/>
  <c r="N59" i="8"/>
  <c r="O59" i="8"/>
  <c r="P59" i="8"/>
  <c r="Q59" i="8"/>
  <c r="R59" i="8"/>
  <c r="N60" i="8"/>
  <c r="O60" i="8"/>
  <c r="P60" i="8"/>
  <c r="Q60" i="8"/>
  <c r="R60" i="8"/>
  <c r="O45" i="8"/>
  <c r="P45" i="8"/>
  <c r="Q45" i="8"/>
  <c r="R45" i="8"/>
  <c r="N26" i="8"/>
  <c r="O26" i="8"/>
  <c r="P26" i="8"/>
  <c r="Q26" i="8"/>
  <c r="R26" i="8"/>
  <c r="N27" i="8"/>
  <c r="O27" i="8"/>
  <c r="P27" i="8"/>
  <c r="Q27" i="8"/>
  <c r="R27" i="8"/>
  <c r="N28" i="8"/>
  <c r="O28" i="8"/>
  <c r="P28" i="8"/>
  <c r="Q28" i="8"/>
  <c r="R28" i="8"/>
  <c r="N29" i="8"/>
  <c r="O29" i="8"/>
  <c r="P29" i="8"/>
  <c r="Q29" i="8"/>
  <c r="R29" i="8"/>
  <c r="N30" i="8"/>
  <c r="O30" i="8"/>
  <c r="P30" i="8"/>
  <c r="Q30" i="8"/>
  <c r="R30" i="8"/>
  <c r="N31" i="8"/>
  <c r="O31" i="8"/>
  <c r="P31" i="8"/>
  <c r="Q31" i="8"/>
  <c r="R31" i="8"/>
  <c r="N32" i="8"/>
  <c r="O32" i="8"/>
  <c r="P32" i="8"/>
  <c r="Q32" i="8"/>
  <c r="R32" i="8"/>
  <c r="N33" i="8"/>
  <c r="O33" i="8"/>
  <c r="P33" i="8"/>
  <c r="Q33" i="8"/>
  <c r="R33" i="8"/>
  <c r="N34" i="8"/>
  <c r="O34" i="8"/>
  <c r="P34" i="8"/>
  <c r="Q34" i="8"/>
  <c r="R34" i="8"/>
  <c r="N35" i="8"/>
  <c r="O35" i="8"/>
  <c r="P35" i="8"/>
  <c r="Q35" i="8"/>
  <c r="R35" i="8"/>
  <c r="N36" i="8"/>
  <c r="O36" i="8"/>
  <c r="P36" i="8"/>
  <c r="Q36" i="8"/>
  <c r="R36" i="8"/>
  <c r="N37" i="8"/>
  <c r="O37" i="8"/>
  <c r="P37" i="8"/>
  <c r="Q37" i="8"/>
  <c r="R37" i="8"/>
  <c r="N38" i="8"/>
  <c r="O38" i="8"/>
  <c r="P38" i="8"/>
  <c r="Q38" i="8"/>
  <c r="R38" i="8"/>
  <c r="N39" i="8"/>
  <c r="O39" i="8"/>
  <c r="P39" i="8"/>
  <c r="Q39" i="8"/>
  <c r="R39" i="8"/>
  <c r="N40" i="8"/>
  <c r="O40" i="8"/>
  <c r="P40" i="8"/>
  <c r="Q40" i="8"/>
  <c r="R40" i="8"/>
  <c r="O25" i="8"/>
  <c r="P25" i="8"/>
  <c r="Q25" i="8"/>
  <c r="R25" i="8"/>
  <c r="N85" i="8"/>
  <c r="N65" i="8"/>
  <c r="N45" i="8"/>
  <c r="N25" i="8"/>
  <c r="N6" i="8"/>
  <c r="O6" i="8"/>
  <c r="P6" i="8"/>
  <c r="Q6" i="8"/>
  <c r="R6" i="8"/>
  <c r="N7" i="8"/>
  <c r="O7" i="8"/>
  <c r="P7" i="8"/>
  <c r="Q7" i="8"/>
  <c r="R7" i="8"/>
  <c r="N8" i="8"/>
  <c r="O8" i="8"/>
  <c r="P8" i="8"/>
  <c r="Q8" i="8"/>
  <c r="R8" i="8"/>
  <c r="N9" i="8"/>
  <c r="O9" i="8"/>
  <c r="P9" i="8"/>
  <c r="Q9" i="8"/>
  <c r="R9" i="8"/>
  <c r="N10" i="8"/>
  <c r="O10" i="8"/>
  <c r="P10" i="8"/>
  <c r="Q10" i="8"/>
  <c r="R10" i="8"/>
  <c r="N11" i="8"/>
  <c r="O11" i="8"/>
  <c r="P11" i="8"/>
  <c r="Q11" i="8"/>
  <c r="R11" i="8"/>
  <c r="N12" i="8"/>
  <c r="O12" i="8"/>
  <c r="P12" i="8"/>
  <c r="Q12" i="8"/>
  <c r="R12" i="8"/>
  <c r="N13" i="8"/>
  <c r="O13" i="8"/>
  <c r="P13" i="8"/>
  <c r="Q13" i="8"/>
  <c r="R13" i="8"/>
  <c r="N14" i="8"/>
  <c r="O14" i="8"/>
  <c r="P14" i="8"/>
  <c r="Q14" i="8"/>
  <c r="R14" i="8"/>
  <c r="N15" i="8"/>
  <c r="O15" i="8"/>
  <c r="P15" i="8"/>
  <c r="Q15" i="8"/>
  <c r="R15" i="8"/>
  <c r="N16" i="8"/>
  <c r="O16" i="8"/>
  <c r="P16" i="8"/>
  <c r="Q16" i="8"/>
  <c r="R16" i="8"/>
  <c r="N17" i="8"/>
  <c r="O17" i="8"/>
  <c r="P17" i="8"/>
  <c r="Q17" i="8"/>
  <c r="R17" i="8"/>
  <c r="N18" i="8"/>
  <c r="O18" i="8"/>
  <c r="P18" i="8"/>
  <c r="Q18" i="8"/>
  <c r="R18" i="8"/>
  <c r="N19" i="8"/>
  <c r="O19" i="8"/>
  <c r="P19" i="8"/>
  <c r="Q19" i="8"/>
  <c r="R19" i="8"/>
  <c r="N20" i="8"/>
  <c r="O20" i="8"/>
  <c r="P20" i="8"/>
  <c r="Q20" i="8"/>
  <c r="R20" i="8"/>
  <c r="O5" i="8"/>
  <c r="P5" i="8"/>
  <c r="Q5" i="8"/>
  <c r="R5" i="8"/>
  <c r="N5" i="8"/>
  <c r="AE85" i="11" l="1"/>
  <c r="AF85" i="11"/>
  <c r="AG85" i="11"/>
  <c r="AH85" i="11"/>
  <c r="AD85" i="11"/>
  <c r="AE65" i="11"/>
  <c r="AF65" i="11"/>
  <c r="AG65" i="11"/>
  <c r="AH65" i="11"/>
  <c r="AD65" i="11"/>
  <c r="AE45" i="11"/>
  <c r="AF45" i="11"/>
  <c r="AG45" i="11"/>
  <c r="AH45" i="11"/>
  <c r="AD45" i="11"/>
  <c r="AE25" i="11"/>
  <c r="AF25" i="11"/>
  <c r="AG25" i="11"/>
  <c r="AH25" i="11"/>
  <c r="AD25" i="11"/>
  <c r="AE5" i="11"/>
  <c r="AF5" i="11"/>
  <c r="AG5" i="11"/>
  <c r="AH5" i="11"/>
  <c r="AD5" i="11"/>
  <c r="D25" i="14" l="1"/>
  <c r="E25" i="14"/>
  <c r="F25" i="14"/>
  <c r="G25" i="14"/>
  <c r="H25" i="14"/>
  <c r="E24" i="14"/>
  <c r="F24" i="14"/>
  <c r="G24" i="14"/>
  <c r="H24" i="14"/>
  <c r="D24" i="14"/>
  <c r="K70" i="10"/>
  <c r="K51" i="10"/>
  <c r="K39" i="10"/>
  <c r="K96" i="10"/>
  <c r="K47" i="10"/>
  <c r="K5" i="10"/>
  <c r="H57" i="10"/>
  <c r="J60" i="10"/>
  <c r="I93" i="10"/>
  <c r="H38" i="10"/>
  <c r="H97" i="10"/>
  <c r="G66" i="10"/>
  <c r="I36" i="10"/>
  <c r="K50" i="10"/>
  <c r="K72" i="10"/>
  <c r="G67" i="10"/>
  <c r="G37" i="10"/>
  <c r="K40" i="10"/>
  <c r="J35" i="10"/>
  <c r="K85" i="10"/>
  <c r="G74" i="10"/>
  <c r="I25" i="10"/>
  <c r="I37" i="10"/>
  <c r="J78" i="10"/>
  <c r="H91" i="10"/>
  <c r="J48" i="10"/>
  <c r="J28" i="10"/>
  <c r="J77" i="10"/>
  <c r="G60" i="10"/>
  <c r="G99" i="10"/>
  <c r="G68" i="10"/>
  <c r="J33" i="10"/>
  <c r="I98" i="10"/>
  <c r="H73" i="10"/>
  <c r="I74" i="10"/>
  <c r="I71" i="10"/>
  <c r="J89" i="10"/>
  <c r="J85" i="10"/>
  <c r="J65" i="10"/>
  <c r="G27" i="10"/>
  <c r="K79" i="10"/>
  <c r="K60" i="10"/>
  <c r="G87" i="10"/>
  <c r="K49" i="10"/>
  <c r="I31" i="10"/>
  <c r="G45" i="10"/>
  <c r="H45" i="10"/>
  <c r="G93" i="10"/>
  <c r="H35" i="10"/>
  <c r="G92" i="10"/>
  <c r="I52" i="10"/>
  <c r="K54" i="10"/>
  <c r="J31" i="10"/>
  <c r="K71" i="10"/>
  <c r="K74" i="10"/>
  <c r="K28" i="10"/>
  <c r="H30" i="10"/>
  <c r="I77" i="10"/>
  <c r="K88" i="10"/>
  <c r="G70" i="10"/>
  <c r="G39" i="10"/>
  <c r="J59" i="10"/>
  <c r="H96" i="10"/>
  <c r="J51" i="10"/>
  <c r="K36" i="10"/>
  <c r="H56" i="10"/>
  <c r="K94" i="10"/>
  <c r="I97" i="10"/>
  <c r="G33" i="10"/>
  <c r="K93" i="10"/>
  <c r="G54" i="10"/>
  <c r="I45" i="10"/>
  <c r="K56" i="10"/>
  <c r="K33" i="10"/>
  <c r="K48" i="10"/>
  <c r="G34" i="10"/>
  <c r="G58" i="10"/>
  <c r="J79" i="10"/>
  <c r="I99" i="10"/>
  <c r="I60" i="10"/>
  <c r="J25" i="10"/>
  <c r="J38" i="10"/>
  <c r="K73" i="10"/>
  <c r="K80" i="10"/>
  <c r="H36" i="10"/>
  <c r="H93" i="10"/>
  <c r="J74" i="10"/>
  <c r="H34" i="10"/>
  <c r="H54" i="10"/>
  <c r="G65" i="10"/>
  <c r="G31" i="10"/>
  <c r="G88" i="10"/>
  <c r="H79" i="10"/>
  <c r="I75" i="10"/>
  <c r="I78" i="10"/>
  <c r="J90" i="10"/>
  <c r="J70" i="10"/>
  <c r="I65" i="10"/>
  <c r="G26" i="10"/>
  <c r="K86" i="10"/>
  <c r="G40" i="10"/>
  <c r="G95" i="10"/>
  <c r="K67" i="10"/>
  <c r="G71" i="10"/>
  <c r="H75" i="10"/>
  <c r="H66" i="10"/>
  <c r="I68" i="10"/>
  <c r="I27" i="10"/>
  <c r="K89" i="10"/>
  <c r="G91" i="10"/>
  <c r="H71" i="10"/>
  <c r="J68" i="10"/>
  <c r="K97" i="10"/>
  <c r="G79" i="10"/>
  <c r="I40" i="10"/>
  <c r="J45" i="10"/>
  <c r="H80" i="10"/>
  <c r="G47" i="10"/>
  <c r="K55" i="10"/>
  <c r="K46" i="10"/>
  <c r="H53" i="10"/>
  <c r="H86" i="10"/>
  <c r="K53" i="10"/>
  <c r="G89" i="10"/>
  <c r="G49" i="10"/>
  <c r="I29" i="10"/>
  <c r="I96" i="10"/>
  <c r="I100" i="10"/>
  <c r="G50" i="10"/>
  <c r="K32" i="10"/>
  <c r="H60" i="10"/>
  <c r="K45" i="10"/>
  <c r="H87" i="10"/>
  <c r="H51" i="10"/>
  <c r="I49" i="10"/>
  <c r="J99" i="10"/>
  <c r="K30" i="10"/>
  <c r="G80" i="10"/>
  <c r="I88" i="10"/>
  <c r="H95" i="10"/>
  <c r="H69" i="10"/>
  <c r="K26" i="10"/>
  <c r="K100" i="10"/>
  <c r="H76" i="10"/>
  <c r="G29" i="10"/>
  <c r="G90" i="10"/>
  <c r="G57" i="10"/>
  <c r="I80" i="10"/>
  <c r="I72" i="10"/>
  <c r="I87" i="10"/>
  <c r="J69" i="10"/>
  <c r="I67" i="10"/>
  <c r="H25" i="10"/>
  <c r="H85" i="10"/>
  <c r="K75" i="10"/>
  <c r="J75" i="10"/>
  <c r="G35" i="10"/>
  <c r="H32" i="10"/>
  <c r="G55" i="10"/>
  <c r="G59" i="10"/>
  <c r="I85" i="10"/>
  <c r="I54" i="10"/>
  <c r="H47" i="10"/>
  <c r="H77" i="10"/>
  <c r="J93" i="10"/>
  <c r="J97" i="10"/>
  <c r="G69" i="10"/>
  <c r="H40" i="10"/>
  <c r="J54" i="10"/>
  <c r="G75" i="10"/>
  <c r="I26" i="10"/>
  <c r="J55" i="10"/>
  <c r="K27" i="10"/>
  <c r="K31" i="10"/>
  <c r="I94" i="10"/>
  <c r="G32" i="10"/>
  <c r="G73" i="10"/>
  <c r="I51" i="10"/>
  <c r="K34" i="10"/>
  <c r="G78" i="10"/>
  <c r="H88" i="10"/>
  <c r="J46" i="10"/>
  <c r="H46" i="10"/>
  <c r="H29" i="10"/>
  <c r="I33" i="10"/>
  <c r="K95" i="10"/>
  <c r="H58" i="10"/>
  <c r="J36" i="10"/>
  <c r="H72" i="10"/>
  <c r="J95" i="10"/>
  <c r="G48" i="10"/>
  <c r="K68" i="10"/>
  <c r="J94" i="10"/>
  <c r="I55" i="10"/>
  <c r="I47" i="10"/>
  <c r="G86" i="10"/>
  <c r="I57" i="10"/>
  <c r="H48" i="10"/>
  <c r="G85" i="10"/>
  <c r="J29" i="10"/>
  <c r="I70" i="10"/>
  <c r="I76" i="10"/>
  <c r="J87" i="10"/>
  <c r="J71" i="10"/>
  <c r="H27" i="10"/>
  <c r="G25" i="10"/>
  <c r="I30" i="10"/>
  <c r="K77" i="10"/>
  <c r="J96" i="10"/>
  <c r="I38" i="10"/>
  <c r="G94" i="10"/>
  <c r="G46" i="10"/>
  <c r="J57" i="10"/>
  <c r="J88" i="10"/>
  <c r="H39" i="10"/>
  <c r="H90" i="10"/>
  <c r="I46" i="10"/>
  <c r="I34" i="10"/>
  <c r="I66" i="10"/>
  <c r="H99" i="10"/>
  <c r="H50" i="10"/>
  <c r="G38" i="10"/>
  <c r="I95" i="10"/>
  <c r="H65" i="10"/>
  <c r="H33" i="10"/>
  <c r="K76" i="10"/>
  <c r="J32" i="10"/>
  <c r="J37" i="10"/>
  <c r="J98" i="10"/>
  <c r="J58" i="10"/>
  <c r="H70" i="10"/>
  <c r="I35" i="10"/>
  <c r="K58" i="10"/>
  <c r="H55" i="10"/>
  <c r="G96" i="10"/>
  <c r="I58" i="10"/>
  <c r="J40" i="10"/>
  <c r="H92" i="10"/>
  <c r="H49" i="10"/>
  <c r="K65" i="10"/>
  <c r="I53" i="10"/>
  <c r="G77" i="10"/>
  <c r="H59" i="10"/>
  <c r="G100" i="10"/>
  <c r="K29" i="10"/>
  <c r="K69" i="10"/>
  <c r="H98" i="10"/>
  <c r="J47" i="10"/>
  <c r="J34" i="10"/>
  <c r="I92" i="10"/>
  <c r="I59" i="10"/>
  <c r="J52" i="10"/>
  <c r="K91" i="10"/>
  <c r="J26" i="10"/>
  <c r="I73" i="10"/>
  <c r="J91" i="10"/>
  <c r="I86" i="10"/>
  <c r="J72" i="10"/>
  <c r="I28" i="10"/>
  <c r="H5" i="10"/>
  <c r="J73" i="10"/>
  <c r="J39" i="10"/>
  <c r="G28" i="10"/>
  <c r="K57" i="10"/>
  <c r="I32" i="10"/>
  <c r="G76" i="10"/>
  <c r="J80" i="10"/>
  <c r="J66" i="10"/>
  <c r="K78" i="10"/>
  <c r="K52" i="10"/>
  <c r="G30" i="10"/>
  <c r="I69" i="10"/>
  <c r="I89" i="10"/>
  <c r="H52" i="10"/>
  <c r="J5" i="10"/>
  <c r="K99" i="10"/>
  <c r="G72" i="10"/>
  <c r="J30" i="10"/>
  <c r="H78" i="10"/>
  <c r="I5" i="10"/>
  <c r="J49" i="10"/>
  <c r="I91" i="10"/>
  <c r="J100" i="10"/>
  <c r="H74" i="10"/>
  <c r="I39" i="10"/>
  <c r="J53" i="10"/>
  <c r="J27" i="10"/>
  <c r="H68" i="10"/>
  <c r="G56" i="10"/>
  <c r="K37" i="10"/>
  <c r="K66" i="10"/>
  <c r="H31" i="10"/>
  <c r="H67" i="10"/>
  <c r="H37" i="10"/>
  <c r="J50" i="10"/>
  <c r="I90" i="10"/>
  <c r="K87" i="10"/>
  <c r="K92" i="10"/>
  <c r="G36" i="10"/>
  <c r="K98" i="10"/>
  <c r="I50" i="10"/>
  <c r="K59" i="10"/>
  <c r="H94" i="10"/>
  <c r="G52" i="10"/>
  <c r="K35" i="10"/>
  <c r="H89" i="10"/>
  <c r="I48" i="10"/>
  <c r="I79" i="10"/>
  <c r="J92" i="10"/>
  <c r="J86" i="10"/>
  <c r="J67" i="10"/>
  <c r="H28" i="10"/>
  <c r="G5" i="10"/>
  <c r="I56" i="10"/>
  <c r="J56" i="10"/>
  <c r="J76" i="10"/>
  <c r="G98" i="10"/>
  <c r="G97" i="10"/>
  <c r="K90" i="10"/>
  <c r="K38" i="10"/>
  <c r="K25" i="10"/>
  <c r="G51" i="10"/>
  <c r="G53" i="10"/>
  <c r="H100" i="10"/>
  <c r="H26" i="10"/>
  <c r="E30" i="14" l="1"/>
  <c r="F30" i="14"/>
  <c r="G30" i="14"/>
  <c r="H30" i="14"/>
  <c r="D30" i="14"/>
  <c r="D33" i="14" s="1"/>
  <c r="S85" i="14"/>
  <c r="S86" i="14" s="1"/>
  <c r="S87" i="14" s="1"/>
  <c r="S88" i="14" s="1"/>
  <c r="S89" i="14" s="1"/>
  <c r="S90" i="14" s="1"/>
  <c r="S91" i="14" s="1"/>
  <c r="S92" i="14" s="1"/>
  <c r="S93" i="14" s="1"/>
  <c r="R85" i="14"/>
  <c r="Q85" i="14"/>
  <c r="Q86" i="14" s="1"/>
  <c r="Q87" i="14" s="1"/>
  <c r="Q88" i="14" s="1"/>
  <c r="Q89" i="14" s="1"/>
  <c r="Q90" i="14" s="1"/>
  <c r="P85" i="14"/>
  <c r="P86" i="14" s="1"/>
  <c r="P87" i="14" s="1"/>
  <c r="O85" i="14"/>
  <c r="O86" i="14" s="1"/>
  <c r="O87" i="14" s="1"/>
  <c r="S65" i="14"/>
  <c r="S66" i="14" s="1"/>
  <c r="S67" i="14" s="1"/>
  <c r="S68" i="14" s="1"/>
  <c r="S69" i="14" s="1"/>
  <c r="S70" i="14" s="1"/>
  <c r="S71" i="14" s="1"/>
  <c r="S72" i="14" s="1"/>
  <c r="S73" i="14" s="1"/>
  <c r="R65" i="14"/>
  <c r="R66" i="14" s="1"/>
  <c r="R67" i="14" s="1"/>
  <c r="R68" i="14" s="1"/>
  <c r="R69" i="14" s="1"/>
  <c r="R70" i="14" s="1"/>
  <c r="R71" i="14" s="1"/>
  <c r="R72" i="14" s="1"/>
  <c r="R73" i="14" s="1"/>
  <c r="Q65" i="14"/>
  <c r="P65" i="14"/>
  <c r="P66" i="14" s="1"/>
  <c r="P67" i="14" s="1"/>
  <c r="O65" i="14"/>
  <c r="O66" i="14" s="1"/>
  <c r="O67" i="14" s="1"/>
  <c r="S45" i="14"/>
  <c r="S46" i="14" s="1"/>
  <c r="S47" i="14" s="1"/>
  <c r="S48" i="14" s="1"/>
  <c r="S49" i="14" s="1"/>
  <c r="S50" i="14" s="1"/>
  <c r="S51" i="14" s="1"/>
  <c r="S52" i="14" s="1"/>
  <c r="S53" i="14" s="1"/>
  <c r="R45" i="14"/>
  <c r="R46" i="14" s="1"/>
  <c r="R47" i="14" s="1"/>
  <c r="R48" i="14" s="1"/>
  <c r="R49" i="14" s="1"/>
  <c r="R50" i="14" s="1"/>
  <c r="R51" i="14" s="1"/>
  <c r="R52" i="14" s="1"/>
  <c r="R53" i="14" s="1"/>
  <c r="Q45" i="14"/>
  <c r="Q46" i="14" s="1"/>
  <c r="Q47" i="14" s="1"/>
  <c r="Q48" i="14" s="1"/>
  <c r="Q49" i="14" s="1"/>
  <c r="Q50" i="14" s="1"/>
  <c r="P45" i="14"/>
  <c r="P46" i="14" s="1"/>
  <c r="P47" i="14" s="1"/>
  <c r="O45" i="14"/>
  <c r="O46" i="14" s="1"/>
  <c r="S25" i="14"/>
  <c r="R25" i="14"/>
  <c r="R26" i="14" s="1"/>
  <c r="R27" i="14" s="1"/>
  <c r="R28" i="14" s="1"/>
  <c r="R29" i="14" s="1"/>
  <c r="R30" i="14" s="1"/>
  <c r="R31" i="14" s="1"/>
  <c r="R32" i="14" s="1"/>
  <c r="R33" i="14" s="1"/>
  <c r="Q25" i="14"/>
  <c r="Q26" i="14" s="1"/>
  <c r="Q27" i="14" s="1"/>
  <c r="Q28" i="14" s="1"/>
  <c r="Q29" i="14" s="1"/>
  <c r="Q30" i="14" s="1"/>
  <c r="P25" i="14"/>
  <c r="P26" i="14" s="1"/>
  <c r="P27" i="14" s="1"/>
  <c r="O25" i="14"/>
  <c r="O26" i="14" s="1"/>
  <c r="P5" i="14"/>
  <c r="P6" i="14" s="1"/>
  <c r="P7" i="14" s="1"/>
  <c r="Q5" i="14"/>
  <c r="Q6" i="14" s="1"/>
  <c r="Q7" i="14" s="1"/>
  <c r="Q8" i="14" s="1"/>
  <c r="Q9" i="14" s="1"/>
  <c r="Q10" i="14" s="1"/>
  <c r="R5" i="14"/>
  <c r="R6" i="14" s="1"/>
  <c r="R7" i="14" s="1"/>
  <c r="R8" i="14" s="1"/>
  <c r="R9" i="14" s="1"/>
  <c r="R10" i="14" s="1"/>
  <c r="R11" i="14" s="1"/>
  <c r="R12" i="14" s="1"/>
  <c r="R13" i="14" s="1"/>
  <c r="S5" i="14"/>
  <c r="S6" i="14" s="1"/>
  <c r="S7" i="14" s="1"/>
  <c r="S8" i="14" s="1"/>
  <c r="S9" i="14" s="1"/>
  <c r="S10" i="14" s="1"/>
  <c r="S11" i="14" s="1"/>
  <c r="S12" i="14" s="1"/>
  <c r="S13" i="14" s="1"/>
  <c r="O5" i="14"/>
  <c r="O6" i="14" s="1"/>
  <c r="O7" i="14" s="1"/>
  <c r="T25" i="14" l="1"/>
  <c r="T85" i="14"/>
  <c r="T65" i="14"/>
  <c r="R86" i="14"/>
  <c r="R87" i="14" s="1"/>
  <c r="R88" i="14" s="1"/>
  <c r="R89" i="14" s="1"/>
  <c r="R90" i="14" s="1"/>
  <c r="R91" i="14" s="1"/>
  <c r="R92" i="14" s="1"/>
  <c r="R93" i="14" s="1"/>
  <c r="O88" i="14"/>
  <c r="O89" i="14" s="1"/>
  <c r="O68" i="14"/>
  <c r="O69" i="14" s="1"/>
  <c r="Q66" i="14"/>
  <c r="Q67" i="14" s="1"/>
  <c r="Q68" i="14" s="1"/>
  <c r="Q69" i="14" s="1"/>
  <c r="Q70" i="14" s="1"/>
  <c r="T46" i="14"/>
  <c r="O47" i="14"/>
  <c r="T45" i="14"/>
  <c r="S26" i="14"/>
  <c r="S27" i="14" s="1"/>
  <c r="S28" i="14" s="1"/>
  <c r="S29" i="14" s="1"/>
  <c r="S30" i="14" s="1"/>
  <c r="S31" i="14" s="1"/>
  <c r="S32" i="14" s="1"/>
  <c r="S33" i="14" s="1"/>
  <c r="O27" i="14"/>
  <c r="O8" i="14"/>
  <c r="T7" i="14"/>
  <c r="T6" i="14"/>
  <c r="T5" i="14"/>
  <c r="D34" i="14"/>
  <c r="W9" i="13"/>
  <c r="Y100" i="13"/>
  <c r="X100" i="13"/>
  <c r="W100" i="13"/>
  <c r="V100" i="13"/>
  <c r="U100" i="13"/>
  <c r="Y99" i="13"/>
  <c r="X99" i="13"/>
  <c r="W99" i="13"/>
  <c r="V99" i="13"/>
  <c r="U99" i="13"/>
  <c r="Y98" i="13"/>
  <c r="X98" i="13"/>
  <c r="W98" i="13"/>
  <c r="V98" i="13"/>
  <c r="U98" i="13"/>
  <c r="Y97" i="13"/>
  <c r="X97" i="13"/>
  <c r="W97" i="13"/>
  <c r="V97" i="13"/>
  <c r="U97" i="13"/>
  <c r="Y96" i="13"/>
  <c r="X96" i="13"/>
  <c r="W96" i="13"/>
  <c r="V96" i="13"/>
  <c r="U96" i="13"/>
  <c r="Y95" i="13"/>
  <c r="X95" i="13"/>
  <c r="W95" i="13"/>
  <c r="V95" i="13"/>
  <c r="U95" i="13"/>
  <c r="Y94" i="13"/>
  <c r="X94" i="13"/>
  <c r="W94" i="13"/>
  <c r="V94" i="13"/>
  <c r="U94" i="13"/>
  <c r="Y93" i="13"/>
  <c r="X93" i="13"/>
  <c r="W93" i="13"/>
  <c r="V93" i="13"/>
  <c r="U93" i="13"/>
  <c r="Y92" i="13"/>
  <c r="X92" i="13"/>
  <c r="W92" i="13"/>
  <c r="V92" i="13"/>
  <c r="U92" i="13"/>
  <c r="Y91" i="13"/>
  <c r="X91" i="13"/>
  <c r="W91" i="13"/>
  <c r="V91" i="13"/>
  <c r="U91" i="13"/>
  <c r="Y90" i="13"/>
  <c r="X90" i="13"/>
  <c r="W90" i="13"/>
  <c r="V90" i="13"/>
  <c r="U90" i="13"/>
  <c r="Y89" i="13"/>
  <c r="X89" i="13"/>
  <c r="W89" i="13"/>
  <c r="V89" i="13"/>
  <c r="U89" i="13"/>
  <c r="Y88" i="13"/>
  <c r="X88" i="13"/>
  <c r="W88" i="13"/>
  <c r="V88" i="13"/>
  <c r="U88" i="13"/>
  <c r="Y87" i="13"/>
  <c r="X87" i="13"/>
  <c r="W87" i="13"/>
  <c r="V87" i="13"/>
  <c r="U87" i="13"/>
  <c r="Y86" i="13"/>
  <c r="X86" i="13"/>
  <c r="W86" i="13"/>
  <c r="V86" i="13"/>
  <c r="U86" i="13"/>
  <c r="Y85" i="13"/>
  <c r="X85" i="13"/>
  <c r="W85" i="13"/>
  <c r="V85" i="13"/>
  <c r="U85" i="13"/>
  <c r="Y80" i="13"/>
  <c r="X80" i="13"/>
  <c r="W80" i="13"/>
  <c r="V80" i="13"/>
  <c r="U80" i="13"/>
  <c r="Y79" i="13"/>
  <c r="X79" i="13"/>
  <c r="W79" i="13"/>
  <c r="V79" i="13"/>
  <c r="U79" i="13"/>
  <c r="Y78" i="13"/>
  <c r="X78" i="13"/>
  <c r="W78" i="13"/>
  <c r="V78" i="13"/>
  <c r="U78" i="13"/>
  <c r="Y77" i="13"/>
  <c r="X77" i="13"/>
  <c r="W77" i="13"/>
  <c r="V77" i="13"/>
  <c r="U77" i="13"/>
  <c r="Y76" i="13"/>
  <c r="X76" i="13"/>
  <c r="W76" i="13"/>
  <c r="V76" i="13"/>
  <c r="U76" i="13"/>
  <c r="Y75" i="13"/>
  <c r="X75" i="13"/>
  <c r="W75" i="13"/>
  <c r="V75" i="13"/>
  <c r="U75" i="13"/>
  <c r="Y74" i="13"/>
  <c r="X74" i="13"/>
  <c r="W74" i="13"/>
  <c r="V74" i="13"/>
  <c r="U74" i="13"/>
  <c r="Y73" i="13"/>
  <c r="X73" i="13"/>
  <c r="W73" i="13"/>
  <c r="V73" i="13"/>
  <c r="U73" i="13"/>
  <c r="Y72" i="13"/>
  <c r="X72" i="13"/>
  <c r="W72" i="13"/>
  <c r="V72" i="13"/>
  <c r="U72" i="13"/>
  <c r="Y71" i="13"/>
  <c r="X71" i="13"/>
  <c r="W71" i="13"/>
  <c r="V71" i="13"/>
  <c r="U71" i="13"/>
  <c r="Y70" i="13"/>
  <c r="X70" i="13"/>
  <c r="W70" i="13"/>
  <c r="V70" i="13"/>
  <c r="U70" i="13"/>
  <c r="Y69" i="13"/>
  <c r="X69" i="13"/>
  <c r="W69" i="13"/>
  <c r="V69" i="13"/>
  <c r="U69" i="13"/>
  <c r="Y68" i="13"/>
  <c r="X68" i="13"/>
  <c r="W68" i="13"/>
  <c r="V68" i="13"/>
  <c r="U68" i="13"/>
  <c r="Y67" i="13"/>
  <c r="X67" i="13"/>
  <c r="W67" i="13"/>
  <c r="V67" i="13"/>
  <c r="U67" i="13"/>
  <c r="Y66" i="13"/>
  <c r="X66" i="13"/>
  <c r="W66" i="13"/>
  <c r="V66" i="13"/>
  <c r="U66" i="13"/>
  <c r="Y65" i="13"/>
  <c r="X65" i="13"/>
  <c r="W65" i="13"/>
  <c r="V65" i="13"/>
  <c r="U65" i="13"/>
  <c r="Y60" i="13"/>
  <c r="X60" i="13"/>
  <c r="W60" i="13"/>
  <c r="V60" i="13"/>
  <c r="U60" i="13"/>
  <c r="Y59" i="13"/>
  <c r="X59" i="13"/>
  <c r="W59" i="13"/>
  <c r="V59" i="13"/>
  <c r="U59" i="13"/>
  <c r="Y58" i="13"/>
  <c r="X58" i="13"/>
  <c r="W58" i="13"/>
  <c r="V58" i="13"/>
  <c r="U58" i="13"/>
  <c r="Y57" i="13"/>
  <c r="X57" i="13"/>
  <c r="W57" i="13"/>
  <c r="V57" i="13"/>
  <c r="U57" i="13"/>
  <c r="Y56" i="13"/>
  <c r="X56" i="13"/>
  <c r="W56" i="13"/>
  <c r="V56" i="13"/>
  <c r="U56" i="13"/>
  <c r="Y55" i="13"/>
  <c r="X55" i="13"/>
  <c r="W55" i="13"/>
  <c r="V55" i="13"/>
  <c r="U55" i="13"/>
  <c r="Y54" i="13"/>
  <c r="X54" i="13"/>
  <c r="W54" i="13"/>
  <c r="V54" i="13"/>
  <c r="U54" i="13"/>
  <c r="Y53" i="13"/>
  <c r="X53" i="13"/>
  <c r="W53" i="13"/>
  <c r="V53" i="13"/>
  <c r="U53" i="13"/>
  <c r="Y52" i="13"/>
  <c r="X52" i="13"/>
  <c r="W52" i="13"/>
  <c r="V52" i="13"/>
  <c r="U52" i="13"/>
  <c r="Y51" i="13"/>
  <c r="X51" i="13"/>
  <c r="W51" i="13"/>
  <c r="V51" i="13"/>
  <c r="U51" i="13"/>
  <c r="Y50" i="13"/>
  <c r="X50" i="13"/>
  <c r="W50" i="13"/>
  <c r="V50" i="13"/>
  <c r="U50" i="13"/>
  <c r="Y49" i="13"/>
  <c r="X49" i="13"/>
  <c r="W49" i="13"/>
  <c r="V49" i="13"/>
  <c r="U49" i="13"/>
  <c r="Y48" i="13"/>
  <c r="X48" i="13"/>
  <c r="W48" i="13"/>
  <c r="V48" i="13"/>
  <c r="U48" i="13"/>
  <c r="Y47" i="13"/>
  <c r="X47" i="13"/>
  <c r="W47" i="13"/>
  <c r="V47" i="13"/>
  <c r="U47" i="13"/>
  <c r="Y46" i="13"/>
  <c r="X46" i="13"/>
  <c r="W46" i="13"/>
  <c r="V46" i="13"/>
  <c r="U46" i="13"/>
  <c r="Y45" i="13"/>
  <c r="X45" i="13"/>
  <c r="W45" i="13"/>
  <c r="V45" i="13"/>
  <c r="U45" i="13"/>
  <c r="Y40" i="13"/>
  <c r="X40" i="13"/>
  <c r="W40" i="13"/>
  <c r="V40" i="13"/>
  <c r="U40" i="13"/>
  <c r="Y39" i="13"/>
  <c r="X39" i="13"/>
  <c r="W39" i="13"/>
  <c r="V39" i="13"/>
  <c r="U39" i="13"/>
  <c r="Y38" i="13"/>
  <c r="X38" i="13"/>
  <c r="W38" i="13"/>
  <c r="V38" i="13"/>
  <c r="U38" i="13"/>
  <c r="Y37" i="13"/>
  <c r="X37" i="13"/>
  <c r="W37" i="13"/>
  <c r="V37" i="13"/>
  <c r="U37" i="13"/>
  <c r="Y36" i="13"/>
  <c r="X36" i="13"/>
  <c r="W36" i="13"/>
  <c r="V36" i="13"/>
  <c r="U36" i="13"/>
  <c r="Y35" i="13"/>
  <c r="X35" i="13"/>
  <c r="W35" i="13"/>
  <c r="V35" i="13"/>
  <c r="U35" i="13"/>
  <c r="Y34" i="13"/>
  <c r="X34" i="13"/>
  <c r="W34" i="13"/>
  <c r="V34" i="13"/>
  <c r="U34" i="13"/>
  <c r="Y33" i="13"/>
  <c r="X33" i="13"/>
  <c r="W33" i="13"/>
  <c r="V33" i="13"/>
  <c r="U33" i="13"/>
  <c r="Y32" i="13"/>
  <c r="X32" i="13"/>
  <c r="W32" i="13"/>
  <c r="V32" i="13"/>
  <c r="U32" i="13"/>
  <c r="Y31" i="13"/>
  <c r="X31" i="13"/>
  <c r="W31" i="13"/>
  <c r="V31" i="13"/>
  <c r="U31" i="13"/>
  <c r="Y30" i="13"/>
  <c r="X30" i="13"/>
  <c r="W30" i="13"/>
  <c r="V30" i="13"/>
  <c r="U30" i="13"/>
  <c r="Y29" i="13"/>
  <c r="X29" i="13"/>
  <c r="W29" i="13"/>
  <c r="V29" i="13"/>
  <c r="U29" i="13"/>
  <c r="Y28" i="13"/>
  <c r="X28" i="13"/>
  <c r="W28" i="13"/>
  <c r="V28" i="13"/>
  <c r="U28" i="13"/>
  <c r="Y27" i="13"/>
  <c r="X27" i="13"/>
  <c r="W27" i="13"/>
  <c r="V27" i="13"/>
  <c r="U27" i="13"/>
  <c r="Y26" i="13"/>
  <c r="X26" i="13"/>
  <c r="W26" i="13"/>
  <c r="V26" i="13"/>
  <c r="U26" i="13"/>
  <c r="Y25" i="13"/>
  <c r="X25" i="13"/>
  <c r="W25" i="13"/>
  <c r="V25" i="13"/>
  <c r="U25" i="13"/>
  <c r="U6" i="13"/>
  <c r="V6" i="13"/>
  <c r="W6" i="13"/>
  <c r="X6" i="13"/>
  <c r="Y6" i="13"/>
  <c r="U7" i="13"/>
  <c r="V7" i="13"/>
  <c r="W7" i="13"/>
  <c r="X7" i="13"/>
  <c r="Y7" i="13"/>
  <c r="U8" i="13"/>
  <c r="V8" i="13"/>
  <c r="W8" i="13"/>
  <c r="X8" i="13"/>
  <c r="Y8" i="13"/>
  <c r="U9" i="13"/>
  <c r="V9" i="13"/>
  <c r="X9" i="13"/>
  <c r="Y9" i="13"/>
  <c r="U10" i="13"/>
  <c r="V10" i="13"/>
  <c r="W10" i="13"/>
  <c r="X10" i="13"/>
  <c r="Y10" i="13"/>
  <c r="U11" i="13"/>
  <c r="V11" i="13"/>
  <c r="W11" i="13"/>
  <c r="X11" i="13"/>
  <c r="Y11" i="13"/>
  <c r="U12" i="13"/>
  <c r="V12" i="13"/>
  <c r="W12" i="13"/>
  <c r="X12" i="13"/>
  <c r="Y12" i="13"/>
  <c r="U13" i="13"/>
  <c r="V13" i="13"/>
  <c r="W13" i="13"/>
  <c r="X13" i="13"/>
  <c r="Y13" i="13"/>
  <c r="U14" i="13"/>
  <c r="V14" i="13"/>
  <c r="W14" i="13"/>
  <c r="X14" i="13"/>
  <c r="Y14" i="13"/>
  <c r="U15" i="13"/>
  <c r="V15" i="13"/>
  <c r="W15" i="13"/>
  <c r="X15" i="13"/>
  <c r="Y15" i="13"/>
  <c r="U16" i="13"/>
  <c r="V16" i="13"/>
  <c r="W16" i="13"/>
  <c r="X16" i="13"/>
  <c r="Y16" i="13"/>
  <c r="U17" i="13"/>
  <c r="V17" i="13"/>
  <c r="W17" i="13"/>
  <c r="X17" i="13"/>
  <c r="Y17" i="13"/>
  <c r="U18" i="13"/>
  <c r="V18" i="13"/>
  <c r="W18" i="13"/>
  <c r="X18" i="13"/>
  <c r="Y18" i="13"/>
  <c r="U19" i="13"/>
  <c r="V19" i="13"/>
  <c r="W19" i="13"/>
  <c r="X19" i="13"/>
  <c r="Y19" i="13"/>
  <c r="U20" i="13"/>
  <c r="V20" i="13"/>
  <c r="W20" i="13"/>
  <c r="X20" i="13"/>
  <c r="Y20" i="13"/>
  <c r="V5" i="13"/>
  <c r="W5" i="13"/>
  <c r="X5" i="13"/>
  <c r="Y5" i="13"/>
  <c r="U5" i="13"/>
  <c r="U5" i="14"/>
  <c r="U6" i="14"/>
  <c r="V6" i="14"/>
  <c r="W6" i="14"/>
  <c r="X6" i="14"/>
  <c r="Y6" i="14"/>
  <c r="U7" i="14"/>
  <c r="V7" i="14"/>
  <c r="W7" i="14"/>
  <c r="X7" i="14"/>
  <c r="Y7" i="14"/>
  <c r="AD7" i="14" s="1"/>
  <c r="U8" i="14"/>
  <c r="W8" i="14"/>
  <c r="X8" i="14"/>
  <c r="Y8" i="14"/>
  <c r="U9" i="14"/>
  <c r="W9" i="14"/>
  <c r="X9" i="14"/>
  <c r="Y9" i="14"/>
  <c r="U10" i="14"/>
  <c r="W10" i="14"/>
  <c r="X10" i="14"/>
  <c r="Y10" i="14"/>
  <c r="U11" i="14"/>
  <c r="X11" i="14"/>
  <c r="Y11" i="14"/>
  <c r="U12" i="14"/>
  <c r="X12" i="14"/>
  <c r="Y12" i="14"/>
  <c r="AD12" i="14" s="1"/>
  <c r="U13" i="14"/>
  <c r="X13" i="14"/>
  <c r="Y13" i="14"/>
  <c r="U14" i="14"/>
  <c r="U15" i="14"/>
  <c r="U16" i="14"/>
  <c r="U17" i="14"/>
  <c r="U18" i="14"/>
  <c r="U19" i="14"/>
  <c r="U20" i="14"/>
  <c r="V5" i="14"/>
  <c r="W5" i="14"/>
  <c r="X5" i="14"/>
  <c r="Y5" i="14"/>
  <c r="U100" i="14"/>
  <c r="U99" i="14"/>
  <c r="U98" i="14"/>
  <c r="U97" i="14"/>
  <c r="U96" i="14"/>
  <c r="U95" i="14"/>
  <c r="U94" i="14"/>
  <c r="Y93" i="14"/>
  <c r="AD93" i="14" s="1"/>
  <c r="X93" i="14"/>
  <c r="U93" i="14"/>
  <c r="Y92" i="14"/>
  <c r="AD92" i="14" s="1"/>
  <c r="X92" i="14"/>
  <c r="U92" i="14"/>
  <c r="Y91" i="14"/>
  <c r="X91" i="14"/>
  <c r="U91" i="14"/>
  <c r="Y90" i="14"/>
  <c r="AD90" i="14" s="1"/>
  <c r="X90" i="14"/>
  <c r="W90" i="14"/>
  <c r="U90" i="14"/>
  <c r="Y89" i="14"/>
  <c r="X89" i="14"/>
  <c r="W89" i="14"/>
  <c r="U89" i="14"/>
  <c r="Y88" i="14"/>
  <c r="X88" i="14"/>
  <c r="W88" i="14"/>
  <c r="U88" i="14"/>
  <c r="Y87" i="14"/>
  <c r="AD87" i="14" s="1"/>
  <c r="X87" i="14"/>
  <c r="AC87" i="14" s="1"/>
  <c r="W87" i="14"/>
  <c r="V87" i="14"/>
  <c r="U87" i="14"/>
  <c r="Y86" i="14"/>
  <c r="AD86" i="14" s="1"/>
  <c r="X86" i="14"/>
  <c r="W86" i="14"/>
  <c r="V86" i="14"/>
  <c r="U86" i="14"/>
  <c r="Y85" i="14"/>
  <c r="X85" i="14"/>
  <c r="W85" i="14"/>
  <c r="V85" i="14"/>
  <c r="U85" i="14"/>
  <c r="U80" i="14"/>
  <c r="U79" i="14"/>
  <c r="U78" i="14"/>
  <c r="U77" i="14"/>
  <c r="U76" i="14"/>
  <c r="U75" i="14"/>
  <c r="U74" i="14"/>
  <c r="Y73" i="14"/>
  <c r="X73" i="14"/>
  <c r="U73" i="14"/>
  <c r="Y72" i="14"/>
  <c r="X72" i="14"/>
  <c r="U72" i="14"/>
  <c r="Y71" i="14"/>
  <c r="X71" i="14"/>
  <c r="U71" i="14"/>
  <c r="Y70" i="14"/>
  <c r="AD70" i="14" s="1"/>
  <c r="X70" i="14"/>
  <c r="W70" i="14"/>
  <c r="U70" i="14"/>
  <c r="Y69" i="14"/>
  <c r="X69" i="14"/>
  <c r="W69" i="14"/>
  <c r="U69" i="14"/>
  <c r="Y68" i="14"/>
  <c r="X68" i="14"/>
  <c r="W68" i="14"/>
  <c r="U68" i="14"/>
  <c r="Y67" i="14"/>
  <c r="AD67" i="14" s="1"/>
  <c r="X67" i="14"/>
  <c r="W67" i="14"/>
  <c r="V67" i="14"/>
  <c r="U67" i="14"/>
  <c r="Y66" i="14"/>
  <c r="X66" i="14"/>
  <c r="W66" i="14"/>
  <c r="V66" i="14"/>
  <c r="U66" i="14"/>
  <c r="Y65" i="14"/>
  <c r="AD65" i="14" s="1"/>
  <c r="X65" i="14"/>
  <c r="W65" i="14"/>
  <c r="V65" i="14"/>
  <c r="U65" i="14"/>
  <c r="U60" i="14"/>
  <c r="U59" i="14"/>
  <c r="Z59" i="14" s="1"/>
  <c r="U58" i="14"/>
  <c r="U57" i="14"/>
  <c r="U56" i="14"/>
  <c r="U55" i="14"/>
  <c r="U54" i="14"/>
  <c r="Y53" i="14"/>
  <c r="X53" i="14"/>
  <c r="U53" i="14"/>
  <c r="Y52" i="14"/>
  <c r="X52" i="14"/>
  <c r="U52" i="14"/>
  <c r="Y51" i="14"/>
  <c r="AD51" i="14" s="1"/>
  <c r="X51" i="14"/>
  <c r="U51" i="14"/>
  <c r="Y50" i="14"/>
  <c r="X50" i="14"/>
  <c r="W50" i="14"/>
  <c r="U50" i="14"/>
  <c r="Y49" i="14"/>
  <c r="AD49" i="14" s="1"/>
  <c r="X49" i="14"/>
  <c r="W49" i="14"/>
  <c r="U49" i="14"/>
  <c r="Y48" i="14"/>
  <c r="X48" i="14"/>
  <c r="W48" i="14"/>
  <c r="U48" i="14"/>
  <c r="Y47" i="14"/>
  <c r="X47" i="14"/>
  <c r="W47" i="14"/>
  <c r="V47" i="14"/>
  <c r="U47" i="14"/>
  <c r="Y46" i="14"/>
  <c r="X46" i="14"/>
  <c r="W46" i="14"/>
  <c r="V46" i="14"/>
  <c r="U46" i="14"/>
  <c r="Y45" i="14"/>
  <c r="X45" i="14"/>
  <c r="W45" i="14"/>
  <c r="V45" i="14"/>
  <c r="U45" i="14"/>
  <c r="U40" i="14"/>
  <c r="U39" i="14"/>
  <c r="U38" i="14"/>
  <c r="U37" i="14"/>
  <c r="U36" i="14"/>
  <c r="U35" i="14"/>
  <c r="U34" i="14"/>
  <c r="Y33" i="14"/>
  <c r="AD33" i="14" s="1"/>
  <c r="X33" i="14"/>
  <c r="U33" i="14"/>
  <c r="Y32" i="14"/>
  <c r="X32" i="14"/>
  <c r="U32" i="14"/>
  <c r="Y31" i="14"/>
  <c r="X31" i="14"/>
  <c r="U31" i="14"/>
  <c r="Y30" i="14"/>
  <c r="X30" i="14"/>
  <c r="W30" i="14"/>
  <c r="U30" i="14"/>
  <c r="Y29" i="14"/>
  <c r="X29" i="14"/>
  <c r="W29" i="14"/>
  <c r="U29" i="14"/>
  <c r="Y28" i="14"/>
  <c r="X28" i="14"/>
  <c r="W28" i="14"/>
  <c r="U28" i="14"/>
  <c r="Y27" i="14"/>
  <c r="AD27" i="14" s="1"/>
  <c r="X27" i="14"/>
  <c r="W27" i="14"/>
  <c r="V27" i="14"/>
  <c r="U27" i="14"/>
  <c r="Y26" i="14"/>
  <c r="X26" i="14"/>
  <c r="W26" i="14"/>
  <c r="V26" i="14"/>
  <c r="U26" i="14"/>
  <c r="Y25" i="14"/>
  <c r="X25" i="14"/>
  <c r="W25" i="14"/>
  <c r="V25" i="14"/>
  <c r="U25" i="14"/>
  <c r="AD71" i="14" l="1"/>
  <c r="AB9" i="14"/>
  <c r="Z100" i="14"/>
  <c r="T67" i="14"/>
  <c r="Z18" i="14"/>
  <c r="T86" i="14"/>
  <c r="T87" i="14"/>
  <c r="T66" i="14"/>
  <c r="Z9" i="14"/>
  <c r="AC6" i="14"/>
  <c r="O90" i="14"/>
  <c r="O70" i="14"/>
  <c r="O48" i="14"/>
  <c r="T47" i="14"/>
  <c r="O28" i="14"/>
  <c r="T27" i="14"/>
  <c r="T26" i="14"/>
  <c r="O9" i="14"/>
  <c r="Z96" i="14"/>
  <c r="Z85" i="14"/>
  <c r="AB87" i="14"/>
  <c r="Z97" i="14"/>
  <c r="Z13" i="14"/>
  <c r="AC10" i="14"/>
  <c r="Z8" i="14"/>
  <c r="AA25" i="14"/>
  <c r="AC27" i="14"/>
  <c r="Z30" i="14"/>
  <c r="Z46" i="14"/>
  <c r="AB48" i="14"/>
  <c r="Z58" i="14"/>
  <c r="AC71" i="14"/>
  <c r="Z74" i="14"/>
  <c r="AA85" i="14"/>
  <c r="Z90" i="14"/>
  <c r="Z20" i="14"/>
  <c r="AB10" i="14"/>
  <c r="AB25" i="14"/>
  <c r="AC32" i="14"/>
  <c r="Z35" i="14"/>
  <c r="AA46" i="14"/>
  <c r="AC48" i="14"/>
  <c r="Z51" i="14"/>
  <c r="Z67" i="14"/>
  <c r="AB69" i="14"/>
  <c r="Z79" i="14"/>
  <c r="AB85" i="14"/>
  <c r="AC92" i="14"/>
  <c r="Z95" i="14"/>
  <c r="Z15" i="14"/>
  <c r="AC12" i="14"/>
  <c r="AC7" i="14"/>
  <c r="AC25" i="14"/>
  <c r="Z28" i="14"/>
  <c r="AB30" i="14"/>
  <c r="Z40" i="14"/>
  <c r="AB46" i="14"/>
  <c r="AC53" i="14"/>
  <c r="AA67" i="14"/>
  <c r="AC69" i="14"/>
  <c r="Z72" i="14"/>
  <c r="AC85" i="14"/>
  <c r="Z88" i="14"/>
  <c r="AB90" i="14"/>
  <c r="AD32" i="14"/>
  <c r="AD48" i="14"/>
  <c r="Z56" i="14"/>
  <c r="AD30" i="14"/>
  <c r="AD28" i="14"/>
  <c r="AD72" i="14"/>
  <c r="AD88" i="14"/>
  <c r="AD46" i="14"/>
  <c r="AD26" i="14"/>
  <c r="AD11" i="14"/>
  <c r="Z10" i="14"/>
  <c r="AB7" i="14"/>
  <c r="AC30" i="14"/>
  <c r="Z33" i="14"/>
  <c r="AC46" i="14"/>
  <c r="Z49" i="14"/>
  <c r="Z65" i="14"/>
  <c r="AB67" i="14"/>
  <c r="Z77" i="14"/>
  <c r="AC90" i="14"/>
  <c r="Z93" i="14"/>
  <c r="Z5" i="14"/>
  <c r="Z17" i="14"/>
  <c r="AA7" i="14"/>
  <c r="Z26" i="14"/>
  <c r="AB28" i="14"/>
  <c r="Z38" i="14"/>
  <c r="AC51" i="14"/>
  <c r="Z54" i="14"/>
  <c r="AA65" i="14"/>
  <c r="AC67" i="14"/>
  <c r="Z70" i="14"/>
  <c r="Z86" i="14"/>
  <c r="AB88" i="14"/>
  <c r="Z98" i="14"/>
  <c r="Z12" i="14"/>
  <c r="AC9" i="14"/>
  <c r="Z7" i="14"/>
  <c r="AA26" i="14"/>
  <c r="AC28" i="14"/>
  <c r="Z31" i="14"/>
  <c r="Z47" i="14"/>
  <c r="AB49" i="14"/>
  <c r="AB65" i="14"/>
  <c r="AC72" i="14"/>
  <c r="Z75" i="14"/>
  <c r="AA86" i="14"/>
  <c r="AC88" i="14"/>
  <c r="Z91" i="14"/>
  <c r="AC5" i="14"/>
  <c r="Z19" i="14"/>
  <c r="AB26" i="14"/>
  <c r="AC33" i="14"/>
  <c r="Z36" i="14"/>
  <c r="AA47" i="14"/>
  <c r="AC49" i="14"/>
  <c r="Z52" i="14"/>
  <c r="AC65" i="14"/>
  <c r="Z68" i="14"/>
  <c r="AB70" i="14"/>
  <c r="Z80" i="14"/>
  <c r="AB86" i="14"/>
  <c r="AC93" i="14"/>
  <c r="AB5" i="14"/>
  <c r="Z14" i="14"/>
  <c r="AC11" i="14"/>
  <c r="AC26" i="14"/>
  <c r="Z29" i="14"/>
  <c r="Z45" i="14"/>
  <c r="AB47" i="14"/>
  <c r="Z57" i="14"/>
  <c r="AC70" i="14"/>
  <c r="Z73" i="14"/>
  <c r="AC86" i="14"/>
  <c r="Z89" i="14"/>
  <c r="AA5" i="14"/>
  <c r="AB6" i="14"/>
  <c r="AC31" i="14"/>
  <c r="Z34" i="14"/>
  <c r="AA45" i="14"/>
  <c r="AC47" i="14"/>
  <c r="Z50" i="14"/>
  <c r="Z66" i="14"/>
  <c r="AB68" i="14"/>
  <c r="Z78" i="14"/>
  <c r="AC91" i="14"/>
  <c r="Z94" i="14"/>
  <c r="Z16" i="14"/>
  <c r="AC13" i="14"/>
  <c r="AC8" i="14"/>
  <c r="AA6" i="14"/>
  <c r="Z27" i="14"/>
  <c r="AB29" i="14"/>
  <c r="Z39" i="14"/>
  <c r="AB45" i="14"/>
  <c r="AC52" i="14"/>
  <c r="Z55" i="14"/>
  <c r="AA66" i="14"/>
  <c r="AC68" i="14"/>
  <c r="Z71" i="14"/>
  <c r="Z87" i="14"/>
  <c r="AB89" i="14"/>
  <c r="Z99" i="14"/>
  <c r="Z11" i="14"/>
  <c r="AB8" i="14"/>
  <c r="Z6" i="14"/>
  <c r="AA27" i="14"/>
  <c r="AC29" i="14"/>
  <c r="Z32" i="14"/>
  <c r="AC45" i="14"/>
  <c r="Z48" i="14"/>
  <c r="AB50" i="14"/>
  <c r="Z60" i="14"/>
  <c r="AB66" i="14"/>
  <c r="AC73" i="14"/>
  <c r="Z76" i="14"/>
  <c r="AA87" i="14"/>
  <c r="AC89" i="14"/>
  <c r="Z92" i="14"/>
  <c r="Z25" i="14"/>
  <c r="AB27" i="14"/>
  <c r="Z37" i="14"/>
  <c r="AC50" i="14"/>
  <c r="Z53" i="14"/>
  <c r="AC66" i="14"/>
  <c r="Z69" i="14"/>
  <c r="AD25" i="14"/>
  <c r="AD53" i="14"/>
  <c r="AD85" i="14"/>
  <c r="AD69" i="14"/>
  <c r="AD9" i="14"/>
  <c r="AD5" i="14"/>
  <c r="AD31" i="14"/>
  <c r="AD47" i="14"/>
  <c r="AD91" i="14"/>
  <c r="AD6" i="14"/>
  <c r="AD68" i="14"/>
  <c r="AD13" i="14"/>
  <c r="AD52" i="14"/>
  <c r="AD29" i="14"/>
  <c r="AD45" i="14"/>
  <c r="AD73" i="14"/>
  <c r="AD89" i="14"/>
  <c r="AD8" i="14"/>
  <c r="AD50" i="14"/>
  <c r="AD66" i="14"/>
  <c r="AD10" i="14"/>
  <c r="G85" i="15" l="1"/>
  <c r="G5" i="15"/>
  <c r="G86" i="15"/>
  <c r="G87" i="15"/>
  <c r="G46" i="15"/>
  <c r="G65" i="15"/>
  <c r="G27" i="15"/>
  <c r="G67" i="15"/>
  <c r="G7" i="15"/>
  <c r="O91" i="14"/>
  <c r="O71" i="14"/>
  <c r="O49" i="14"/>
  <c r="O29" i="14"/>
  <c r="O10" i="14"/>
  <c r="H33" i="14"/>
  <c r="H34" i="14"/>
  <c r="F33" i="14"/>
  <c r="F34" i="14"/>
  <c r="G33" i="14"/>
  <c r="G34" i="14"/>
  <c r="E34" i="14"/>
  <c r="E33" i="14"/>
  <c r="G25" i="15"/>
  <c r="G26" i="15"/>
  <c r="G47" i="15"/>
  <c r="G45" i="15"/>
  <c r="G66" i="15"/>
  <c r="G6" i="15"/>
  <c r="H9" i="14"/>
  <c r="D9" i="14"/>
  <c r="D10" i="14" s="1"/>
  <c r="E11" i="14" l="1"/>
  <c r="V88" i="14"/>
  <c r="AA88" i="14" s="1"/>
  <c r="G88" i="15" s="1"/>
  <c r="V28" i="14"/>
  <c r="AA28" i="14" s="1"/>
  <c r="G28" i="15" s="1"/>
  <c r="V8" i="14"/>
  <c r="AA8" i="14" s="1"/>
  <c r="G8" i="15" s="1"/>
  <c r="V48" i="14"/>
  <c r="AA48" i="14" s="1"/>
  <c r="G48" i="15" s="1"/>
  <c r="V68" i="14"/>
  <c r="AA68" i="14" s="1"/>
  <c r="G68" i="15" s="1"/>
  <c r="R14" i="14"/>
  <c r="R15" i="14" s="1"/>
  <c r="R16" i="14" s="1"/>
  <c r="R17" i="14" s="1"/>
  <c r="R18" i="14" s="1"/>
  <c r="R19" i="14" s="1"/>
  <c r="R20" i="14" s="1"/>
  <c r="R34" i="14"/>
  <c r="R35" i="14" s="1"/>
  <c r="R36" i="14" s="1"/>
  <c r="R37" i="14" s="1"/>
  <c r="R38" i="14" s="1"/>
  <c r="R39" i="14" s="1"/>
  <c r="R40" i="14" s="1"/>
  <c r="R54" i="14"/>
  <c r="R55" i="14" s="1"/>
  <c r="R56" i="14" s="1"/>
  <c r="R57" i="14" s="1"/>
  <c r="R58" i="14" s="1"/>
  <c r="R59" i="14" s="1"/>
  <c r="R60" i="14" s="1"/>
  <c r="R74" i="14"/>
  <c r="R75" i="14" s="1"/>
  <c r="R76" i="14" s="1"/>
  <c r="R77" i="14" s="1"/>
  <c r="R78" i="14" s="1"/>
  <c r="R79" i="14" s="1"/>
  <c r="R80" i="14" s="1"/>
  <c r="R94" i="14"/>
  <c r="R95" i="14" s="1"/>
  <c r="R96" i="14" s="1"/>
  <c r="R97" i="14" s="1"/>
  <c r="R98" i="14" s="1"/>
  <c r="R99" i="14" s="1"/>
  <c r="R100" i="14" s="1"/>
  <c r="G11" i="14"/>
  <c r="X56" i="14"/>
  <c r="AC56" i="14" s="1"/>
  <c r="X95" i="14"/>
  <c r="AC95" i="14" s="1"/>
  <c r="X35" i="14"/>
  <c r="AC35" i="14" s="1"/>
  <c r="X17" i="14"/>
  <c r="AC17" i="14" s="1"/>
  <c r="X74" i="14"/>
  <c r="AC74" i="14" s="1"/>
  <c r="X97" i="14"/>
  <c r="AC97" i="14" s="1"/>
  <c r="X37" i="14"/>
  <c r="AC37" i="14" s="1"/>
  <c r="X76" i="14"/>
  <c r="AC76" i="14" s="1"/>
  <c r="X15" i="14"/>
  <c r="AC15" i="14" s="1"/>
  <c r="X55" i="14"/>
  <c r="AC55" i="14" s="1"/>
  <c r="X94" i="14"/>
  <c r="AC94" i="14" s="1"/>
  <c r="X34" i="14"/>
  <c r="AC34" i="14" s="1"/>
  <c r="X77" i="14"/>
  <c r="AC77" i="14" s="1"/>
  <c r="X57" i="14"/>
  <c r="AC57" i="14" s="1"/>
  <c r="X54" i="14"/>
  <c r="AC54" i="14" s="1"/>
  <c r="X96" i="14"/>
  <c r="AC96" i="14" s="1"/>
  <c r="X36" i="14"/>
  <c r="AC36" i="14" s="1"/>
  <c r="X14" i="14"/>
  <c r="AC14" i="14" s="1"/>
  <c r="X16" i="14"/>
  <c r="AC16" i="14" s="1"/>
  <c r="X75" i="14"/>
  <c r="AC75" i="14" s="1"/>
  <c r="P28" i="14"/>
  <c r="P68" i="14"/>
  <c r="P8" i="14"/>
  <c r="P88" i="14"/>
  <c r="P48" i="14"/>
  <c r="Q91" i="14"/>
  <c r="Q92" i="14" s="1"/>
  <c r="Q93" i="14" s="1"/>
  <c r="Q94" i="14" s="1"/>
  <c r="Q95" i="14" s="1"/>
  <c r="Q96" i="14" s="1"/>
  <c r="Q97" i="14" s="1"/>
  <c r="Q98" i="14" s="1"/>
  <c r="Q99" i="14" s="1"/>
  <c r="Q100" i="14" s="1"/>
  <c r="Q31" i="14"/>
  <c r="Q32" i="14" s="1"/>
  <c r="Q33" i="14" s="1"/>
  <c r="Q34" i="14" s="1"/>
  <c r="Q35" i="14" s="1"/>
  <c r="Q36" i="14" s="1"/>
  <c r="Q37" i="14" s="1"/>
  <c r="Q38" i="14" s="1"/>
  <c r="Q39" i="14" s="1"/>
  <c r="Q40" i="14" s="1"/>
  <c r="Q51" i="14"/>
  <c r="Q52" i="14" s="1"/>
  <c r="Q53" i="14" s="1"/>
  <c r="Q54" i="14" s="1"/>
  <c r="Q55" i="14" s="1"/>
  <c r="Q56" i="14" s="1"/>
  <c r="Q57" i="14" s="1"/>
  <c r="Q58" i="14" s="1"/>
  <c r="Q59" i="14" s="1"/>
  <c r="Q60" i="14" s="1"/>
  <c r="Q11" i="14"/>
  <c r="Q12" i="14" s="1"/>
  <c r="Q13" i="14" s="1"/>
  <c r="Q14" i="14" s="1"/>
  <c r="Q15" i="14" s="1"/>
  <c r="Q16" i="14" s="1"/>
  <c r="Q17" i="14" s="1"/>
  <c r="Q18" i="14" s="1"/>
  <c r="Q19" i="14" s="1"/>
  <c r="Q20" i="14" s="1"/>
  <c r="Q71" i="14"/>
  <c r="Q72" i="14" s="1"/>
  <c r="Q73" i="14" s="1"/>
  <c r="Q74" i="14" s="1"/>
  <c r="Q75" i="14" s="1"/>
  <c r="Q76" i="14" s="1"/>
  <c r="Q77" i="14" s="1"/>
  <c r="Q78" i="14" s="1"/>
  <c r="Q79" i="14" s="1"/>
  <c r="Q80" i="14" s="1"/>
  <c r="F11" i="14"/>
  <c r="W12" i="14"/>
  <c r="AB12" i="14" s="1"/>
  <c r="W72" i="14"/>
  <c r="AB72" i="14" s="1"/>
  <c r="W51" i="14"/>
  <c r="AB51" i="14" s="1"/>
  <c r="W92" i="14"/>
  <c r="AB92" i="14" s="1"/>
  <c r="W32" i="14"/>
  <c r="AB32" i="14" s="1"/>
  <c r="W71" i="14"/>
  <c r="AB71" i="14" s="1"/>
  <c r="W11" i="14"/>
  <c r="AB11" i="14" s="1"/>
  <c r="W52" i="14"/>
  <c r="AB52" i="14" s="1"/>
  <c r="W91" i="14"/>
  <c r="AB91" i="14" s="1"/>
  <c r="W31" i="14"/>
  <c r="AB31" i="14" s="1"/>
  <c r="S74" i="14"/>
  <c r="S75" i="14" s="1"/>
  <c r="S76" i="14" s="1"/>
  <c r="S77" i="14" s="1"/>
  <c r="S78" i="14" s="1"/>
  <c r="S79" i="14" s="1"/>
  <c r="S80" i="14" s="1"/>
  <c r="S94" i="14"/>
  <c r="S95" i="14" s="1"/>
  <c r="S96" i="14" s="1"/>
  <c r="S97" i="14" s="1"/>
  <c r="S98" i="14" s="1"/>
  <c r="S99" i="14" s="1"/>
  <c r="S100" i="14" s="1"/>
  <c r="S54" i="14"/>
  <c r="S55" i="14" s="1"/>
  <c r="S56" i="14" s="1"/>
  <c r="S57" i="14" s="1"/>
  <c r="S58" i="14" s="1"/>
  <c r="S59" i="14" s="1"/>
  <c r="S60" i="14" s="1"/>
  <c r="S14" i="14"/>
  <c r="S15" i="14" s="1"/>
  <c r="S16" i="14" s="1"/>
  <c r="S17" i="14" s="1"/>
  <c r="S18" i="14" s="1"/>
  <c r="S19" i="14" s="1"/>
  <c r="S20" i="14" s="1"/>
  <c r="S34" i="14"/>
  <c r="S35" i="14" s="1"/>
  <c r="S36" i="14" s="1"/>
  <c r="S37" i="14" s="1"/>
  <c r="S38" i="14" s="1"/>
  <c r="S39" i="14" s="1"/>
  <c r="S40" i="14" s="1"/>
  <c r="H10" i="14"/>
  <c r="H11" i="14" s="1"/>
  <c r="Y14" i="14"/>
  <c r="AD14" i="14" s="1"/>
  <c r="Y95" i="14"/>
  <c r="AD95" i="14" s="1"/>
  <c r="Y35" i="14"/>
  <c r="AD35" i="14" s="1"/>
  <c r="Y74" i="14"/>
  <c r="AD74" i="14" s="1"/>
  <c r="Y97" i="14"/>
  <c r="AD97" i="14" s="1"/>
  <c r="Y37" i="14"/>
  <c r="AD37" i="14" s="1"/>
  <c r="Y17" i="14"/>
  <c r="AD17" i="14" s="1"/>
  <c r="Y76" i="14"/>
  <c r="AD76" i="14" s="1"/>
  <c r="Y55" i="14"/>
  <c r="AD55" i="14" s="1"/>
  <c r="Y15" i="14"/>
  <c r="AD15" i="14" s="1"/>
  <c r="Y94" i="14"/>
  <c r="AD94" i="14" s="1"/>
  <c r="Y34" i="14"/>
  <c r="AD34" i="14" s="1"/>
  <c r="Y57" i="14"/>
  <c r="AD57" i="14" s="1"/>
  <c r="Y96" i="14"/>
  <c r="AD96" i="14" s="1"/>
  <c r="Y36" i="14"/>
  <c r="AD36" i="14" s="1"/>
  <c r="Y56" i="14"/>
  <c r="AD56" i="14" s="1"/>
  <c r="Y75" i="14"/>
  <c r="AD75" i="14" s="1"/>
  <c r="Y77" i="14"/>
  <c r="AD77" i="14" s="1"/>
  <c r="Y54" i="14"/>
  <c r="AD54" i="14" s="1"/>
  <c r="Y16" i="14"/>
  <c r="AD16" i="14" s="1"/>
  <c r="O92" i="14"/>
  <c r="O72" i="14"/>
  <c r="O50" i="14"/>
  <c r="O30" i="14"/>
  <c r="O11" i="14"/>
  <c r="D11" i="14"/>
  <c r="O12" i="14" l="1"/>
  <c r="P49" i="14"/>
  <c r="T48" i="14"/>
  <c r="P89" i="14"/>
  <c r="T88" i="14"/>
  <c r="P9" i="14"/>
  <c r="T8" i="14"/>
  <c r="X19" i="14"/>
  <c r="AC19" i="14" s="1"/>
  <c r="X100" i="14"/>
  <c r="AC100" i="14" s="1"/>
  <c r="X40" i="14"/>
  <c r="AC40" i="14" s="1"/>
  <c r="X79" i="14"/>
  <c r="AC79" i="14" s="1"/>
  <c r="X58" i="14"/>
  <c r="AC58" i="14" s="1"/>
  <c r="X60" i="14"/>
  <c r="AC60" i="14" s="1"/>
  <c r="X20" i="14"/>
  <c r="AC20" i="14" s="1"/>
  <c r="X99" i="14"/>
  <c r="AC99" i="14" s="1"/>
  <c r="X39" i="14"/>
  <c r="AC39" i="14" s="1"/>
  <c r="X78" i="14"/>
  <c r="AC78" i="14" s="1"/>
  <c r="X18" i="14"/>
  <c r="AC18" i="14" s="1"/>
  <c r="X80" i="14"/>
  <c r="AC80" i="14" s="1"/>
  <c r="X98" i="14"/>
  <c r="AC98" i="14" s="1"/>
  <c r="X38" i="14"/>
  <c r="AC38" i="14" s="1"/>
  <c r="X59" i="14"/>
  <c r="AC59" i="14" s="1"/>
  <c r="Y79" i="14"/>
  <c r="AD79" i="14" s="1"/>
  <c r="Y19" i="14"/>
  <c r="AD19" i="14" s="1"/>
  <c r="Y58" i="14"/>
  <c r="AD58" i="14" s="1"/>
  <c r="Y40" i="14"/>
  <c r="AD40" i="14" s="1"/>
  <c r="Y60" i="14"/>
  <c r="AD60" i="14" s="1"/>
  <c r="Y39" i="14"/>
  <c r="AD39" i="14" s="1"/>
  <c r="Y100" i="14"/>
  <c r="AD100" i="14" s="1"/>
  <c r="Y99" i="14"/>
  <c r="AD99" i="14" s="1"/>
  <c r="Y78" i="14"/>
  <c r="AD78" i="14" s="1"/>
  <c r="Y20" i="14"/>
  <c r="AD20" i="14" s="1"/>
  <c r="Y80" i="14"/>
  <c r="AD80" i="14" s="1"/>
  <c r="Y18" i="14"/>
  <c r="AD18" i="14" s="1"/>
  <c r="Y59" i="14"/>
  <c r="AD59" i="14" s="1"/>
  <c r="Y98" i="14"/>
  <c r="AD98" i="14" s="1"/>
  <c r="Y38" i="14"/>
  <c r="AD38" i="14" s="1"/>
  <c r="P29" i="14"/>
  <c r="T28" i="14"/>
  <c r="P69" i="14"/>
  <c r="T68" i="14"/>
  <c r="W93" i="14"/>
  <c r="AB93" i="14" s="1"/>
  <c r="W77" i="14"/>
  <c r="AB77" i="14" s="1"/>
  <c r="W33" i="14"/>
  <c r="AB33" i="14" s="1"/>
  <c r="W17" i="14"/>
  <c r="AB17" i="14" s="1"/>
  <c r="W100" i="14"/>
  <c r="AB100" i="14" s="1"/>
  <c r="W56" i="14"/>
  <c r="AB56" i="14" s="1"/>
  <c r="W40" i="14"/>
  <c r="AB40" i="14" s="1"/>
  <c r="W95" i="14"/>
  <c r="AB95" i="14" s="1"/>
  <c r="W79" i="14"/>
  <c r="AB79" i="14" s="1"/>
  <c r="W35" i="14"/>
  <c r="AB35" i="14" s="1"/>
  <c r="W15" i="14"/>
  <c r="AB15" i="14" s="1"/>
  <c r="W74" i="14"/>
  <c r="AB74" i="14" s="1"/>
  <c r="W58" i="14"/>
  <c r="AB58" i="14" s="1"/>
  <c r="W97" i="14"/>
  <c r="AB97" i="14" s="1"/>
  <c r="W53" i="14"/>
  <c r="AB53" i="14" s="1"/>
  <c r="W38" i="14"/>
  <c r="AB38" i="14" s="1"/>
  <c r="W20" i="14"/>
  <c r="AB20" i="14" s="1"/>
  <c r="W37" i="14"/>
  <c r="AB37" i="14" s="1"/>
  <c r="W13" i="14"/>
  <c r="AB13" i="14" s="1"/>
  <c r="W76" i="14"/>
  <c r="AB76" i="14" s="1"/>
  <c r="W60" i="14"/>
  <c r="AB60" i="14" s="1"/>
  <c r="W39" i="14"/>
  <c r="AB39" i="14" s="1"/>
  <c r="W18" i="14"/>
  <c r="AB18" i="14" s="1"/>
  <c r="W99" i="14"/>
  <c r="AB99" i="14" s="1"/>
  <c r="W55" i="14"/>
  <c r="AB55" i="14" s="1"/>
  <c r="W19" i="14"/>
  <c r="AB19" i="14" s="1"/>
  <c r="W94" i="14"/>
  <c r="AB94" i="14" s="1"/>
  <c r="W78" i="14"/>
  <c r="AB78" i="14" s="1"/>
  <c r="W34" i="14"/>
  <c r="AB34" i="14" s="1"/>
  <c r="W59" i="14"/>
  <c r="AB59" i="14" s="1"/>
  <c r="W16" i="14"/>
  <c r="AB16" i="14" s="1"/>
  <c r="W73" i="14"/>
  <c r="AB73" i="14" s="1"/>
  <c r="W57" i="14"/>
  <c r="AB57" i="14" s="1"/>
  <c r="W14" i="14"/>
  <c r="AB14" i="14" s="1"/>
  <c r="W54" i="14"/>
  <c r="AB54" i="14" s="1"/>
  <c r="W96" i="14"/>
  <c r="AB96" i="14" s="1"/>
  <c r="W80" i="14"/>
  <c r="AB80" i="14" s="1"/>
  <c r="W36" i="14"/>
  <c r="AB36" i="14" s="1"/>
  <c r="W75" i="14"/>
  <c r="AB75" i="14" s="1"/>
  <c r="W98" i="14"/>
  <c r="AB98" i="14" s="1"/>
  <c r="V17" i="14"/>
  <c r="AA17" i="14" s="1"/>
  <c r="G17" i="15" s="1"/>
  <c r="V98" i="14"/>
  <c r="AA98" i="14" s="1"/>
  <c r="V70" i="14"/>
  <c r="AA70" i="14" s="1"/>
  <c r="G70" i="15" s="1"/>
  <c r="V54" i="14"/>
  <c r="AA54" i="14" s="1"/>
  <c r="V38" i="14"/>
  <c r="AA38" i="14" s="1"/>
  <c r="V33" i="14"/>
  <c r="AA33" i="14" s="1"/>
  <c r="V75" i="14"/>
  <c r="AA75" i="14" s="1"/>
  <c r="V10" i="14"/>
  <c r="AA10" i="14" s="1"/>
  <c r="G10" i="15" s="1"/>
  <c r="V93" i="14"/>
  <c r="AA93" i="14" s="1"/>
  <c r="G93" i="15" s="1"/>
  <c r="V77" i="14"/>
  <c r="AA77" i="14" s="1"/>
  <c r="V49" i="14"/>
  <c r="AA49" i="14" s="1"/>
  <c r="G49" i="15" s="1"/>
  <c r="V15" i="14"/>
  <c r="AA15" i="14" s="1"/>
  <c r="V100" i="14"/>
  <c r="AA100" i="14" s="1"/>
  <c r="V72" i="14"/>
  <c r="AA72" i="14" s="1"/>
  <c r="G72" i="15" s="1"/>
  <c r="V56" i="14"/>
  <c r="AA56" i="14" s="1"/>
  <c r="V40" i="14"/>
  <c r="AA40" i="14" s="1"/>
  <c r="V20" i="14"/>
  <c r="AA20" i="14" s="1"/>
  <c r="V95" i="14"/>
  <c r="AA95" i="14" s="1"/>
  <c r="V79" i="14"/>
  <c r="AA79" i="14" s="1"/>
  <c r="V51" i="14"/>
  <c r="AA51" i="14" s="1"/>
  <c r="G51" i="15" s="1"/>
  <c r="V35" i="14"/>
  <c r="AA35" i="14" s="1"/>
  <c r="V58" i="14"/>
  <c r="AA58" i="14" s="1"/>
  <c r="V13" i="14"/>
  <c r="AA13" i="14" s="1"/>
  <c r="V90" i="14"/>
  <c r="AA90" i="14" s="1"/>
  <c r="G90" i="15" s="1"/>
  <c r="V74" i="14"/>
  <c r="AA74" i="14" s="1"/>
  <c r="V30" i="14"/>
  <c r="AA30" i="14" s="1"/>
  <c r="G30" i="15" s="1"/>
  <c r="V18" i="14"/>
  <c r="AA18" i="14" s="1"/>
  <c r="V97" i="14"/>
  <c r="AA97" i="14" s="1"/>
  <c r="V69" i="14"/>
  <c r="AA69" i="14" s="1"/>
  <c r="G69" i="15" s="1"/>
  <c r="V53" i="14"/>
  <c r="AA53" i="14" s="1"/>
  <c r="V37" i="14"/>
  <c r="AA37" i="14" s="1"/>
  <c r="V76" i="14"/>
  <c r="AA76" i="14" s="1"/>
  <c r="V32" i="14"/>
  <c r="AA32" i="14" s="1"/>
  <c r="G32" i="15" s="1"/>
  <c r="V91" i="14"/>
  <c r="AA91" i="14" s="1"/>
  <c r="G91" i="15" s="1"/>
  <c r="V11" i="14"/>
  <c r="AA11" i="14" s="1"/>
  <c r="G11" i="15" s="1"/>
  <c r="V92" i="14"/>
  <c r="AA92" i="14" s="1"/>
  <c r="G92" i="15" s="1"/>
  <c r="V60" i="14"/>
  <c r="AA60" i="14" s="1"/>
  <c r="V36" i="14"/>
  <c r="AA36" i="14" s="1"/>
  <c r="V59" i="14"/>
  <c r="AA59" i="14" s="1"/>
  <c r="V31" i="14"/>
  <c r="AA31" i="14" s="1"/>
  <c r="G31" i="15" s="1"/>
  <c r="V16" i="14"/>
  <c r="AA16" i="14" s="1"/>
  <c r="V99" i="14"/>
  <c r="AA99" i="14" s="1"/>
  <c r="V71" i="14"/>
  <c r="AA71" i="14" s="1"/>
  <c r="G71" i="15" s="1"/>
  <c r="V55" i="14"/>
  <c r="AA55" i="14" s="1"/>
  <c r="V39" i="14"/>
  <c r="AA39" i="14" s="1"/>
  <c r="V19" i="14"/>
  <c r="AA19" i="14" s="1"/>
  <c r="V80" i="14"/>
  <c r="AA80" i="14" s="1"/>
  <c r="V9" i="14"/>
  <c r="AA9" i="14" s="1"/>
  <c r="G9" i="15" s="1"/>
  <c r="V94" i="14"/>
  <c r="AA94" i="14" s="1"/>
  <c r="V78" i="14"/>
  <c r="AA78" i="14" s="1"/>
  <c r="V50" i="14"/>
  <c r="AA50" i="14" s="1"/>
  <c r="G50" i="15" s="1"/>
  <c r="V34" i="14"/>
  <c r="AA34" i="14" s="1"/>
  <c r="V52" i="14"/>
  <c r="AA52" i="14" s="1"/>
  <c r="G52" i="15" s="1"/>
  <c r="V14" i="14"/>
  <c r="AA14" i="14" s="1"/>
  <c r="G14" i="15" s="1"/>
  <c r="V89" i="14"/>
  <c r="AA89" i="14" s="1"/>
  <c r="G89" i="15" s="1"/>
  <c r="V73" i="14"/>
  <c r="AA73" i="14" s="1"/>
  <c r="V57" i="14"/>
  <c r="AA57" i="14" s="1"/>
  <c r="G57" i="15" s="1"/>
  <c r="V29" i="14"/>
  <c r="AA29" i="14" s="1"/>
  <c r="G29" i="15" s="1"/>
  <c r="V96" i="14"/>
  <c r="AA96" i="14" s="1"/>
  <c r="V12" i="14"/>
  <c r="AA12" i="14" s="1"/>
  <c r="G12" i="15" s="1"/>
  <c r="O93" i="14"/>
  <c r="O73" i="14"/>
  <c r="O51" i="14"/>
  <c r="O31" i="14"/>
  <c r="E10" i="13"/>
  <c r="F10" i="13"/>
  <c r="G10" i="13"/>
  <c r="H10" i="13"/>
  <c r="D10" i="13"/>
  <c r="E16" i="13"/>
  <c r="S92" i="13"/>
  <c r="O88" i="13"/>
  <c r="Q60" i="13"/>
  <c r="Q10" i="13"/>
  <c r="Q45" i="13"/>
  <c r="Q68" i="13"/>
  <c r="R56" i="13"/>
  <c r="Q38" i="13"/>
  <c r="S66" i="13"/>
  <c r="P30" i="13"/>
  <c r="R18" i="13"/>
  <c r="S19" i="13"/>
  <c r="S15" i="13"/>
  <c r="P54" i="13"/>
  <c r="P100" i="13"/>
  <c r="P66" i="13"/>
  <c r="P12" i="13"/>
  <c r="S95" i="13"/>
  <c r="R27" i="13"/>
  <c r="O92" i="13"/>
  <c r="P17" i="13"/>
  <c r="P78" i="13"/>
  <c r="R14" i="13"/>
  <c r="P13" i="13"/>
  <c r="S76" i="13"/>
  <c r="S28" i="13"/>
  <c r="R55" i="13"/>
  <c r="Q48" i="13"/>
  <c r="S93" i="13"/>
  <c r="S70" i="13"/>
  <c r="S87" i="13"/>
  <c r="P51" i="13"/>
  <c r="O39" i="13"/>
  <c r="O34" i="13"/>
  <c r="R74" i="13"/>
  <c r="S59" i="13"/>
  <c r="S86" i="13"/>
  <c r="P35" i="13"/>
  <c r="O59" i="13"/>
  <c r="P45" i="13"/>
  <c r="R32" i="13"/>
  <c r="R91" i="13"/>
  <c r="O9" i="13"/>
  <c r="S29" i="13"/>
  <c r="S40" i="13"/>
  <c r="O78" i="13"/>
  <c r="Q87" i="13"/>
  <c r="R65" i="13"/>
  <c r="P26" i="13"/>
  <c r="O7" i="13"/>
  <c r="S32" i="13"/>
  <c r="O71" i="13"/>
  <c r="S78" i="13"/>
  <c r="R40" i="13"/>
  <c r="O58" i="13"/>
  <c r="O79" i="13"/>
  <c r="P18" i="13"/>
  <c r="O18" i="13"/>
  <c r="R80" i="13"/>
  <c r="S8" i="13"/>
  <c r="R37" i="13"/>
  <c r="O45" i="13"/>
  <c r="Q5" i="13"/>
  <c r="R78" i="13"/>
  <c r="R46" i="13"/>
  <c r="P87" i="13"/>
  <c r="R50" i="13"/>
  <c r="S48" i="13"/>
  <c r="S49" i="13"/>
  <c r="P92" i="13"/>
  <c r="Q40" i="13"/>
  <c r="P73" i="13"/>
  <c r="R70" i="13"/>
  <c r="O47" i="13"/>
  <c r="O66" i="13"/>
  <c r="Q88" i="13"/>
  <c r="S25" i="13"/>
  <c r="S26" i="13"/>
  <c r="R11" i="13"/>
  <c r="P69" i="13"/>
  <c r="R60" i="13"/>
  <c r="Q15" i="13"/>
  <c r="R79" i="13"/>
  <c r="S38" i="13"/>
  <c r="O26" i="13"/>
  <c r="Q89" i="13"/>
  <c r="S10" i="13"/>
  <c r="Q65" i="13"/>
  <c r="O73" i="13"/>
  <c r="O97" i="13"/>
  <c r="P71" i="13"/>
  <c r="R68" i="13"/>
  <c r="Q6" i="13"/>
  <c r="O30" i="13"/>
  <c r="R45" i="13"/>
  <c r="Q79" i="13"/>
  <c r="S79" i="13"/>
  <c r="S72" i="13"/>
  <c r="Q8" i="13"/>
  <c r="S13" i="13"/>
  <c r="P38" i="13"/>
  <c r="O46" i="13"/>
  <c r="R39" i="13"/>
  <c r="R94" i="13"/>
  <c r="Q28" i="13"/>
  <c r="Q52" i="13"/>
  <c r="S98" i="13"/>
  <c r="O11" i="13"/>
  <c r="S39" i="13"/>
  <c r="O53" i="13"/>
  <c r="Q46" i="13"/>
  <c r="R71" i="13"/>
  <c r="Q77" i="13"/>
  <c r="O77" i="13"/>
  <c r="P14" i="13"/>
  <c r="S20" i="13"/>
  <c r="P76" i="13"/>
  <c r="Q36" i="13"/>
  <c r="O91" i="13"/>
  <c r="R77" i="13"/>
  <c r="S46" i="13"/>
  <c r="R34" i="13"/>
  <c r="R38" i="13"/>
  <c r="Q76" i="13"/>
  <c r="R73" i="13"/>
  <c r="R69" i="13"/>
  <c r="O38" i="13"/>
  <c r="S37" i="13"/>
  <c r="R9" i="13"/>
  <c r="P97" i="13"/>
  <c r="O15" i="13"/>
  <c r="Q96" i="13"/>
  <c r="P33" i="13"/>
  <c r="P16" i="13"/>
  <c r="Q75" i="13"/>
  <c r="S45" i="13"/>
  <c r="O40" i="13"/>
  <c r="P90" i="13"/>
  <c r="S6" i="13"/>
  <c r="P74" i="13"/>
  <c r="O51" i="13"/>
  <c r="Q11" i="13"/>
  <c r="P77" i="13"/>
  <c r="Q51" i="13"/>
  <c r="P20" i="13"/>
  <c r="O55" i="13"/>
  <c r="P56" i="13"/>
  <c r="S89" i="13"/>
  <c r="S33" i="13"/>
  <c r="S54" i="13"/>
  <c r="O93" i="13"/>
  <c r="R86" i="13"/>
  <c r="Q67" i="13"/>
  <c r="P9" i="13"/>
  <c r="O25" i="13"/>
  <c r="S96" i="13"/>
  <c r="Q80" i="13"/>
  <c r="O70" i="13"/>
  <c r="S56" i="13"/>
  <c r="O96" i="13"/>
  <c r="S77" i="13"/>
  <c r="S68" i="13"/>
  <c r="S50" i="13"/>
  <c r="S27" i="13"/>
  <c r="Q25" i="13"/>
  <c r="S57" i="13"/>
  <c r="Q78" i="13"/>
  <c r="S65" i="13"/>
  <c r="P58" i="13"/>
  <c r="O89" i="13"/>
  <c r="S80" i="13"/>
  <c r="R58" i="13"/>
  <c r="S91" i="13"/>
  <c r="P91" i="13"/>
  <c r="P85" i="13"/>
  <c r="O56" i="13"/>
  <c r="Q91" i="13"/>
  <c r="P96" i="13"/>
  <c r="R26" i="13"/>
  <c r="O32" i="13"/>
  <c r="P59" i="13"/>
  <c r="P57" i="13"/>
  <c r="R99" i="13"/>
  <c r="S60" i="13"/>
  <c r="R29" i="13"/>
  <c r="O85" i="13"/>
  <c r="O69" i="13"/>
  <c r="O95" i="13"/>
  <c r="R72" i="13"/>
  <c r="R8" i="13"/>
  <c r="P37" i="13"/>
  <c r="R12" i="13"/>
  <c r="P80" i="13"/>
  <c r="Q29" i="13"/>
  <c r="R31" i="13"/>
  <c r="O76" i="13"/>
  <c r="S31" i="13"/>
  <c r="R19" i="13"/>
  <c r="O74" i="13"/>
  <c r="P52" i="13"/>
  <c r="Q95" i="13"/>
  <c r="Q74" i="13"/>
  <c r="O100" i="13"/>
  <c r="P79" i="13"/>
  <c r="Q71" i="13"/>
  <c r="O75" i="13"/>
  <c r="Q30" i="13"/>
  <c r="P86" i="13"/>
  <c r="O60" i="13"/>
  <c r="Q39" i="13"/>
  <c r="P95" i="13"/>
  <c r="P15" i="13"/>
  <c r="S34" i="13"/>
  <c r="O35" i="13"/>
  <c r="R92" i="13"/>
  <c r="R93" i="13"/>
  <c r="Q97" i="13"/>
  <c r="R17" i="13"/>
  <c r="P40" i="13"/>
  <c r="R36" i="13"/>
  <c r="Q56" i="13"/>
  <c r="P53" i="13"/>
  <c r="P67" i="13"/>
  <c r="R57" i="13"/>
  <c r="S12" i="13"/>
  <c r="R51" i="13"/>
  <c r="O20" i="13"/>
  <c r="S75" i="13"/>
  <c r="Q69" i="13"/>
  <c r="S94" i="13"/>
  <c r="O33" i="13"/>
  <c r="R95" i="13"/>
  <c r="R16" i="13"/>
  <c r="P31" i="13"/>
  <c r="Q14" i="13"/>
  <c r="S97" i="13"/>
  <c r="O14" i="13"/>
  <c r="Q33" i="13"/>
  <c r="R5" i="13"/>
  <c r="P29" i="13"/>
  <c r="S14" i="13"/>
  <c r="Q13" i="13"/>
  <c r="R10" i="13"/>
  <c r="S55" i="13"/>
  <c r="S90" i="13"/>
  <c r="O57" i="13"/>
  <c r="O28" i="13"/>
  <c r="O50" i="13"/>
  <c r="O80" i="13"/>
  <c r="R28" i="13"/>
  <c r="O99" i="13"/>
  <c r="O31" i="13"/>
  <c r="S18" i="13"/>
  <c r="R85" i="13"/>
  <c r="P28" i="13"/>
  <c r="P8" i="13"/>
  <c r="O5" i="13"/>
  <c r="R75" i="13"/>
  <c r="R96" i="13"/>
  <c r="P93" i="13"/>
  <c r="P98" i="13"/>
  <c r="P46" i="13"/>
  <c r="R20" i="13"/>
  <c r="P36" i="13"/>
  <c r="O49" i="13"/>
  <c r="P68" i="13"/>
  <c r="Q37" i="13"/>
  <c r="P34" i="13"/>
  <c r="S71" i="13"/>
  <c r="O72" i="13"/>
  <c r="O13" i="13"/>
  <c r="R53" i="13"/>
  <c r="S100" i="13"/>
  <c r="R89" i="13"/>
  <c r="S36" i="13"/>
  <c r="S9" i="13"/>
  <c r="Q59" i="13"/>
  <c r="Q70" i="13"/>
  <c r="P72" i="13"/>
  <c r="Q19" i="13"/>
  <c r="R66" i="13"/>
  <c r="P7" i="13"/>
  <c r="Q55" i="13"/>
  <c r="O68" i="13"/>
  <c r="O19" i="13"/>
  <c r="O17" i="13"/>
  <c r="Q18" i="13"/>
  <c r="Q86" i="13"/>
  <c r="P25" i="13"/>
  <c r="P32" i="13"/>
  <c r="Q85" i="13"/>
  <c r="P6" i="13"/>
  <c r="Q58" i="13"/>
  <c r="S58" i="13"/>
  <c r="O54" i="13"/>
  <c r="R35" i="13"/>
  <c r="S85" i="13"/>
  <c r="Q99" i="13"/>
  <c r="R76" i="13"/>
  <c r="P11" i="13"/>
  <c r="Q90" i="13"/>
  <c r="R33" i="13"/>
  <c r="P5" i="13"/>
  <c r="Q50" i="13"/>
  <c r="Q34" i="13"/>
  <c r="P19" i="13"/>
  <c r="S69" i="13"/>
  <c r="Q47" i="13"/>
  <c r="S53" i="13"/>
  <c r="P50" i="13"/>
  <c r="R6" i="13"/>
  <c r="O52" i="13"/>
  <c r="Q57" i="13"/>
  <c r="S17" i="13"/>
  <c r="R30" i="13"/>
  <c r="P55" i="13"/>
  <c r="P94" i="13"/>
  <c r="R88" i="13"/>
  <c r="Q32" i="13"/>
  <c r="Q100" i="13"/>
  <c r="P10" i="13"/>
  <c r="Q17" i="13"/>
  <c r="Q94" i="13"/>
  <c r="R25" i="13"/>
  <c r="S74" i="13"/>
  <c r="S30" i="13"/>
  <c r="R100" i="13"/>
  <c r="P88" i="13"/>
  <c r="S35" i="13"/>
  <c r="O86" i="13"/>
  <c r="R59" i="13"/>
  <c r="S7" i="13"/>
  <c r="R97" i="13"/>
  <c r="S5" i="13"/>
  <c r="S73" i="13"/>
  <c r="Q98" i="13"/>
  <c r="Q92" i="13"/>
  <c r="R13" i="13"/>
  <c r="P89" i="13"/>
  <c r="R54" i="13"/>
  <c r="P47" i="13"/>
  <c r="Q31" i="13"/>
  <c r="O90" i="13"/>
  <c r="R98" i="13"/>
  <c r="S99" i="13"/>
  <c r="P27" i="13"/>
  <c r="Q54" i="13"/>
  <c r="Q35" i="13"/>
  <c r="O98" i="13"/>
  <c r="R67" i="13"/>
  <c r="Q27" i="13"/>
  <c r="O8" i="13"/>
  <c r="O6" i="13"/>
  <c r="Q7" i="13"/>
  <c r="O12" i="13"/>
  <c r="P48" i="13"/>
  <c r="Q73" i="13"/>
  <c r="Q49" i="13"/>
  <c r="O10" i="13"/>
  <c r="S52" i="13"/>
  <c r="O36" i="13"/>
  <c r="S11" i="13"/>
  <c r="S51" i="13"/>
  <c r="O16" i="13"/>
  <c r="O67" i="13"/>
  <c r="O94" i="13"/>
  <c r="S16" i="13"/>
  <c r="Q20" i="13"/>
  <c r="P99" i="13"/>
  <c r="Q26" i="13"/>
  <c r="R7" i="13"/>
  <c r="P75" i="13"/>
  <c r="Q93" i="13"/>
  <c r="S47" i="13"/>
  <c r="P49" i="13"/>
  <c r="Q16" i="13"/>
  <c r="O65" i="13"/>
  <c r="O27" i="13"/>
  <c r="O48" i="13"/>
  <c r="P39" i="13"/>
  <c r="P65" i="13"/>
  <c r="S67" i="13"/>
  <c r="O37" i="13"/>
  <c r="O87" i="13"/>
  <c r="Q66" i="13"/>
  <c r="R49" i="13"/>
  <c r="R47" i="13"/>
  <c r="Q9" i="13"/>
  <c r="Q72" i="13"/>
  <c r="P60" i="13"/>
  <c r="R90" i="13"/>
  <c r="P70" i="13"/>
  <c r="Q12" i="13"/>
  <c r="R15" i="13"/>
  <c r="R52" i="13"/>
  <c r="Q53" i="13"/>
  <c r="R48" i="13"/>
  <c r="S88" i="13"/>
  <c r="O29" i="13"/>
  <c r="R87" i="13"/>
  <c r="G77" i="15" l="1"/>
  <c r="G94" i="15"/>
  <c r="G53" i="15"/>
  <c r="G56" i="15"/>
  <c r="G60" i="15"/>
  <c r="G37" i="15"/>
  <c r="G79" i="15"/>
  <c r="G74" i="15"/>
  <c r="G100" i="15"/>
  <c r="G96" i="15"/>
  <c r="G80" i="15"/>
  <c r="G99" i="15"/>
  <c r="G15" i="15"/>
  <c r="G13" i="15"/>
  <c r="G73" i="15"/>
  <c r="G95" i="15"/>
  <c r="G19" i="15"/>
  <c r="G58" i="15"/>
  <c r="G55" i="15"/>
  <c r="G33" i="15"/>
  <c r="G16" i="15"/>
  <c r="G97" i="15"/>
  <c r="G54" i="15"/>
  <c r="T91" i="13"/>
  <c r="T71" i="13"/>
  <c r="T51" i="13"/>
  <c r="T31" i="13"/>
  <c r="T11" i="13"/>
  <c r="T86" i="13"/>
  <c r="G86" i="16" s="1"/>
  <c r="T66" i="13"/>
  <c r="G66" i="16" s="1"/>
  <c r="T46" i="13"/>
  <c r="G46" i="16" s="1"/>
  <c r="T26" i="13"/>
  <c r="G26" i="16" s="1"/>
  <c r="T6" i="13"/>
  <c r="G6" i="16" s="1"/>
  <c r="T87" i="13"/>
  <c r="G87" i="16" s="1"/>
  <c r="T67" i="13"/>
  <c r="G67" i="16" s="1"/>
  <c r="T47" i="13"/>
  <c r="G47" i="16" s="1"/>
  <c r="T27" i="13"/>
  <c r="G27" i="16" s="1"/>
  <c r="T7" i="13"/>
  <c r="G7" i="16" s="1"/>
  <c r="T96" i="13"/>
  <c r="T98" i="13"/>
  <c r="T95" i="13"/>
  <c r="T97" i="13"/>
  <c r="T100" i="13"/>
  <c r="T99" i="13"/>
  <c r="T94" i="13"/>
  <c r="T75" i="13"/>
  <c r="T78" i="13"/>
  <c r="T77" i="13"/>
  <c r="T79" i="13"/>
  <c r="T80" i="13"/>
  <c r="T74" i="13"/>
  <c r="T76" i="13"/>
  <c r="T58" i="13"/>
  <c r="T55" i="13"/>
  <c r="T57" i="13"/>
  <c r="T60" i="13"/>
  <c r="T59" i="13"/>
  <c r="T54" i="13"/>
  <c r="T56" i="13"/>
  <c r="T36" i="13"/>
  <c r="T34" i="13"/>
  <c r="T38" i="13"/>
  <c r="T40" i="13"/>
  <c r="T35" i="13"/>
  <c r="T37" i="13"/>
  <c r="T39" i="13"/>
  <c r="T16" i="13"/>
  <c r="T20" i="13"/>
  <c r="T14" i="13"/>
  <c r="T19" i="13"/>
  <c r="T17" i="13"/>
  <c r="T18" i="13"/>
  <c r="T15" i="13"/>
  <c r="T93" i="13"/>
  <c r="T73" i="13"/>
  <c r="T53" i="13"/>
  <c r="T33" i="13"/>
  <c r="T13" i="13"/>
  <c r="T89" i="13"/>
  <c r="T69" i="13"/>
  <c r="T49" i="13"/>
  <c r="T29" i="13"/>
  <c r="T9" i="13"/>
  <c r="T85" i="13"/>
  <c r="G85" i="16" s="1"/>
  <c r="T65" i="13"/>
  <c r="G65" i="16" s="1"/>
  <c r="T45" i="13"/>
  <c r="G45" i="16" s="1"/>
  <c r="T25" i="13"/>
  <c r="G25" i="16" s="1"/>
  <c r="T5" i="13"/>
  <c r="G5" i="16" s="1"/>
  <c r="T90" i="13"/>
  <c r="T70" i="13"/>
  <c r="T50" i="13"/>
  <c r="T30" i="13"/>
  <c r="T10" i="13"/>
  <c r="T92" i="13"/>
  <c r="T72" i="13"/>
  <c r="T52" i="13"/>
  <c r="T32" i="13"/>
  <c r="T12" i="13"/>
  <c r="T88" i="13"/>
  <c r="G88" i="16" s="1"/>
  <c r="N88" i="16" s="1"/>
  <c r="T68" i="13"/>
  <c r="G68" i="16" s="1"/>
  <c r="N68" i="16" s="1"/>
  <c r="T48" i="13"/>
  <c r="G48" i="16" s="1"/>
  <c r="N48" i="16" s="1"/>
  <c r="T28" i="13"/>
  <c r="G28" i="16" s="1"/>
  <c r="N28" i="16" s="1"/>
  <c r="T8" i="13"/>
  <c r="G8" i="16" s="1"/>
  <c r="N8" i="16" s="1"/>
  <c r="G39" i="15"/>
  <c r="G35" i="15"/>
  <c r="P10" i="14"/>
  <c r="T9" i="14"/>
  <c r="G76" i="15"/>
  <c r="G75" i="15"/>
  <c r="P70" i="14"/>
  <c r="T69" i="14"/>
  <c r="P90" i="14"/>
  <c r="T89" i="14"/>
  <c r="G20" i="15"/>
  <c r="G38" i="15"/>
  <c r="P30" i="14"/>
  <c r="T29" i="14"/>
  <c r="P50" i="14"/>
  <c r="T49" i="14"/>
  <c r="G40" i="15"/>
  <c r="G18" i="15"/>
  <c r="O13" i="14"/>
  <c r="G34" i="15"/>
  <c r="G78" i="15"/>
  <c r="G36" i="15"/>
  <c r="G98" i="15"/>
  <c r="G59" i="15"/>
  <c r="O94" i="14"/>
  <c r="O74" i="14"/>
  <c r="O52" i="14"/>
  <c r="O32" i="14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10" i="12"/>
  <c r="E7" i="13"/>
  <c r="F7" i="13"/>
  <c r="F13" i="14" s="1"/>
  <c r="F14" i="14" s="1"/>
  <c r="G7" i="13"/>
  <c r="G13" i="14" s="1"/>
  <c r="G14" i="14" s="1"/>
  <c r="D7" i="13"/>
  <c r="O28" i="16" l="1"/>
  <c r="N46" i="16"/>
  <c r="O46" i="16"/>
  <c r="N66" i="16"/>
  <c r="O66" i="16"/>
  <c r="N86" i="16"/>
  <c r="O86" i="16"/>
  <c r="N25" i="16"/>
  <c r="O25" i="16"/>
  <c r="N5" i="16"/>
  <c r="O5" i="16"/>
  <c r="N45" i="16"/>
  <c r="O45" i="16"/>
  <c r="N7" i="16"/>
  <c r="O7" i="16"/>
  <c r="N26" i="16"/>
  <c r="O26" i="16"/>
  <c r="N65" i="16"/>
  <c r="O65" i="16"/>
  <c r="N27" i="16"/>
  <c r="O27" i="16"/>
  <c r="O68" i="16"/>
  <c r="N85" i="16"/>
  <c r="O85" i="16"/>
  <c r="N47" i="16"/>
  <c r="O47" i="16"/>
  <c r="O48" i="16"/>
  <c r="G9" i="16"/>
  <c r="N9" i="16" s="1"/>
  <c r="N67" i="16"/>
  <c r="O67" i="16"/>
  <c r="N87" i="16"/>
  <c r="O87" i="16"/>
  <c r="O8" i="16"/>
  <c r="N6" i="16"/>
  <c r="O6" i="16"/>
  <c r="O88" i="16"/>
  <c r="G89" i="16"/>
  <c r="N89" i="16" s="1"/>
  <c r="G69" i="16"/>
  <c r="N69" i="16" s="1"/>
  <c r="G29" i="16"/>
  <c r="N29" i="16" s="1"/>
  <c r="G15" i="14"/>
  <c r="F15" i="14"/>
  <c r="O17" i="17"/>
  <c r="AI17" i="8"/>
  <c r="K17" i="8"/>
  <c r="V17" i="11"/>
  <c r="D17" i="10"/>
  <c r="D17" i="16"/>
  <c r="O15" i="17"/>
  <c r="AI15" i="8"/>
  <c r="K15" i="8"/>
  <c r="V15" i="11"/>
  <c r="D15" i="16"/>
  <c r="D15" i="10"/>
  <c r="O14" i="17"/>
  <c r="AI14" i="8"/>
  <c r="K14" i="8"/>
  <c r="V14" i="11"/>
  <c r="D14" i="16"/>
  <c r="D14" i="10"/>
  <c r="O11" i="17"/>
  <c r="K11" i="8"/>
  <c r="AI11" i="8"/>
  <c r="V11" i="11"/>
  <c r="D11" i="10"/>
  <c r="D11" i="16"/>
  <c r="O10" i="17"/>
  <c r="AI10" i="8"/>
  <c r="K10" i="8"/>
  <c r="V10" i="11"/>
  <c r="D10" i="16"/>
  <c r="D10" i="10"/>
  <c r="O13" i="17"/>
  <c r="AI13" i="8"/>
  <c r="K13" i="8"/>
  <c r="V13" i="11"/>
  <c r="D13" i="16"/>
  <c r="D13" i="10"/>
  <c r="O12" i="17"/>
  <c r="AI12" i="8"/>
  <c r="K12" i="8"/>
  <c r="V12" i="11"/>
  <c r="D12" i="16"/>
  <c r="D12" i="10"/>
  <c r="O5" i="17"/>
  <c r="K5" i="8"/>
  <c r="AI5" i="8"/>
  <c r="V5" i="11"/>
  <c r="D5" i="16"/>
  <c r="D5" i="10"/>
  <c r="O9" i="17"/>
  <c r="K9" i="8"/>
  <c r="AI9" i="8"/>
  <c r="V9" i="11"/>
  <c r="D9" i="16"/>
  <c r="D9" i="10"/>
  <c r="O20" i="17"/>
  <c r="AI20" i="8"/>
  <c r="K20" i="8"/>
  <c r="V20" i="11"/>
  <c r="D20" i="16"/>
  <c r="D20" i="10"/>
  <c r="O8" i="17"/>
  <c r="AI8" i="8"/>
  <c r="K8" i="8"/>
  <c r="V8" i="11"/>
  <c r="D8" i="16"/>
  <c r="D8" i="10"/>
  <c r="O19" i="17"/>
  <c r="AI19" i="8"/>
  <c r="K19" i="8"/>
  <c r="V19" i="11"/>
  <c r="D19" i="10"/>
  <c r="D19" i="16"/>
  <c r="O7" i="17"/>
  <c r="AI7" i="8"/>
  <c r="K7" i="8"/>
  <c r="V7" i="11"/>
  <c r="D7" i="10"/>
  <c r="D7" i="16"/>
  <c r="O16" i="17"/>
  <c r="AI16" i="8"/>
  <c r="K16" i="8"/>
  <c r="V16" i="11"/>
  <c r="D16" i="10"/>
  <c r="D16" i="16"/>
  <c r="O18" i="17"/>
  <c r="AI18" i="8"/>
  <c r="K18" i="8"/>
  <c r="V18" i="11"/>
  <c r="D18" i="10"/>
  <c r="D18" i="16"/>
  <c r="O6" i="17"/>
  <c r="AI6" i="8"/>
  <c r="K6" i="8"/>
  <c r="V6" i="11"/>
  <c r="D6" i="10"/>
  <c r="D6" i="16"/>
  <c r="G49" i="16"/>
  <c r="N49" i="16" s="1"/>
  <c r="L13" i="14"/>
  <c r="D13" i="15"/>
  <c r="L13" i="13"/>
  <c r="D11" i="15"/>
  <c r="L11" i="13"/>
  <c r="L11" i="14"/>
  <c r="D10" i="15"/>
  <c r="L10" i="13"/>
  <c r="L10" i="14"/>
  <c r="L19" i="13"/>
  <c r="L19" i="14"/>
  <c r="D19" i="15"/>
  <c r="L12" i="14"/>
  <c r="D12" i="15"/>
  <c r="L12" i="13"/>
  <c r="L18" i="13"/>
  <c r="L18" i="14"/>
  <c r="D18" i="15"/>
  <c r="L7" i="14"/>
  <c r="L7" i="13"/>
  <c r="D7" i="15"/>
  <c r="L16" i="13"/>
  <c r="L16" i="14"/>
  <c r="D16" i="15"/>
  <c r="D5" i="15"/>
  <c r="L5" i="13"/>
  <c r="L5" i="14"/>
  <c r="L6" i="13"/>
  <c r="L6" i="14"/>
  <c r="D6" i="15"/>
  <c r="L17" i="13"/>
  <c r="D17" i="15"/>
  <c r="L17" i="14"/>
  <c r="L15" i="14"/>
  <c r="L15" i="13"/>
  <c r="D15" i="15"/>
  <c r="D9" i="15"/>
  <c r="L9" i="13"/>
  <c r="L9" i="14"/>
  <c r="D20" i="15"/>
  <c r="L20" i="14"/>
  <c r="L20" i="13"/>
  <c r="D8" i="15"/>
  <c r="L8" i="14"/>
  <c r="L8" i="13"/>
  <c r="L14" i="14"/>
  <c r="L14" i="13"/>
  <c r="D14" i="15"/>
  <c r="P91" i="14"/>
  <c r="T90" i="14"/>
  <c r="P71" i="14"/>
  <c r="T70" i="14"/>
  <c r="O14" i="14"/>
  <c r="P51" i="14"/>
  <c r="T50" i="14"/>
  <c r="P11" i="14"/>
  <c r="T10" i="14"/>
  <c r="P31" i="14"/>
  <c r="T30" i="14"/>
  <c r="O95" i="14"/>
  <c r="O75" i="14"/>
  <c r="O53" i="14"/>
  <c r="O33" i="14"/>
  <c r="H13" i="14"/>
  <c r="E13" i="14"/>
  <c r="E14" i="14" s="1"/>
  <c r="D13" i="14"/>
  <c r="D14" i="14" s="1"/>
  <c r="D15" i="14" s="1"/>
  <c r="D42" i="12"/>
  <c r="D41" i="12"/>
  <c r="D40" i="12"/>
  <c r="D39" i="12"/>
  <c r="D38" i="12"/>
  <c r="D37" i="12"/>
  <c r="D36" i="12"/>
  <c r="D35" i="12"/>
  <c r="D30" i="12"/>
  <c r="D34" i="12"/>
  <c r="D45" i="12"/>
  <c r="D33" i="12"/>
  <c r="D44" i="12"/>
  <c r="D32" i="12"/>
  <c r="D43" i="12"/>
  <c r="D31" i="12"/>
  <c r="W3" i="8"/>
  <c r="O89" i="16" l="1"/>
  <c r="O49" i="16"/>
  <c r="O9" i="16"/>
  <c r="G10" i="16"/>
  <c r="N10" i="16" s="1"/>
  <c r="G90" i="16"/>
  <c r="N90" i="16" s="1"/>
  <c r="G50" i="16"/>
  <c r="N50" i="16" s="1"/>
  <c r="O69" i="16"/>
  <c r="G30" i="16"/>
  <c r="N30" i="16" s="1"/>
  <c r="G70" i="16"/>
  <c r="N70" i="16" s="1"/>
  <c r="O29" i="16"/>
  <c r="E15" i="14"/>
  <c r="O33" i="17"/>
  <c r="K33" i="8"/>
  <c r="AI33" i="8"/>
  <c r="V33" i="11"/>
  <c r="D33" i="16"/>
  <c r="D33" i="10"/>
  <c r="O27" i="17"/>
  <c r="AI27" i="8"/>
  <c r="K27" i="8"/>
  <c r="V27" i="11"/>
  <c r="D27" i="16"/>
  <c r="D27" i="10"/>
  <c r="O26" i="17"/>
  <c r="AI26" i="8"/>
  <c r="K26" i="8"/>
  <c r="V26" i="11"/>
  <c r="D26" i="10"/>
  <c r="D26" i="16"/>
  <c r="O35" i="17"/>
  <c r="AI35" i="8"/>
  <c r="K35" i="8"/>
  <c r="V35" i="11"/>
  <c r="D35" i="10"/>
  <c r="D35" i="16"/>
  <c r="O28" i="17"/>
  <c r="AI28" i="8"/>
  <c r="K28" i="8"/>
  <c r="V28" i="11"/>
  <c r="D28" i="16"/>
  <c r="D28" i="10"/>
  <c r="O36" i="17"/>
  <c r="AI36" i="8"/>
  <c r="K36" i="8"/>
  <c r="V36" i="11"/>
  <c r="D36" i="10"/>
  <c r="D36" i="16"/>
  <c r="O32" i="17"/>
  <c r="AI32" i="8"/>
  <c r="K32" i="8"/>
  <c r="V32" i="11"/>
  <c r="D32" i="16"/>
  <c r="D32" i="10"/>
  <c r="O34" i="17"/>
  <c r="AI34" i="8"/>
  <c r="K34" i="8"/>
  <c r="V34" i="11"/>
  <c r="D34" i="16"/>
  <c r="D34" i="10"/>
  <c r="O37" i="17"/>
  <c r="AI37" i="8"/>
  <c r="K37" i="8"/>
  <c r="V37" i="11"/>
  <c r="D37" i="10"/>
  <c r="D37" i="16"/>
  <c r="O29" i="17"/>
  <c r="K29" i="8"/>
  <c r="AI29" i="8"/>
  <c r="V29" i="11"/>
  <c r="D29" i="16"/>
  <c r="D29" i="10"/>
  <c r="O38" i="17"/>
  <c r="AI38" i="8"/>
  <c r="K38" i="8"/>
  <c r="V38" i="11"/>
  <c r="D38" i="10"/>
  <c r="D38" i="16"/>
  <c r="O40" i="17"/>
  <c r="AI40" i="8"/>
  <c r="K40" i="8"/>
  <c r="V40" i="11"/>
  <c r="D40" i="16"/>
  <c r="D40" i="10"/>
  <c r="O30" i="17"/>
  <c r="AI30" i="8"/>
  <c r="K30" i="8"/>
  <c r="V30" i="11"/>
  <c r="D30" i="16"/>
  <c r="D30" i="10"/>
  <c r="O39" i="17"/>
  <c r="AI39" i="8"/>
  <c r="K39" i="8"/>
  <c r="V39" i="11"/>
  <c r="D39" i="16"/>
  <c r="D39" i="10"/>
  <c r="O25" i="17"/>
  <c r="AI25" i="8"/>
  <c r="K25" i="8"/>
  <c r="V25" i="11"/>
  <c r="D25" i="10"/>
  <c r="D25" i="16"/>
  <c r="O31" i="17"/>
  <c r="AI31" i="8"/>
  <c r="K31" i="8"/>
  <c r="V31" i="11"/>
  <c r="D31" i="16"/>
  <c r="D31" i="10"/>
  <c r="L32" i="14"/>
  <c r="D32" i="15"/>
  <c r="L32" i="13"/>
  <c r="L35" i="13"/>
  <c r="L35" i="14"/>
  <c r="D35" i="15"/>
  <c r="D33" i="15"/>
  <c r="L33" i="13"/>
  <c r="L33" i="14"/>
  <c r="L26" i="14"/>
  <c r="D26" i="15"/>
  <c r="L26" i="13"/>
  <c r="L27" i="14"/>
  <c r="D27" i="15"/>
  <c r="L27" i="13"/>
  <c r="L39" i="14"/>
  <c r="D39" i="15"/>
  <c r="L39" i="13"/>
  <c r="L29" i="14"/>
  <c r="D29" i="15"/>
  <c r="L29" i="13"/>
  <c r="L36" i="14"/>
  <c r="D36" i="15"/>
  <c r="L36" i="13"/>
  <c r="L38" i="14"/>
  <c r="D38" i="15"/>
  <c r="L38" i="13"/>
  <c r="L37" i="13"/>
  <c r="L37" i="14"/>
  <c r="D37" i="15"/>
  <c r="D30" i="15"/>
  <c r="L30" i="13"/>
  <c r="L30" i="14"/>
  <c r="D34" i="15"/>
  <c r="L34" i="13"/>
  <c r="L34" i="14"/>
  <c r="L28" i="14"/>
  <c r="D28" i="15"/>
  <c r="L28" i="13"/>
  <c r="L40" i="14"/>
  <c r="D40" i="15"/>
  <c r="L40" i="13"/>
  <c r="D25" i="15"/>
  <c r="L25" i="13"/>
  <c r="L25" i="14"/>
  <c r="D31" i="15"/>
  <c r="L31" i="13"/>
  <c r="L31" i="14"/>
  <c r="P12" i="14"/>
  <c r="T11" i="14"/>
  <c r="P72" i="14"/>
  <c r="T71" i="14"/>
  <c r="P32" i="14"/>
  <c r="T31" i="14"/>
  <c r="P52" i="14"/>
  <c r="T51" i="14"/>
  <c r="O15" i="14"/>
  <c r="P92" i="14"/>
  <c r="T91" i="14"/>
  <c r="O96" i="14"/>
  <c r="O76" i="14"/>
  <c r="O54" i="14"/>
  <c r="O34" i="14"/>
  <c r="H14" i="14"/>
  <c r="H15" i="14" s="1"/>
  <c r="D55" i="12"/>
  <c r="D58" i="12"/>
  <c r="D59" i="12"/>
  <c r="D63" i="12"/>
  <c r="D60" i="12"/>
  <c r="D50" i="12"/>
  <c r="D51" i="12"/>
  <c r="D52" i="12"/>
  <c r="D61" i="12"/>
  <c r="D65" i="12"/>
  <c r="D54" i="12"/>
  <c r="D56" i="12"/>
  <c r="D57" i="12"/>
  <c r="D64" i="12"/>
  <c r="D62" i="12"/>
  <c r="D53" i="12"/>
  <c r="O30" i="16" l="1"/>
  <c r="O50" i="16"/>
  <c r="O90" i="16"/>
  <c r="O10" i="16"/>
  <c r="O70" i="16"/>
  <c r="G51" i="16"/>
  <c r="N51" i="16" s="1"/>
  <c r="G71" i="16"/>
  <c r="N71" i="16" s="1"/>
  <c r="G11" i="16"/>
  <c r="N11" i="16" s="1"/>
  <c r="G91" i="16"/>
  <c r="N91" i="16" s="1"/>
  <c r="G31" i="16"/>
  <c r="N31" i="16" s="1"/>
  <c r="O46" i="17"/>
  <c r="AI46" i="8"/>
  <c r="K46" i="8"/>
  <c r="V46" i="11"/>
  <c r="D46" i="16"/>
  <c r="D46" i="10"/>
  <c r="O56" i="17"/>
  <c r="AI56" i="8"/>
  <c r="K56" i="8"/>
  <c r="V56" i="11"/>
  <c r="D56" i="16"/>
  <c r="D56" i="10"/>
  <c r="O47" i="17"/>
  <c r="AI47" i="8"/>
  <c r="K47" i="8"/>
  <c r="V47" i="11"/>
  <c r="D47" i="16"/>
  <c r="D47" i="10"/>
  <c r="O58" i="17"/>
  <c r="AI58" i="8"/>
  <c r="K58" i="8"/>
  <c r="V58" i="11"/>
  <c r="D58" i="16"/>
  <c r="D58" i="10"/>
  <c r="O54" i="17"/>
  <c r="AI54" i="8"/>
  <c r="K54" i="8"/>
  <c r="V54" i="11"/>
  <c r="D54" i="10"/>
  <c r="D54" i="16"/>
  <c r="O59" i="17"/>
  <c r="AI59" i="8"/>
  <c r="K59" i="8"/>
  <c r="V59" i="11"/>
  <c r="D59" i="16"/>
  <c r="D59" i="10"/>
  <c r="O52" i="17"/>
  <c r="AI52" i="8"/>
  <c r="K52" i="8"/>
  <c r="V52" i="11"/>
  <c r="D52" i="10"/>
  <c r="D52" i="16"/>
  <c r="O45" i="17"/>
  <c r="AI45" i="8"/>
  <c r="K45" i="8"/>
  <c r="V45" i="11"/>
  <c r="D45" i="16"/>
  <c r="D45" i="10"/>
  <c r="O55" i="17"/>
  <c r="AI55" i="8"/>
  <c r="K55" i="8"/>
  <c r="V55" i="11"/>
  <c r="D55" i="16"/>
  <c r="D55" i="10"/>
  <c r="O48" i="17"/>
  <c r="AI48" i="8"/>
  <c r="K48" i="8"/>
  <c r="V48" i="11"/>
  <c r="D48" i="16"/>
  <c r="D48" i="10"/>
  <c r="O57" i="17"/>
  <c r="K57" i="8"/>
  <c r="AI57" i="8"/>
  <c r="V57" i="11"/>
  <c r="D57" i="16"/>
  <c r="D57" i="10"/>
  <c r="O53" i="17"/>
  <c r="AI53" i="8"/>
  <c r="K53" i="8"/>
  <c r="V53" i="11"/>
  <c r="D53" i="10"/>
  <c r="D53" i="16"/>
  <c r="O50" i="17"/>
  <c r="AI50" i="8"/>
  <c r="K50" i="8"/>
  <c r="V50" i="11"/>
  <c r="D50" i="16"/>
  <c r="D50" i="10"/>
  <c r="O51" i="17"/>
  <c r="AI51" i="8"/>
  <c r="K51" i="8"/>
  <c r="V51" i="11"/>
  <c r="D51" i="10"/>
  <c r="D51" i="16"/>
  <c r="O49" i="17"/>
  <c r="AI49" i="8"/>
  <c r="K49" i="8"/>
  <c r="V49" i="11"/>
  <c r="D49" i="16"/>
  <c r="D49" i="10"/>
  <c r="O60" i="17"/>
  <c r="AI60" i="8"/>
  <c r="K60" i="8"/>
  <c r="V60" i="11"/>
  <c r="D60" i="16"/>
  <c r="D60" i="10"/>
  <c r="L57" i="14"/>
  <c r="D57" i="15"/>
  <c r="L57" i="13"/>
  <c r="D53" i="15"/>
  <c r="L53" i="14"/>
  <c r="L53" i="13"/>
  <c r="D46" i="15"/>
  <c r="L46" i="13"/>
  <c r="L46" i="14"/>
  <c r="L45" i="14"/>
  <c r="D45" i="15"/>
  <c r="L45" i="13"/>
  <c r="D47" i="15"/>
  <c r="L47" i="13"/>
  <c r="L47" i="14"/>
  <c r="D48" i="15"/>
  <c r="L48" i="13"/>
  <c r="L48" i="14"/>
  <c r="L55" i="14"/>
  <c r="D55" i="15"/>
  <c r="L55" i="13"/>
  <c r="D59" i="15"/>
  <c r="L59" i="13"/>
  <c r="L59" i="14"/>
  <c r="L60" i="14"/>
  <c r="D60" i="15"/>
  <c r="L60" i="13"/>
  <c r="L58" i="14"/>
  <c r="D58" i="15"/>
  <c r="L58" i="13"/>
  <c r="L54" i="14"/>
  <c r="D54" i="15"/>
  <c r="L54" i="13"/>
  <c r="L52" i="14"/>
  <c r="D52" i="15"/>
  <c r="L52" i="13"/>
  <c r="D50" i="15"/>
  <c r="L50" i="13"/>
  <c r="L50" i="14"/>
  <c r="L51" i="14"/>
  <c r="D51" i="15"/>
  <c r="L51" i="13"/>
  <c r="D49" i="15"/>
  <c r="L49" i="13"/>
  <c r="L49" i="14"/>
  <c r="L56" i="14"/>
  <c r="D56" i="15"/>
  <c r="L56" i="13"/>
  <c r="O16" i="14"/>
  <c r="P73" i="14"/>
  <c r="T72" i="14"/>
  <c r="P53" i="14"/>
  <c r="T52" i="14"/>
  <c r="P33" i="14"/>
  <c r="T32" i="14"/>
  <c r="P93" i="14"/>
  <c r="T92" i="14"/>
  <c r="P13" i="14"/>
  <c r="T12" i="14"/>
  <c r="O97" i="14"/>
  <c r="O77" i="14"/>
  <c r="O55" i="14"/>
  <c r="O35" i="14"/>
  <c r="D72" i="12"/>
  <c r="D70" i="12"/>
  <c r="D80" i="12"/>
  <c r="D83" i="12"/>
  <c r="D71" i="12"/>
  <c r="D82" i="12"/>
  <c r="D79" i="12"/>
  <c r="D84" i="12"/>
  <c r="D78" i="12"/>
  <c r="D73" i="12"/>
  <c r="D77" i="12"/>
  <c r="D75" i="12"/>
  <c r="D76" i="12"/>
  <c r="D74" i="12"/>
  <c r="D85" i="12"/>
  <c r="D81" i="12"/>
  <c r="W107" i="8"/>
  <c r="AB107" i="8" s="1"/>
  <c r="X107" i="8"/>
  <c r="AC107" i="8" s="1"/>
  <c r="Y107" i="8"/>
  <c r="AD107" i="8" s="1"/>
  <c r="Z107" i="8"/>
  <c r="AE107" i="8" s="1"/>
  <c r="AA107" i="8"/>
  <c r="AF107" i="8" s="1"/>
  <c r="W108" i="8"/>
  <c r="AB108" i="8" s="1"/>
  <c r="X108" i="8"/>
  <c r="AC108" i="8" s="1"/>
  <c r="Y108" i="8"/>
  <c r="AD108" i="8" s="1"/>
  <c r="Z108" i="8"/>
  <c r="AE108" i="8" s="1"/>
  <c r="AA108" i="8"/>
  <c r="AF108" i="8" s="1"/>
  <c r="W109" i="8"/>
  <c r="AB109" i="8" s="1"/>
  <c r="X109" i="8"/>
  <c r="AC109" i="8" s="1"/>
  <c r="Y109" i="8"/>
  <c r="AD109" i="8" s="1"/>
  <c r="Z109" i="8"/>
  <c r="AE109" i="8" s="1"/>
  <c r="AA109" i="8"/>
  <c r="AF109" i="8" s="1"/>
  <c r="W110" i="8"/>
  <c r="AB110" i="8" s="1"/>
  <c r="X110" i="8"/>
  <c r="AC110" i="8" s="1"/>
  <c r="Y110" i="8"/>
  <c r="AD110" i="8" s="1"/>
  <c r="Z110" i="8"/>
  <c r="AE110" i="8" s="1"/>
  <c r="AA110" i="8"/>
  <c r="AF110" i="8" s="1"/>
  <c r="W111" i="8"/>
  <c r="AB111" i="8" s="1"/>
  <c r="X111" i="8"/>
  <c r="AC111" i="8" s="1"/>
  <c r="Y111" i="8"/>
  <c r="AD111" i="8" s="1"/>
  <c r="Z111" i="8"/>
  <c r="AE111" i="8" s="1"/>
  <c r="AA111" i="8"/>
  <c r="AF111" i="8" s="1"/>
  <c r="W112" i="8"/>
  <c r="AB112" i="8" s="1"/>
  <c r="X112" i="8"/>
  <c r="AC112" i="8" s="1"/>
  <c r="Y112" i="8"/>
  <c r="AD112" i="8" s="1"/>
  <c r="Z112" i="8"/>
  <c r="AE112" i="8" s="1"/>
  <c r="AA112" i="8"/>
  <c r="AF112" i="8" s="1"/>
  <c r="W113" i="8"/>
  <c r="AB113" i="8" s="1"/>
  <c r="X113" i="8"/>
  <c r="AC113" i="8" s="1"/>
  <c r="Y113" i="8"/>
  <c r="AD113" i="8" s="1"/>
  <c r="Z113" i="8"/>
  <c r="AE113" i="8" s="1"/>
  <c r="AA113" i="8"/>
  <c r="AF113" i="8" s="1"/>
  <c r="W114" i="8"/>
  <c r="AB114" i="8" s="1"/>
  <c r="X114" i="8"/>
  <c r="AC114" i="8" s="1"/>
  <c r="Y114" i="8"/>
  <c r="AD114" i="8" s="1"/>
  <c r="Z114" i="8"/>
  <c r="AE114" i="8" s="1"/>
  <c r="AA114" i="8"/>
  <c r="AF114" i="8" s="1"/>
  <c r="W115" i="8"/>
  <c r="AB115" i="8" s="1"/>
  <c r="X115" i="8"/>
  <c r="AC115" i="8" s="1"/>
  <c r="Y115" i="8"/>
  <c r="AD115" i="8" s="1"/>
  <c r="Z115" i="8"/>
  <c r="AE115" i="8" s="1"/>
  <c r="AA115" i="8"/>
  <c r="AF115" i="8" s="1"/>
  <c r="W116" i="8"/>
  <c r="AB116" i="8" s="1"/>
  <c r="X116" i="8"/>
  <c r="AC116" i="8" s="1"/>
  <c r="Y116" i="8"/>
  <c r="AD116" i="8" s="1"/>
  <c r="Z116" i="8"/>
  <c r="AE116" i="8" s="1"/>
  <c r="AA116" i="8"/>
  <c r="AF116" i="8" s="1"/>
  <c r="W117" i="8"/>
  <c r="AB117" i="8" s="1"/>
  <c r="X117" i="8"/>
  <c r="AC117" i="8" s="1"/>
  <c r="Y117" i="8"/>
  <c r="AD117" i="8" s="1"/>
  <c r="Z117" i="8"/>
  <c r="AE117" i="8" s="1"/>
  <c r="AA117" i="8"/>
  <c r="AF117" i="8" s="1"/>
  <c r="W118" i="8"/>
  <c r="AB118" i="8" s="1"/>
  <c r="X118" i="8"/>
  <c r="AC118" i="8" s="1"/>
  <c r="Y118" i="8"/>
  <c r="AD118" i="8" s="1"/>
  <c r="Z118" i="8"/>
  <c r="AE118" i="8" s="1"/>
  <c r="AA118" i="8"/>
  <c r="AF118" i="8" s="1"/>
  <c r="W119" i="8"/>
  <c r="AB119" i="8" s="1"/>
  <c r="X119" i="8"/>
  <c r="AC119" i="8" s="1"/>
  <c r="Y119" i="8"/>
  <c r="AD119" i="8" s="1"/>
  <c r="Z119" i="8"/>
  <c r="AE119" i="8" s="1"/>
  <c r="AA119" i="8"/>
  <c r="AF119" i="8" s="1"/>
  <c r="W120" i="8"/>
  <c r="AB120" i="8" s="1"/>
  <c r="X120" i="8"/>
  <c r="AC120" i="8" s="1"/>
  <c r="Y120" i="8"/>
  <c r="AD120" i="8" s="1"/>
  <c r="Z120" i="8"/>
  <c r="AE120" i="8" s="1"/>
  <c r="AA120" i="8"/>
  <c r="AF120" i="8" s="1"/>
  <c r="W121" i="8"/>
  <c r="AB121" i="8" s="1"/>
  <c r="X121" i="8"/>
  <c r="AC121" i="8" s="1"/>
  <c r="Y121" i="8"/>
  <c r="AD121" i="8" s="1"/>
  <c r="Z121" i="8"/>
  <c r="AE121" i="8" s="1"/>
  <c r="AA121" i="8"/>
  <c r="AF121" i="8" s="1"/>
  <c r="W122" i="8"/>
  <c r="AB122" i="8" s="1"/>
  <c r="X122" i="8"/>
  <c r="AC122" i="8" s="1"/>
  <c r="Y122" i="8"/>
  <c r="AD122" i="8" s="1"/>
  <c r="Z122" i="8"/>
  <c r="AE122" i="8" s="1"/>
  <c r="AA122" i="8"/>
  <c r="AF122" i="8" s="1"/>
  <c r="W123" i="8"/>
  <c r="AB123" i="8" s="1"/>
  <c r="X123" i="8"/>
  <c r="AC123" i="8" s="1"/>
  <c r="Y123" i="8"/>
  <c r="AD123" i="8" s="1"/>
  <c r="Z123" i="8"/>
  <c r="AE123" i="8" s="1"/>
  <c r="AA123" i="8"/>
  <c r="AF123" i="8" s="1"/>
  <c r="W124" i="8"/>
  <c r="AB124" i="8" s="1"/>
  <c r="X124" i="8"/>
  <c r="AC124" i="8" s="1"/>
  <c r="Y124" i="8"/>
  <c r="AD124" i="8" s="1"/>
  <c r="Z124" i="8"/>
  <c r="AE124" i="8" s="1"/>
  <c r="AA124" i="8"/>
  <c r="AF124" i="8" s="1"/>
  <c r="W125" i="8"/>
  <c r="AB125" i="8" s="1"/>
  <c r="X125" i="8"/>
  <c r="AC125" i="8" s="1"/>
  <c r="Y125" i="8"/>
  <c r="AD125" i="8" s="1"/>
  <c r="Z125" i="8"/>
  <c r="AE125" i="8" s="1"/>
  <c r="AA125" i="8"/>
  <c r="AF125" i="8" s="1"/>
  <c r="W126" i="8"/>
  <c r="AB126" i="8" s="1"/>
  <c r="X126" i="8"/>
  <c r="AC126" i="8" s="1"/>
  <c r="Y126" i="8"/>
  <c r="AD126" i="8" s="1"/>
  <c r="Z126" i="8"/>
  <c r="AE126" i="8" s="1"/>
  <c r="AA126" i="8"/>
  <c r="AF126" i="8" s="1"/>
  <c r="W127" i="8"/>
  <c r="AB127" i="8" s="1"/>
  <c r="X127" i="8"/>
  <c r="AC127" i="8" s="1"/>
  <c r="Y127" i="8"/>
  <c r="AD127" i="8" s="1"/>
  <c r="Z127" i="8"/>
  <c r="AE127" i="8" s="1"/>
  <c r="AA127" i="8"/>
  <c r="AF127" i="8" s="1"/>
  <c r="W128" i="8"/>
  <c r="AB128" i="8" s="1"/>
  <c r="X128" i="8"/>
  <c r="AC128" i="8" s="1"/>
  <c r="Y128" i="8"/>
  <c r="AD128" i="8" s="1"/>
  <c r="Z128" i="8"/>
  <c r="AE128" i="8" s="1"/>
  <c r="AA128" i="8"/>
  <c r="AF128" i="8" s="1"/>
  <c r="W129" i="8"/>
  <c r="AB129" i="8" s="1"/>
  <c r="X129" i="8"/>
  <c r="AC129" i="8" s="1"/>
  <c r="Y129" i="8"/>
  <c r="AD129" i="8" s="1"/>
  <c r="Z129" i="8"/>
  <c r="AE129" i="8" s="1"/>
  <c r="AA129" i="8"/>
  <c r="AF129" i="8" s="1"/>
  <c r="W130" i="8"/>
  <c r="AB130" i="8" s="1"/>
  <c r="X130" i="8"/>
  <c r="AC130" i="8" s="1"/>
  <c r="Y130" i="8"/>
  <c r="AD130" i="8" s="1"/>
  <c r="Z130" i="8"/>
  <c r="AE130" i="8" s="1"/>
  <c r="AA130" i="8"/>
  <c r="AF130" i="8" s="1"/>
  <c r="W131" i="8"/>
  <c r="AB131" i="8" s="1"/>
  <c r="X131" i="8"/>
  <c r="AC131" i="8" s="1"/>
  <c r="Y131" i="8"/>
  <c r="AD131" i="8" s="1"/>
  <c r="Z131" i="8"/>
  <c r="AE131" i="8" s="1"/>
  <c r="AA131" i="8"/>
  <c r="AF131" i="8" s="1"/>
  <c r="W132" i="8"/>
  <c r="AB132" i="8" s="1"/>
  <c r="X132" i="8"/>
  <c r="AC132" i="8" s="1"/>
  <c r="Y132" i="8"/>
  <c r="AD132" i="8" s="1"/>
  <c r="Z132" i="8"/>
  <c r="AE132" i="8" s="1"/>
  <c r="AA132" i="8"/>
  <c r="AF132" i="8" s="1"/>
  <c r="W133" i="8"/>
  <c r="AB133" i="8" s="1"/>
  <c r="X133" i="8"/>
  <c r="AC133" i="8" s="1"/>
  <c r="Y133" i="8"/>
  <c r="AD133" i="8" s="1"/>
  <c r="Z133" i="8"/>
  <c r="AE133" i="8" s="1"/>
  <c r="AA133" i="8"/>
  <c r="AF133" i="8" s="1"/>
  <c r="W134" i="8"/>
  <c r="AB134" i="8" s="1"/>
  <c r="X134" i="8"/>
  <c r="AC134" i="8" s="1"/>
  <c r="Y134" i="8"/>
  <c r="AD134" i="8" s="1"/>
  <c r="Z134" i="8"/>
  <c r="AE134" i="8" s="1"/>
  <c r="AA134" i="8"/>
  <c r="AF134" i="8" s="1"/>
  <c r="W135" i="8"/>
  <c r="AB135" i="8" s="1"/>
  <c r="X135" i="8"/>
  <c r="AC135" i="8" s="1"/>
  <c r="Y135" i="8"/>
  <c r="AD135" i="8" s="1"/>
  <c r="Z135" i="8"/>
  <c r="AE135" i="8" s="1"/>
  <c r="AA135" i="8"/>
  <c r="AF135" i="8" s="1"/>
  <c r="W136" i="8"/>
  <c r="AB136" i="8" s="1"/>
  <c r="X136" i="8"/>
  <c r="AC136" i="8" s="1"/>
  <c r="Y136" i="8"/>
  <c r="AD136" i="8" s="1"/>
  <c r="Z136" i="8"/>
  <c r="AE136" i="8" s="1"/>
  <c r="AA136" i="8"/>
  <c r="AF136" i="8" s="1"/>
  <c r="W137" i="8"/>
  <c r="AB137" i="8" s="1"/>
  <c r="X137" i="8"/>
  <c r="AC137" i="8" s="1"/>
  <c r="Y137" i="8"/>
  <c r="AD137" i="8" s="1"/>
  <c r="Z137" i="8"/>
  <c r="AE137" i="8" s="1"/>
  <c r="AA137" i="8"/>
  <c r="AF137" i="8" s="1"/>
  <c r="W138" i="8"/>
  <c r="AB138" i="8" s="1"/>
  <c r="X138" i="8"/>
  <c r="AC138" i="8" s="1"/>
  <c r="Y138" i="8"/>
  <c r="AD138" i="8" s="1"/>
  <c r="Z138" i="8"/>
  <c r="AE138" i="8" s="1"/>
  <c r="AA138" i="8"/>
  <c r="AF138" i="8" s="1"/>
  <c r="W139" i="8"/>
  <c r="AB139" i="8" s="1"/>
  <c r="X139" i="8"/>
  <c r="AC139" i="8" s="1"/>
  <c r="Y139" i="8"/>
  <c r="AD139" i="8" s="1"/>
  <c r="Z139" i="8"/>
  <c r="AE139" i="8" s="1"/>
  <c r="AA139" i="8"/>
  <c r="AF139" i="8" s="1"/>
  <c r="W140" i="8"/>
  <c r="AB140" i="8" s="1"/>
  <c r="X140" i="8"/>
  <c r="AC140" i="8" s="1"/>
  <c r="Y140" i="8"/>
  <c r="AD140" i="8" s="1"/>
  <c r="Z140" i="8"/>
  <c r="AE140" i="8" s="1"/>
  <c r="AA140" i="8"/>
  <c r="AF140" i="8" s="1"/>
  <c r="W141" i="8"/>
  <c r="AB141" i="8" s="1"/>
  <c r="X141" i="8"/>
  <c r="AC141" i="8" s="1"/>
  <c r="Y141" i="8"/>
  <c r="AD141" i="8" s="1"/>
  <c r="Z141" i="8"/>
  <c r="AE141" i="8" s="1"/>
  <c r="AA141" i="8"/>
  <c r="AF141" i="8" s="1"/>
  <c r="W142" i="8"/>
  <c r="AB142" i="8" s="1"/>
  <c r="X142" i="8"/>
  <c r="AC142" i="8" s="1"/>
  <c r="Y142" i="8"/>
  <c r="AD142" i="8" s="1"/>
  <c r="Z142" i="8"/>
  <c r="AE142" i="8" s="1"/>
  <c r="AA142" i="8"/>
  <c r="AF142" i="8" s="1"/>
  <c r="W143" i="8"/>
  <c r="AB143" i="8" s="1"/>
  <c r="X143" i="8"/>
  <c r="AC143" i="8" s="1"/>
  <c r="Y143" i="8"/>
  <c r="AD143" i="8" s="1"/>
  <c r="Z143" i="8"/>
  <c r="AE143" i="8" s="1"/>
  <c r="AA143" i="8"/>
  <c r="AF143" i="8" s="1"/>
  <c r="W144" i="8"/>
  <c r="AB144" i="8" s="1"/>
  <c r="X144" i="8"/>
  <c r="AC144" i="8" s="1"/>
  <c r="Y144" i="8"/>
  <c r="AD144" i="8" s="1"/>
  <c r="Z144" i="8"/>
  <c r="AE144" i="8" s="1"/>
  <c r="AA144" i="8"/>
  <c r="AF144" i="8" s="1"/>
  <c r="W145" i="8"/>
  <c r="AB145" i="8" s="1"/>
  <c r="X145" i="8"/>
  <c r="AC145" i="8" s="1"/>
  <c r="Y145" i="8"/>
  <c r="AD145" i="8" s="1"/>
  <c r="Z145" i="8"/>
  <c r="AE145" i="8" s="1"/>
  <c r="AA145" i="8"/>
  <c r="AF145" i="8" s="1"/>
  <c r="W146" i="8"/>
  <c r="AB146" i="8" s="1"/>
  <c r="X146" i="8"/>
  <c r="AC146" i="8" s="1"/>
  <c r="Y146" i="8"/>
  <c r="AD146" i="8" s="1"/>
  <c r="Z146" i="8"/>
  <c r="AE146" i="8" s="1"/>
  <c r="AA146" i="8"/>
  <c r="AF146" i="8" s="1"/>
  <c r="W147" i="8"/>
  <c r="AB147" i="8" s="1"/>
  <c r="X147" i="8"/>
  <c r="AC147" i="8" s="1"/>
  <c r="Y147" i="8"/>
  <c r="AD147" i="8" s="1"/>
  <c r="Z147" i="8"/>
  <c r="AE147" i="8" s="1"/>
  <c r="AA147" i="8"/>
  <c r="AF147" i="8" s="1"/>
  <c r="W148" i="8"/>
  <c r="AB148" i="8" s="1"/>
  <c r="X148" i="8"/>
  <c r="AC148" i="8" s="1"/>
  <c r="Y148" i="8"/>
  <c r="AD148" i="8" s="1"/>
  <c r="Z148" i="8"/>
  <c r="AE148" i="8" s="1"/>
  <c r="AA148" i="8"/>
  <c r="AF148" i="8" s="1"/>
  <c r="W149" i="8"/>
  <c r="AB149" i="8" s="1"/>
  <c r="X149" i="8"/>
  <c r="AC149" i="8" s="1"/>
  <c r="Y149" i="8"/>
  <c r="AD149" i="8" s="1"/>
  <c r="Z149" i="8"/>
  <c r="AE149" i="8" s="1"/>
  <c r="AA149" i="8"/>
  <c r="AF149" i="8" s="1"/>
  <c r="W150" i="8"/>
  <c r="AB150" i="8" s="1"/>
  <c r="X150" i="8"/>
  <c r="AC150" i="8" s="1"/>
  <c r="Y150" i="8"/>
  <c r="AD150" i="8" s="1"/>
  <c r="Z150" i="8"/>
  <c r="AE150" i="8" s="1"/>
  <c r="AA150" i="8"/>
  <c r="AF150" i="8" s="1"/>
  <c r="W151" i="8"/>
  <c r="AB151" i="8" s="1"/>
  <c r="X151" i="8"/>
  <c r="AC151" i="8" s="1"/>
  <c r="Y151" i="8"/>
  <c r="AD151" i="8" s="1"/>
  <c r="Z151" i="8"/>
  <c r="AE151" i="8" s="1"/>
  <c r="AA151" i="8"/>
  <c r="AF151" i="8" s="1"/>
  <c r="W152" i="8"/>
  <c r="AB152" i="8" s="1"/>
  <c r="X152" i="8"/>
  <c r="AC152" i="8" s="1"/>
  <c r="Y152" i="8"/>
  <c r="AD152" i="8" s="1"/>
  <c r="Z152" i="8"/>
  <c r="AE152" i="8" s="1"/>
  <c r="AA152" i="8"/>
  <c r="AF152" i="8" s="1"/>
  <c r="W153" i="8"/>
  <c r="AB153" i="8" s="1"/>
  <c r="X153" i="8"/>
  <c r="AC153" i="8" s="1"/>
  <c r="Y153" i="8"/>
  <c r="AD153" i="8" s="1"/>
  <c r="Z153" i="8"/>
  <c r="AE153" i="8" s="1"/>
  <c r="AA153" i="8"/>
  <c r="AF153" i="8" s="1"/>
  <c r="W154" i="8"/>
  <c r="AB154" i="8" s="1"/>
  <c r="X154" i="8"/>
  <c r="AC154" i="8" s="1"/>
  <c r="Y154" i="8"/>
  <c r="AD154" i="8" s="1"/>
  <c r="Z154" i="8"/>
  <c r="AE154" i="8" s="1"/>
  <c r="AA154" i="8"/>
  <c r="AF154" i="8" s="1"/>
  <c r="W155" i="8"/>
  <c r="AB155" i="8" s="1"/>
  <c r="X155" i="8"/>
  <c r="AC155" i="8" s="1"/>
  <c r="Y155" i="8"/>
  <c r="AD155" i="8" s="1"/>
  <c r="Z155" i="8"/>
  <c r="AE155" i="8" s="1"/>
  <c r="AA155" i="8"/>
  <c r="AF155" i="8" s="1"/>
  <c r="W156" i="8"/>
  <c r="AB156" i="8" s="1"/>
  <c r="X156" i="8"/>
  <c r="AC156" i="8" s="1"/>
  <c r="Y156" i="8"/>
  <c r="AD156" i="8" s="1"/>
  <c r="Z156" i="8"/>
  <c r="AE156" i="8" s="1"/>
  <c r="AA156" i="8"/>
  <c r="AF156" i="8" s="1"/>
  <c r="W157" i="8"/>
  <c r="AB157" i="8" s="1"/>
  <c r="X157" i="8"/>
  <c r="AC157" i="8" s="1"/>
  <c r="Y157" i="8"/>
  <c r="AD157" i="8" s="1"/>
  <c r="Z157" i="8"/>
  <c r="AE157" i="8" s="1"/>
  <c r="AA157" i="8"/>
  <c r="AF157" i="8" s="1"/>
  <c r="W158" i="8"/>
  <c r="AB158" i="8" s="1"/>
  <c r="X158" i="8"/>
  <c r="AC158" i="8" s="1"/>
  <c r="Y158" i="8"/>
  <c r="AD158" i="8" s="1"/>
  <c r="Z158" i="8"/>
  <c r="AE158" i="8" s="1"/>
  <c r="AA158" i="8"/>
  <c r="AF158" i="8" s="1"/>
  <c r="W159" i="8"/>
  <c r="AB159" i="8" s="1"/>
  <c r="X159" i="8"/>
  <c r="AC159" i="8" s="1"/>
  <c r="Y159" i="8"/>
  <c r="AD159" i="8" s="1"/>
  <c r="Z159" i="8"/>
  <c r="AE159" i="8" s="1"/>
  <c r="AA159" i="8"/>
  <c r="AF159" i="8" s="1"/>
  <c r="W160" i="8"/>
  <c r="AB160" i="8" s="1"/>
  <c r="X160" i="8"/>
  <c r="AC160" i="8" s="1"/>
  <c r="Y160" i="8"/>
  <c r="AD160" i="8" s="1"/>
  <c r="Z160" i="8"/>
  <c r="AE160" i="8" s="1"/>
  <c r="AA160" i="8"/>
  <c r="AF160" i="8" s="1"/>
  <c r="W161" i="8"/>
  <c r="AB161" i="8" s="1"/>
  <c r="X161" i="8"/>
  <c r="AC161" i="8" s="1"/>
  <c r="Y161" i="8"/>
  <c r="AD161" i="8" s="1"/>
  <c r="Z161" i="8"/>
  <c r="AE161" i="8" s="1"/>
  <c r="AA161" i="8"/>
  <c r="AF161" i="8" s="1"/>
  <c r="W162" i="8"/>
  <c r="AB162" i="8" s="1"/>
  <c r="X162" i="8"/>
  <c r="AC162" i="8" s="1"/>
  <c r="Y162" i="8"/>
  <c r="AD162" i="8" s="1"/>
  <c r="Z162" i="8"/>
  <c r="AE162" i="8" s="1"/>
  <c r="AA162" i="8"/>
  <c r="AF162" i="8" s="1"/>
  <c r="W163" i="8"/>
  <c r="AB163" i="8" s="1"/>
  <c r="X163" i="8"/>
  <c r="AC163" i="8" s="1"/>
  <c r="Y163" i="8"/>
  <c r="AD163" i="8" s="1"/>
  <c r="Z163" i="8"/>
  <c r="AE163" i="8" s="1"/>
  <c r="AA163" i="8"/>
  <c r="AF163" i="8" s="1"/>
  <c r="W164" i="8"/>
  <c r="AB164" i="8" s="1"/>
  <c r="X164" i="8"/>
  <c r="AC164" i="8" s="1"/>
  <c r="Y164" i="8"/>
  <c r="AD164" i="8" s="1"/>
  <c r="Z164" i="8"/>
  <c r="AE164" i="8" s="1"/>
  <c r="AA164" i="8"/>
  <c r="AF164" i="8" s="1"/>
  <c r="W165" i="8"/>
  <c r="AB165" i="8" s="1"/>
  <c r="X165" i="8"/>
  <c r="AC165" i="8" s="1"/>
  <c r="Y165" i="8"/>
  <c r="AD165" i="8" s="1"/>
  <c r="Z165" i="8"/>
  <c r="AE165" i="8" s="1"/>
  <c r="AA165" i="8"/>
  <c r="AF165" i="8" s="1"/>
  <c r="W166" i="8"/>
  <c r="AB166" i="8" s="1"/>
  <c r="X166" i="8"/>
  <c r="AC166" i="8" s="1"/>
  <c r="Y166" i="8"/>
  <c r="AD166" i="8" s="1"/>
  <c r="Z166" i="8"/>
  <c r="AE166" i="8" s="1"/>
  <c r="AA166" i="8"/>
  <c r="AF166" i="8" s="1"/>
  <c r="O31" i="16" l="1"/>
  <c r="O91" i="16"/>
  <c r="O51" i="16"/>
  <c r="O11" i="16"/>
  <c r="O71" i="16"/>
  <c r="G52" i="16"/>
  <c r="N52" i="16" s="1"/>
  <c r="G92" i="16"/>
  <c r="N92" i="16" s="1"/>
  <c r="G12" i="16"/>
  <c r="N12" i="16" s="1"/>
  <c r="G32" i="16"/>
  <c r="N32" i="16" s="1"/>
  <c r="G72" i="16"/>
  <c r="N72" i="16" s="1"/>
  <c r="O79" i="17"/>
  <c r="AI79" i="8"/>
  <c r="K79" i="8"/>
  <c r="V79" i="11"/>
  <c r="D79" i="10"/>
  <c r="D79" i="16"/>
  <c r="O74" i="17"/>
  <c r="AI74" i="8"/>
  <c r="K74" i="8"/>
  <c r="V74" i="11"/>
  <c r="D74" i="16"/>
  <c r="D74" i="10"/>
  <c r="O77" i="17"/>
  <c r="AI77" i="8"/>
  <c r="K77" i="8"/>
  <c r="V77" i="11"/>
  <c r="D77" i="16"/>
  <c r="D77" i="10"/>
  <c r="O66" i="17"/>
  <c r="AI66" i="8"/>
  <c r="K66" i="8"/>
  <c r="V66" i="11"/>
  <c r="D66" i="16"/>
  <c r="D66" i="10"/>
  <c r="O80" i="17"/>
  <c r="AI80" i="8"/>
  <c r="K80" i="8"/>
  <c r="V80" i="11"/>
  <c r="D80" i="10"/>
  <c r="D80" i="16"/>
  <c r="O75" i="17"/>
  <c r="AI75" i="8"/>
  <c r="K75" i="8"/>
  <c r="V75" i="11"/>
  <c r="D75" i="10"/>
  <c r="D75" i="16"/>
  <c r="O69" i="17"/>
  <c r="AI69" i="8"/>
  <c r="K69" i="8"/>
  <c r="V69" i="11"/>
  <c r="D69" i="10"/>
  <c r="D69" i="16"/>
  <c r="O65" i="17"/>
  <c r="AI65" i="8"/>
  <c r="K65" i="8"/>
  <c r="V65" i="11"/>
  <c r="D65" i="16"/>
  <c r="D65" i="10"/>
  <c r="O68" i="17"/>
  <c r="AI68" i="8"/>
  <c r="K68" i="8"/>
  <c r="V68" i="11"/>
  <c r="D68" i="10"/>
  <c r="D68" i="16"/>
  <c r="O76" i="17"/>
  <c r="AI76" i="8"/>
  <c r="K76" i="8"/>
  <c r="V76" i="11"/>
  <c r="D76" i="16"/>
  <c r="D76" i="10"/>
  <c r="O71" i="17"/>
  <c r="AI71" i="8"/>
  <c r="K71" i="8"/>
  <c r="V71" i="11"/>
  <c r="D71" i="16"/>
  <c r="D71" i="10"/>
  <c r="O67" i="17"/>
  <c r="AI67" i="8"/>
  <c r="K67" i="8"/>
  <c r="V67" i="11"/>
  <c r="D67" i="10"/>
  <c r="D67" i="16"/>
  <c r="O78" i="17"/>
  <c r="AI78" i="8"/>
  <c r="K78" i="8"/>
  <c r="V78" i="11"/>
  <c r="D78" i="16"/>
  <c r="D78" i="10"/>
  <c r="O70" i="17"/>
  <c r="AI70" i="8"/>
  <c r="K70" i="8"/>
  <c r="V70" i="11"/>
  <c r="D70" i="10"/>
  <c r="D70" i="16"/>
  <c r="O73" i="17"/>
  <c r="AI73" i="8"/>
  <c r="K73" i="8"/>
  <c r="V73" i="11"/>
  <c r="D73" i="16"/>
  <c r="D73" i="10"/>
  <c r="O72" i="17"/>
  <c r="AI72" i="8"/>
  <c r="K72" i="8"/>
  <c r="V72" i="11"/>
  <c r="D72" i="16"/>
  <c r="D72" i="10"/>
  <c r="L79" i="13"/>
  <c r="L79" i="14"/>
  <c r="D79" i="15"/>
  <c r="D77" i="15"/>
  <c r="L77" i="13"/>
  <c r="L77" i="14"/>
  <c r="D66" i="15"/>
  <c r="L66" i="13"/>
  <c r="L66" i="14"/>
  <c r="D76" i="15"/>
  <c r="L76" i="13"/>
  <c r="L76" i="14"/>
  <c r="D78" i="15"/>
  <c r="L78" i="13"/>
  <c r="L78" i="14"/>
  <c r="L80" i="14"/>
  <c r="D80" i="15"/>
  <c r="L80" i="13"/>
  <c r="D75" i="15"/>
  <c r="L75" i="13"/>
  <c r="L75" i="14"/>
  <c r="L74" i="14"/>
  <c r="D74" i="15"/>
  <c r="L74" i="13"/>
  <c r="D69" i="15"/>
  <c r="L69" i="14"/>
  <c r="L69" i="13"/>
  <c r="D65" i="15"/>
  <c r="L65" i="13"/>
  <c r="L65" i="14"/>
  <c r="L73" i="14"/>
  <c r="D73" i="15"/>
  <c r="L73" i="13"/>
  <c r="L71" i="14"/>
  <c r="D71" i="15"/>
  <c r="L71" i="13"/>
  <c r="L67" i="14"/>
  <c r="L67" i="13"/>
  <c r="D67" i="15"/>
  <c r="L70" i="14"/>
  <c r="D70" i="15"/>
  <c r="L70" i="13"/>
  <c r="L72" i="14"/>
  <c r="D72" i="15"/>
  <c r="L72" i="13"/>
  <c r="L68" i="14"/>
  <c r="D68" i="15"/>
  <c r="L68" i="13"/>
  <c r="P14" i="14"/>
  <c r="T13" i="14"/>
  <c r="P94" i="14"/>
  <c r="T93" i="14"/>
  <c r="P34" i="14"/>
  <c r="T33" i="14"/>
  <c r="P54" i="14"/>
  <c r="T53" i="14"/>
  <c r="P74" i="14"/>
  <c r="T73" i="14"/>
  <c r="O17" i="14"/>
  <c r="O98" i="14"/>
  <c r="O78" i="14"/>
  <c r="O56" i="14"/>
  <c r="O36" i="14"/>
  <c r="D98" i="12"/>
  <c r="D104" i="12"/>
  <c r="D99" i="12"/>
  <c r="D102" i="12"/>
  <c r="D91" i="12"/>
  <c r="D101" i="12"/>
  <c r="D103" i="12"/>
  <c r="D105" i="12"/>
  <c r="D100" i="12"/>
  <c r="D94" i="12"/>
  <c r="D90" i="12"/>
  <c r="D92" i="12"/>
  <c r="D96" i="12"/>
  <c r="D95" i="12"/>
  <c r="D97" i="12"/>
  <c r="D93" i="12"/>
  <c r="Y9" i="8"/>
  <c r="AD9" i="8" s="1"/>
  <c r="Z74" i="8"/>
  <c r="AE74" i="8" s="1"/>
  <c r="Z16" i="8"/>
  <c r="AE16" i="8" s="1"/>
  <c r="Y48" i="8"/>
  <c r="AD48" i="8" s="1"/>
  <c r="W24" i="8"/>
  <c r="AB24" i="8" s="1"/>
  <c r="W95" i="8"/>
  <c r="AB95" i="8" s="1"/>
  <c r="Y40" i="8"/>
  <c r="AD40" i="8" s="1"/>
  <c r="Y58" i="8"/>
  <c r="AD58" i="8" s="1"/>
  <c r="Z26" i="8"/>
  <c r="AE26" i="8" s="1"/>
  <c r="Z92" i="8"/>
  <c r="AE92" i="8" s="1"/>
  <c r="Z91" i="8"/>
  <c r="AE91" i="8" s="1"/>
  <c r="X73" i="8"/>
  <c r="AC73" i="8" s="1"/>
  <c r="AA60" i="8"/>
  <c r="AF60" i="8" s="1"/>
  <c r="W103" i="8"/>
  <c r="AB103" i="8" s="1"/>
  <c r="W12" i="8"/>
  <c r="AB12" i="8" s="1"/>
  <c r="AA90" i="8"/>
  <c r="AF90" i="8" s="1"/>
  <c r="W106" i="8"/>
  <c r="AB106" i="8" s="1"/>
  <c r="AA66" i="8"/>
  <c r="AF66" i="8" s="1"/>
  <c r="O92" i="16" l="1"/>
  <c r="O32" i="16"/>
  <c r="O12" i="16"/>
  <c r="O52" i="16"/>
  <c r="O72" i="16"/>
  <c r="G33" i="16"/>
  <c r="N33" i="16" s="1"/>
  <c r="G93" i="16"/>
  <c r="N93" i="16" s="1"/>
  <c r="G73" i="16"/>
  <c r="N73" i="16" s="1"/>
  <c r="G13" i="16"/>
  <c r="N13" i="16" s="1"/>
  <c r="G53" i="16"/>
  <c r="N53" i="16" s="1"/>
  <c r="O100" i="17"/>
  <c r="AI100" i="8"/>
  <c r="K100" i="8"/>
  <c r="V100" i="11"/>
  <c r="D100" i="16"/>
  <c r="D100" i="10"/>
  <c r="O97" i="17"/>
  <c r="AI97" i="8"/>
  <c r="K97" i="8"/>
  <c r="V97" i="11"/>
  <c r="D97" i="10"/>
  <c r="D97" i="16"/>
  <c r="O94" i="17"/>
  <c r="K94" i="8"/>
  <c r="AI94" i="8"/>
  <c r="V94" i="11"/>
  <c r="D94" i="16"/>
  <c r="D94" i="10"/>
  <c r="O90" i="17"/>
  <c r="AI90" i="8"/>
  <c r="K90" i="8"/>
  <c r="V90" i="11"/>
  <c r="D90" i="16"/>
  <c r="D90" i="10"/>
  <c r="O99" i="17"/>
  <c r="AI99" i="8"/>
  <c r="K99" i="8"/>
  <c r="V99" i="11"/>
  <c r="D99" i="16"/>
  <c r="D99" i="10"/>
  <c r="O86" i="17"/>
  <c r="AI86" i="8"/>
  <c r="K86" i="8"/>
  <c r="V86" i="11"/>
  <c r="D86" i="10"/>
  <c r="D86" i="16"/>
  <c r="O91" i="17"/>
  <c r="AI91" i="8"/>
  <c r="K91" i="8"/>
  <c r="V91" i="11"/>
  <c r="D91" i="10"/>
  <c r="D91" i="16"/>
  <c r="O93" i="17"/>
  <c r="AI93" i="8"/>
  <c r="K93" i="8"/>
  <c r="V93" i="11"/>
  <c r="D93" i="16"/>
  <c r="D93" i="10"/>
  <c r="O87" i="17"/>
  <c r="AI87" i="8"/>
  <c r="K87" i="8"/>
  <c r="V87" i="11"/>
  <c r="D87" i="16"/>
  <c r="D87" i="10"/>
  <c r="O92" i="17"/>
  <c r="AI92" i="8"/>
  <c r="K92" i="8"/>
  <c r="V92" i="11"/>
  <c r="D92" i="16"/>
  <c r="D92" i="10"/>
  <c r="O85" i="17"/>
  <c r="AI85" i="8"/>
  <c r="K85" i="8"/>
  <c r="V85" i="11"/>
  <c r="D85" i="10"/>
  <c r="D85" i="16"/>
  <c r="O95" i="17"/>
  <c r="AI95" i="8"/>
  <c r="K95" i="8"/>
  <c r="V95" i="11"/>
  <c r="D95" i="10"/>
  <c r="D95" i="16"/>
  <c r="O98" i="17"/>
  <c r="AI98" i="8"/>
  <c r="K98" i="8"/>
  <c r="V98" i="11"/>
  <c r="D98" i="10"/>
  <c r="D98" i="16"/>
  <c r="O96" i="17"/>
  <c r="AI96" i="8"/>
  <c r="K96" i="8"/>
  <c r="V96" i="11"/>
  <c r="D96" i="10"/>
  <c r="D96" i="16"/>
  <c r="O88" i="17"/>
  <c r="AI88" i="8"/>
  <c r="K88" i="8"/>
  <c r="V88" i="11"/>
  <c r="D88" i="16"/>
  <c r="D88" i="10"/>
  <c r="O89" i="17"/>
  <c r="AI89" i="8"/>
  <c r="K89" i="8"/>
  <c r="V89" i="11"/>
  <c r="D89" i="16"/>
  <c r="D89" i="10"/>
  <c r="L100" i="14"/>
  <c r="D100" i="15"/>
  <c r="L100" i="13"/>
  <c r="L97" i="13"/>
  <c r="L97" i="14"/>
  <c r="D97" i="15"/>
  <c r="D92" i="15"/>
  <c r="L92" i="13"/>
  <c r="L92" i="14"/>
  <c r="L99" i="14"/>
  <c r="D99" i="15"/>
  <c r="L99" i="13"/>
  <c r="D91" i="15"/>
  <c r="L91" i="13"/>
  <c r="L91" i="14"/>
  <c r="D93" i="15"/>
  <c r="L93" i="13"/>
  <c r="L93" i="14"/>
  <c r="L96" i="14"/>
  <c r="D96" i="15"/>
  <c r="L96" i="13"/>
  <c r="L87" i="14"/>
  <c r="D87" i="15"/>
  <c r="L87" i="13"/>
  <c r="L95" i="14"/>
  <c r="D95" i="15"/>
  <c r="L95" i="13"/>
  <c r="L86" i="14"/>
  <c r="D86" i="15"/>
  <c r="L86" i="13"/>
  <c r="L85" i="13"/>
  <c r="L85" i="14"/>
  <c r="D85" i="15"/>
  <c r="L98" i="14"/>
  <c r="D98" i="15"/>
  <c r="L98" i="13"/>
  <c r="L88" i="14"/>
  <c r="D88" i="15"/>
  <c r="L88" i="13"/>
  <c r="D94" i="15"/>
  <c r="L94" i="13"/>
  <c r="L94" i="14"/>
  <c r="D90" i="15"/>
  <c r="L90" i="13"/>
  <c r="L90" i="14"/>
  <c r="L89" i="14"/>
  <c r="D89" i="15"/>
  <c r="L89" i="13"/>
  <c r="O18" i="14"/>
  <c r="P75" i="14"/>
  <c r="T74" i="14"/>
  <c r="P35" i="14"/>
  <c r="T34" i="14"/>
  <c r="P55" i="14"/>
  <c r="T54" i="14"/>
  <c r="P95" i="14"/>
  <c r="T94" i="14"/>
  <c r="P15" i="14"/>
  <c r="T14" i="14"/>
  <c r="O99" i="14"/>
  <c r="O79" i="14"/>
  <c r="O57" i="14"/>
  <c r="O37" i="14"/>
  <c r="Y23" i="8"/>
  <c r="AD23" i="8" s="1"/>
  <c r="Z68" i="8"/>
  <c r="AE68" i="8" s="1"/>
  <c r="X13" i="8"/>
  <c r="AC13" i="8" s="1"/>
  <c r="Z63" i="8"/>
  <c r="AE63" i="8" s="1"/>
  <c r="Z60" i="8"/>
  <c r="AE60" i="8" s="1"/>
  <c r="Z35" i="8"/>
  <c r="AE35" i="8" s="1"/>
  <c r="Y18" i="8"/>
  <c r="AD18" i="8" s="1"/>
  <c r="W68" i="8"/>
  <c r="AB68" i="8" s="1"/>
  <c r="X53" i="8"/>
  <c r="AC53" i="8" s="1"/>
  <c r="W46" i="8"/>
  <c r="AB46" i="8" s="1"/>
  <c r="Y56" i="8"/>
  <c r="AD56" i="8" s="1"/>
  <c r="AA12" i="8"/>
  <c r="AF12" i="8" s="1"/>
  <c r="AA39" i="8"/>
  <c r="AF39" i="8" s="1"/>
  <c r="Y76" i="8"/>
  <c r="AD76" i="8" s="1"/>
  <c r="Y38" i="8"/>
  <c r="AD38" i="8" s="1"/>
  <c r="Z25" i="8"/>
  <c r="AE25" i="8" s="1"/>
  <c r="W14" i="8"/>
  <c r="AB14" i="8" s="1"/>
  <c r="AA24" i="8"/>
  <c r="AF24" i="8" s="1"/>
  <c r="X11" i="8"/>
  <c r="AC11" i="8" s="1"/>
  <c r="X49" i="8"/>
  <c r="AC49" i="8" s="1"/>
  <c r="AA13" i="8"/>
  <c r="AF13" i="8" s="1"/>
  <c r="W79" i="8"/>
  <c r="AB79" i="8" s="1"/>
  <c r="W9" i="8"/>
  <c r="AB9" i="8" s="1"/>
  <c r="X56" i="8"/>
  <c r="AC56" i="8" s="1"/>
  <c r="Z10" i="8"/>
  <c r="AE10" i="8" s="1"/>
  <c r="Y32" i="8"/>
  <c r="AD32" i="8" s="1"/>
  <c r="AA18" i="8"/>
  <c r="AF18" i="8" s="1"/>
  <c r="Y41" i="8"/>
  <c r="AD41" i="8" s="1"/>
  <c r="Z71" i="8"/>
  <c r="AE71" i="8" s="1"/>
  <c r="AA44" i="8"/>
  <c r="AF44" i="8" s="1"/>
  <c r="AA49" i="8"/>
  <c r="AF49" i="8" s="1"/>
  <c r="X77" i="8"/>
  <c r="AC77" i="8" s="1"/>
  <c r="Z84" i="8"/>
  <c r="AE84" i="8" s="1"/>
  <c r="AA14" i="8"/>
  <c r="AF14" i="8" s="1"/>
  <c r="AA52" i="8"/>
  <c r="AF52" i="8" s="1"/>
  <c r="X40" i="8"/>
  <c r="AC40" i="8" s="1"/>
  <c r="W22" i="8"/>
  <c r="AB22" i="8" s="1"/>
  <c r="Y24" i="8"/>
  <c r="AD24" i="8" s="1"/>
  <c r="Y53" i="8"/>
  <c r="AD53" i="8" s="1"/>
  <c r="AA16" i="8"/>
  <c r="AF16" i="8" s="1"/>
  <c r="W13" i="8"/>
  <c r="AB13" i="8" s="1"/>
  <c r="AA64" i="8"/>
  <c r="AF64" i="8" s="1"/>
  <c r="Y84" i="8"/>
  <c r="AD84" i="8" s="1"/>
  <c r="W58" i="8"/>
  <c r="AB58" i="8" s="1"/>
  <c r="W64" i="8"/>
  <c r="AB64" i="8" s="1"/>
  <c r="Z85" i="8"/>
  <c r="AE85" i="8" s="1"/>
  <c r="AA17" i="8"/>
  <c r="AF17" i="8" s="1"/>
  <c r="Y16" i="8"/>
  <c r="AD16" i="8" s="1"/>
  <c r="Y67" i="8"/>
  <c r="AD67" i="8" s="1"/>
  <c r="Z32" i="8"/>
  <c r="AE32" i="8" s="1"/>
  <c r="W61" i="8"/>
  <c r="AB61" i="8" s="1"/>
  <c r="Z62" i="8"/>
  <c r="AE62" i="8" s="1"/>
  <c r="X74" i="8"/>
  <c r="AC74" i="8" s="1"/>
  <c r="Y28" i="8"/>
  <c r="AD28" i="8" s="1"/>
  <c r="AA38" i="8"/>
  <c r="AF38" i="8" s="1"/>
  <c r="AA28" i="8"/>
  <c r="AF28" i="8" s="1"/>
  <c r="Y19" i="8"/>
  <c r="AD19" i="8" s="1"/>
  <c r="AA34" i="8"/>
  <c r="AF34" i="8" s="1"/>
  <c r="X76" i="8"/>
  <c r="AC76" i="8" s="1"/>
  <c r="X46" i="8"/>
  <c r="AC46" i="8" s="1"/>
  <c r="X21" i="8"/>
  <c r="AC21" i="8" s="1"/>
  <c r="W71" i="8"/>
  <c r="AB71" i="8" s="1"/>
  <c r="Z29" i="8"/>
  <c r="AE29" i="8" s="1"/>
  <c r="AA35" i="8"/>
  <c r="AF35" i="8" s="1"/>
  <c r="Y64" i="8"/>
  <c r="AD64" i="8" s="1"/>
  <c r="W84" i="8"/>
  <c r="AB84" i="8" s="1"/>
  <c r="W11" i="8"/>
  <c r="AB11" i="8" s="1"/>
  <c r="W37" i="8"/>
  <c r="AB37" i="8" s="1"/>
  <c r="W86" i="8"/>
  <c r="AB86" i="8" s="1"/>
  <c r="X44" i="8"/>
  <c r="AC44" i="8" s="1"/>
  <c r="W42" i="8"/>
  <c r="AB42" i="8" s="1"/>
  <c r="AA33" i="8"/>
  <c r="AF33" i="8" s="1"/>
  <c r="AA63" i="8"/>
  <c r="AF63" i="8" s="1"/>
  <c r="Z31" i="8"/>
  <c r="AE31" i="8" s="1"/>
  <c r="Z34" i="8"/>
  <c r="AE34" i="8" s="1"/>
  <c r="W30" i="8"/>
  <c r="AB30" i="8" s="1"/>
  <c r="Z54" i="8"/>
  <c r="AE54" i="8" s="1"/>
  <c r="AA37" i="8"/>
  <c r="AF37" i="8" s="1"/>
  <c r="Z65" i="8"/>
  <c r="AE65" i="8" s="1"/>
  <c r="X12" i="8"/>
  <c r="AC12" i="8" s="1"/>
  <c r="AA25" i="8"/>
  <c r="AF25" i="8" s="1"/>
  <c r="Z82" i="8"/>
  <c r="AE82" i="8" s="1"/>
  <c r="X72" i="8"/>
  <c r="AC72" i="8" s="1"/>
  <c r="AA53" i="8"/>
  <c r="AF53" i="8" s="1"/>
  <c r="AA31" i="8"/>
  <c r="AF31" i="8" s="1"/>
  <c r="W47" i="8"/>
  <c r="AB47" i="8" s="1"/>
  <c r="X24" i="8"/>
  <c r="AC24" i="8" s="1"/>
  <c r="W8" i="8"/>
  <c r="AB8" i="8" s="1"/>
  <c r="AA61" i="8"/>
  <c r="AF61" i="8" s="1"/>
  <c r="X29" i="8"/>
  <c r="AC29" i="8" s="1"/>
  <c r="Y42" i="8"/>
  <c r="AD42" i="8" s="1"/>
  <c r="Y63" i="8"/>
  <c r="AD63" i="8" s="1"/>
  <c r="Z48" i="8"/>
  <c r="AE48" i="8" s="1"/>
  <c r="Y82" i="8"/>
  <c r="AD82" i="8" s="1"/>
  <c r="W21" i="8"/>
  <c r="AB21" i="8" s="1"/>
  <c r="Z81" i="8"/>
  <c r="AE81" i="8" s="1"/>
  <c r="W33" i="8"/>
  <c r="AB33" i="8" s="1"/>
  <c r="Y20" i="8"/>
  <c r="AD20" i="8" s="1"/>
  <c r="Y83" i="8"/>
  <c r="AD83" i="8" s="1"/>
  <c r="Y80" i="8"/>
  <c r="AD80" i="8" s="1"/>
  <c r="Z58" i="8"/>
  <c r="AE58" i="8" s="1"/>
  <c r="W63" i="8"/>
  <c r="AB63" i="8" s="1"/>
  <c r="Z20" i="8"/>
  <c r="AE20" i="8" s="1"/>
  <c r="X61" i="8"/>
  <c r="AC61" i="8" s="1"/>
  <c r="Z64" i="8"/>
  <c r="AE64" i="8" s="1"/>
  <c r="X80" i="8"/>
  <c r="AC80" i="8" s="1"/>
  <c r="AA23" i="8"/>
  <c r="AF23" i="8" s="1"/>
  <c r="W25" i="8"/>
  <c r="AB25" i="8" s="1"/>
  <c r="Z9" i="8"/>
  <c r="AE9" i="8" s="1"/>
  <c r="W26" i="8"/>
  <c r="AB26" i="8" s="1"/>
  <c r="X9" i="8"/>
  <c r="AC9" i="8" s="1"/>
  <c r="W66" i="8"/>
  <c r="AB66" i="8" s="1"/>
  <c r="Z14" i="8"/>
  <c r="AE14" i="8" s="1"/>
  <c r="Y29" i="8"/>
  <c r="AD29" i="8" s="1"/>
  <c r="Y66" i="8"/>
  <c r="AD66" i="8" s="1"/>
  <c r="Y46" i="8"/>
  <c r="AD46" i="8" s="1"/>
  <c r="Y49" i="8"/>
  <c r="AD49" i="8" s="1"/>
  <c r="Z50" i="8"/>
  <c r="AE50" i="8" s="1"/>
  <c r="W18" i="8"/>
  <c r="AB18" i="8" s="1"/>
  <c r="AA22" i="8"/>
  <c r="AF22" i="8" s="1"/>
  <c r="X55" i="8"/>
  <c r="AC55" i="8" s="1"/>
  <c r="AA48" i="8"/>
  <c r="AF48" i="8" s="1"/>
  <c r="Z86" i="8"/>
  <c r="AE86" i="8" s="1"/>
  <c r="Y33" i="8"/>
  <c r="AD33" i="8" s="1"/>
  <c r="Z80" i="8"/>
  <c r="AE80" i="8" s="1"/>
  <c r="Z13" i="8"/>
  <c r="AE13" i="8" s="1"/>
  <c r="Z47" i="8"/>
  <c r="AE47" i="8" s="1"/>
  <c r="W54" i="8"/>
  <c r="AB54" i="8" s="1"/>
  <c r="AA73" i="8"/>
  <c r="AF73" i="8" s="1"/>
  <c r="W43" i="8"/>
  <c r="AB43" i="8" s="1"/>
  <c r="Z66" i="8"/>
  <c r="AE66" i="8" s="1"/>
  <c r="W50" i="8"/>
  <c r="AB50" i="8" s="1"/>
  <c r="X71" i="8"/>
  <c r="AC71" i="8" s="1"/>
  <c r="W60" i="8"/>
  <c r="AB60" i="8" s="1"/>
  <c r="Z51" i="8"/>
  <c r="AE51" i="8" s="1"/>
  <c r="W36" i="8"/>
  <c r="AB36" i="8" s="1"/>
  <c r="AA55" i="8"/>
  <c r="AF55" i="8" s="1"/>
  <c r="X34" i="8"/>
  <c r="AC34" i="8" s="1"/>
  <c r="AA82" i="8"/>
  <c r="AF82" i="8" s="1"/>
  <c r="AA79" i="8"/>
  <c r="AF79" i="8" s="1"/>
  <c r="AA83" i="8"/>
  <c r="AF83" i="8" s="1"/>
  <c r="Y61" i="8"/>
  <c r="AD61" i="8" s="1"/>
  <c r="AA59" i="8"/>
  <c r="AF59" i="8" s="1"/>
  <c r="W39" i="8"/>
  <c r="AB39" i="8" s="1"/>
  <c r="Z52" i="8"/>
  <c r="AE52" i="8" s="1"/>
  <c r="W59" i="8"/>
  <c r="AB59" i="8" s="1"/>
  <c r="X63" i="8"/>
  <c r="AC63" i="8" s="1"/>
  <c r="W32" i="8"/>
  <c r="AB32" i="8" s="1"/>
  <c r="Y68" i="8"/>
  <c r="AD68" i="8" s="1"/>
  <c r="W19" i="8"/>
  <c r="AB19" i="8" s="1"/>
  <c r="Y54" i="8"/>
  <c r="AD54" i="8" s="1"/>
  <c r="Y30" i="8"/>
  <c r="AD30" i="8" s="1"/>
  <c r="Y45" i="8"/>
  <c r="AD45" i="8" s="1"/>
  <c r="W62" i="8"/>
  <c r="AB62" i="8" s="1"/>
  <c r="Y52" i="8"/>
  <c r="AD52" i="8" s="1"/>
  <c r="Z73" i="8"/>
  <c r="AE73" i="8" s="1"/>
  <c r="X65" i="8"/>
  <c r="AC65" i="8" s="1"/>
  <c r="X16" i="8"/>
  <c r="AC16" i="8" s="1"/>
  <c r="Z21" i="8"/>
  <c r="AE21" i="8" s="1"/>
  <c r="Z22" i="8"/>
  <c r="AE22" i="8" s="1"/>
  <c r="X31" i="8"/>
  <c r="AC31" i="8" s="1"/>
  <c r="X69" i="8"/>
  <c r="AC69" i="8" s="1"/>
  <c r="X66" i="8"/>
  <c r="AC66" i="8" s="1"/>
  <c r="Z45" i="8"/>
  <c r="AE45" i="8" s="1"/>
  <c r="X64" i="8"/>
  <c r="AC64" i="8" s="1"/>
  <c r="Y86" i="8"/>
  <c r="AD86" i="8" s="1"/>
  <c r="Z56" i="8"/>
  <c r="AE56" i="8" s="1"/>
  <c r="X35" i="8"/>
  <c r="AC35" i="8" s="1"/>
  <c r="X8" i="8"/>
  <c r="AC8" i="8" s="1"/>
  <c r="Y39" i="8"/>
  <c r="AD39" i="8" s="1"/>
  <c r="AA21" i="8"/>
  <c r="AF21" i="8" s="1"/>
  <c r="AA85" i="8"/>
  <c r="AF85" i="8" s="1"/>
  <c r="W16" i="8"/>
  <c r="AB16" i="8" s="1"/>
  <c r="AA36" i="8"/>
  <c r="AF36" i="8" s="1"/>
  <c r="AA45" i="8"/>
  <c r="AF45" i="8" s="1"/>
  <c r="AA42" i="8"/>
  <c r="AF42" i="8" s="1"/>
  <c r="Y77" i="8"/>
  <c r="AD77" i="8" s="1"/>
  <c r="X38" i="8"/>
  <c r="AC38" i="8" s="1"/>
  <c r="X43" i="8"/>
  <c r="AC43" i="8" s="1"/>
  <c r="W23" i="8"/>
  <c r="AB23" i="8" s="1"/>
  <c r="X50" i="8"/>
  <c r="AC50" i="8" s="1"/>
  <c r="W28" i="8"/>
  <c r="AB28" i="8" s="1"/>
  <c r="W51" i="8"/>
  <c r="AB51" i="8" s="1"/>
  <c r="W85" i="8"/>
  <c r="AB85" i="8" s="1"/>
  <c r="Y26" i="8"/>
  <c r="AD26" i="8" s="1"/>
  <c r="AA80" i="8"/>
  <c r="AF80" i="8" s="1"/>
  <c r="Z79" i="8"/>
  <c r="AE79" i="8" s="1"/>
  <c r="Z30" i="8"/>
  <c r="AE30" i="8" s="1"/>
  <c r="Z27" i="8"/>
  <c r="AE27" i="8" s="1"/>
  <c r="Z8" i="8"/>
  <c r="AE8" i="8" s="1"/>
  <c r="Z67" i="8"/>
  <c r="AE67" i="8" s="1"/>
  <c r="AA41" i="8"/>
  <c r="AF41" i="8" s="1"/>
  <c r="W49" i="8"/>
  <c r="AB49" i="8" s="1"/>
  <c r="X22" i="8"/>
  <c r="AC22" i="8" s="1"/>
  <c r="Y79" i="8"/>
  <c r="AD79" i="8" s="1"/>
  <c r="Z42" i="8"/>
  <c r="AE42" i="8" s="1"/>
  <c r="Y75" i="8"/>
  <c r="AD75" i="8" s="1"/>
  <c r="X75" i="8"/>
  <c r="AC75" i="8" s="1"/>
  <c r="Y78" i="8"/>
  <c r="AD78" i="8" s="1"/>
  <c r="Z41" i="8"/>
  <c r="AE41" i="8" s="1"/>
  <c r="Z15" i="8"/>
  <c r="AE15" i="8" s="1"/>
  <c r="Y37" i="8"/>
  <c r="AD37" i="8" s="1"/>
  <c r="Y17" i="8"/>
  <c r="AD17" i="8" s="1"/>
  <c r="Y27" i="8"/>
  <c r="AD27" i="8" s="1"/>
  <c r="AA75" i="8"/>
  <c r="AF75" i="8" s="1"/>
  <c r="Y8" i="8"/>
  <c r="AD8" i="8" s="1"/>
  <c r="X20" i="8"/>
  <c r="AC20" i="8" s="1"/>
  <c r="Y81" i="8"/>
  <c r="AD81" i="8" s="1"/>
  <c r="Y12" i="8"/>
  <c r="AD12" i="8" s="1"/>
  <c r="AA62" i="8"/>
  <c r="AF62" i="8" s="1"/>
  <c r="AA54" i="8"/>
  <c r="AF54" i="8" s="1"/>
  <c r="W81" i="8"/>
  <c r="AB81" i="8" s="1"/>
  <c r="AA86" i="8"/>
  <c r="AF86" i="8" s="1"/>
  <c r="W78" i="8"/>
  <c r="AB78" i="8" s="1"/>
  <c r="Z36" i="8"/>
  <c r="AE36" i="8" s="1"/>
  <c r="X28" i="8"/>
  <c r="AC28" i="8" s="1"/>
  <c r="X25" i="8"/>
  <c r="AC25" i="8" s="1"/>
  <c r="Z37" i="8"/>
  <c r="AE37" i="8" s="1"/>
  <c r="W35" i="8"/>
  <c r="AB35" i="8" s="1"/>
  <c r="Y44" i="8"/>
  <c r="AD44" i="8" s="1"/>
  <c r="W40" i="8"/>
  <c r="AB40" i="8" s="1"/>
  <c r="W56" i="8"/>
  <c r="AB56" i="8" s="1"/>
  <c r="AA65" i="8"/>
  <c r="AF65" i="8" s="1"/>
  <c r="X37" i="8"/>
  <c r="AC37" i="8" s="1"/>
  <c r="AA74" i="8"/>
  <c r="AF74" i="8" s="1"/>
  <c r="Y60" i="8"/>
  <c r="AD60" i="8" s="1"/>
  <c r="AA77" i="8"/>
  <c r="AF77" i="8" s="1"/>
  <c r="AA56" i="8"/>
  <c r="AF56" i="8" s="1"/>
  <c r="Z59" i="8"/>
  <c r="AE59" i="8" s="1"/>
  <c r="AA58" i="8"/>
  <c r="AF58" i="8" s="1"/>
  <c r="Y11" i="8"/>
  <c r="AD11" i="8" s="1"/>
  <c r="Z39" i="8"/>
  <c r="AE39" i="8" s="1"/>
  <c r="Y21" i="8"/>
  <c r="AD21" i="8" s="1"/>
  <c r="Z76" i="8"/>
  <c r="AE76" i="8" s="1"/>
  <c r="X59" i="8"/>
  <c r="AC59" i="8" s="1"/>
  <c r="X81" i="8"/>
  <c r="AC81" i="8" s="1"/>
  <c r="W55" i="8"/>
  <c r="AB55" i="8" s="1"/>
  <c r="Y73" i="8"/>
  <c r="AD73" i="8" s="1"/>
  <c r="W20" i="8"/>
  <c r="AB20" i="8" s="1"/>
  <c r="AA10" i="8"/>
  <c r="AF10" i="8" s="1"/>
  <c r="W77" i="8"/>
  <c r="AB77" i="8" s="1"/>
  <c r="W41" i="8"/>
  <c r="AB41" i="8" s="1"/>
  <c r="Y34" i="8"/>
  <c r="AD34" i="8" s="1"/>
  <c r="AA29" i="8"/>
  <c r="AF29" i="8" s="1"/>
  <c r="AA43" i="8"/>
  <c r="AF43" i="8" s="1"/>
  <c r="Z61" i="8"/>
  <c r="AE61" i="8" s="1"/>
  <c r="Z83" i="8"/>
  <c r="AE83" i="8" s="1"/>
  <c r="AA26" i="8"/>
  <c r="AF26" i="8" s="1"/>
  <c r="W52" i="8"/>
  <c r="AB52" i="8" s="1"/>
  <c r="X79" i="8"/>
  <c r="AC79" i="8" s="1"/>
  <c r="W45" i="8"/>
  <c r="AB45" i="8" s="1"/>
  <c r="Z57" i="8"/>
  <c r="AE57" i="8" s="1"/>
  <c r="X68" i="8"/>
  <c r="AC68" i="8" s="1"/>
  <c r="AA76" i="8"/>
  <c r="AF76" i="8" s="1"/>
  <c r="X83" i="8"/>
  <c r="AC83" i="8" s="1"/>
  <c r="Z69" i="8"/>
  <c r="AE69" i="8" s="1"/>
  <c r="X27" i="8"/>
  <c r="AC27" i="8" s="1"/>
  <c r="AA15" i="8"/>
  <c r="AF15" i="8" s="1"/>
  <c r="AA8" i="8"/>
  <c r="AF8" i="8" s="1"/>
  <c r="AA11" i="8"/>
  <c r="AF11" i="8" s="1"/>
  <c r="Z28" i="8"/>
  <c r="AE28" i="8" s="1"/>
  <c r="X52" i="8"/>
  <c r="AC52" i="8" s="1"/>
  <c r="Z24" i="8"/>
  <c r="AE24" i="8" s="1"/>
  <c r="X47" i="8"/>
  <c r="AC47" i="8" s="1"/>
  <c r="X36" i="8"/>
  <c r="AC36" i="8" s="1"/>
  <c r="Z77" i="8"/>
  <c r="AE77" i="8" s="1"/>
  <c r="X84" i="8"/>
  <c r="AC84" i="8" s="1"/>
  <c r="W73" i="8"/>
  <c r="AB73" i="8" s="1"/>
  <c r="Y62" i="8"/>
  <c r="AD62" i="8" s="1"/>
  <c r="X15" i="8"/>
  <c r="AC15" i="8" s="1"/>
  <c r="AA68" i="8"/>
  <c r="AF68" i="8" s="1"/>
  <c r="Y47" i="8"/>
  <c r="AD47" i="8" s="1"/>
  <c r="AA32" i="8"/>
  <c r="AF32" i="8" s="1"/>
  <c r="X45" i="8"/>
  <c r="AC45" i="8" s="1"/>
  <c r="W83" i="8"/>
  <c r="AB83" i="8" s="1"/>
  <c r="Y13" i="8"/>
  <c r="AD13" i="8" s="1"/>
  <c r="X33" i="8"/>
  <c r="AC33" i="8" s="1"/>
  <c r="W10" i="8"/>
  <c r="AB10" i="8" s="1"/>
  <c r="X17" i="8"/>
  <c r="AC17" i="8" s="1"/>
  <c r="Z46" i="8"/>
  <c r="AE46" i="8" s="1"/>
  <c r="Y14" i="8"/>
  <c r="AD14" i="8" s="1"/>
  <c r="X41" i="8"/>
  <c r="AC41" i="8" s="1"/>
  <c r="W75" i="8"/>
  <c r="AB75" i="8" s="1"/>
  <c r="W80" i="8"/>
  <c r="AB80" i="8" s="1"/>
  <c r="W27" i="8"/>
  <c r="AB27" i="8" s="1"/>
  <c r="X85" i="8"/>
  <c r="AC85" i="8" s="1"/>
  <c r="W82" i="8"/>
  <c r="AB82" i="8" s="1"/>
  <c r="X30" i="8"/>
  <c r="AC30" i="8" s="1"/>
  <c r="Y71" i="8"/>
  <c r="AD71" i="8" s="1"/>
  <c r="W74" i="8"/>
  <c r="AB74" i="8" s="1"/>
  <c r="Y70" i="8"/>
  <c r="AD70" i="8" s="1"/>
  <c r="Z43" i="8"/>
  <c r="AE43" i="8" s="1"/>
  <c r="AA51" i="8"/>
  <c r="AF51" i="8" s="1"/>
  <c r="X57" i="8"/>
  <c r="AC57" i="8" s="1"/>
  <c r="X54" i="8"/>
  <c r="AC54" i="8" s="1"/>
  <c r="AA47" i="8"/>
  <c r="AF47" i="8" s="1"/>
  <c r="W67" i="8"/>
  <c r="AB67" i="8" s="1"/>
  <c r="W76" i="8"/>
  <c r="AB76" i="8" s="1"/>
  <c r="Y15" i="8"/>
  <c r="AD15" i="8" s="1"/>
  <c r="Y43" i="8"/>
  <c r="AD43" i="8" s="1"/>
  <c r="Z40" i="8"/>
  <c r="AE40" i="8" s="1"/>
  <c r="Z78" i="8"/>
  <c r="AE78" i="8" s="1"/>
  <c r="W34" i="8"/>
  <c r="AB34" i="8" s="1"/>
  <c r="W31" i="8"/>
  <c r="AB31" i="8" s="1"/>
  <c r="AA84" i="8"/>
  <c r="AF84" i="8" s="1"/>
  <c r="Z33" i="8"/>
  <c r="AE33" i="8" s="1"/>
  <c r="AA72" i="8"/>
  <c r="AF72" i="8" s="1"/>
  <c r="Z70" i="8"/>
  <c r="AE70" i="8" s="1"/>
  <c r="X39" i="8"/>
  <c r="AC39" i="8" s="1"/>
  <c r="Z17" i="8"/>
  <c r="AE17" i="8" s="1"/>
  <c r="AA40" i="8"/>
  <c r="AF40" i="8" s="1"/>
  <c r="Y31" i="8"/>
  <c r="AD31" i="8" s="1"/>
  <c r="Y10" i="8"/>
  <c r="AD10" i="8" s="1"/>
  <c r="Z38" i="8"/>
  <c r="AE38" i="8" s="1"/>
  <c r="Z19" i="8"/>
  <c r="AE19" i="8" s="1"/>
  <c r="AA70" i="8"/>
  <c r="AF70" i="8" s="1"/>
  <c r="W53" i="8"/>
  <c r="AB53" i="8" s="1"/>
  <c r="Z53" i="8"/>
  <c r="AE53" i="8" s="1"/>
  <c r="Y72" i="8"/>
  <c r="AD72" i="8" s="1"/>
  <c r="Z75" i="8"/>
  <c r="AE75" i="8" s="1"/>
  <c r="Z18" i="8"/>
  <c r="AE18" i="8" s="1"/>
  <c r="AA71" i="8"/>
  <c r="AF71" i="8" s="1"/>
  <c r="Y25" i="8"/>
  <c r="AD25" i="8" s="1"/>
  <c r="AA67" i="8"/>
  <c r="AF67" i="8" s="1"/>
  <c r="X26" i="8"/>
  <c r="AC26" i="8" s="1"/>
  <c r="Y22" i="8"/>
  <c r="AD22" i="8" s="1"/>
  <c r="AA69" i="8"/>
  <c r="AF69" i="8" s="1"/>
  <c r="AA19" i="8"/>
  <c r="AF19" i="8" s="1"/>
  <c r="Z55" i="8"/>
  <c r="AE55" i="8" s="1"/>
  <c r="AA57" i="8"/>
  <c r="AF57" i="8" s="1"/>
  <c r="Z44" i="8"/>
  <c r="AE44" i="8" s="1"/>
  <c r="X23" i="8"/>
  <c r="AC23" i="8" s="1"/>
  <c r="W38" i="8"/>
  <c r="AB38" i="8" s="1"/>
  <c r="X82" i="8"/>
  <c r="AC82" i="8" s="1"/>
  <c r="Y35" i="8"/>
  <c r="AD35" i="8" s="1"/>
  <c r="X32" i="8"/>
  <c r="AC32" i="8" s="1"/>
  <c r="AA9" i="8"/>
  <c r="AF9" i="8" s="1"/>
  <c r="AA81" i="8"/>
  <c r="AF81" i="8" s="1"/>
  <c r="Z72" i="8"/>
  <c r="AE72" i="8" s="1"/>
  <c r="X14" i="8"/>
  <c r="AC14" i="8" s="1"/>
  <c r="X51" i="8"/>
  <c r="AC51" i="8" s="1"/>
  <c r="Z23" i="8"/>
  <c r="AE23" i="8" s="1"/>
  <c r="Y50" i="8"/>
  <c r="AD50" i="8" s="1"/>
  <c r="Y36" i="8"/>
  <c r="AD36" i="8" s="1"/>
  <c r="W15" i="8"/>
  <c r="AB15" i="8" s="1"/>
  <c r="Y55" i="8"/>
  <c r="AD55" i="8" s="1"/>
  <c r="X48" i="8"/>
  <c r="AC48" i="8" s="1"/>
  <c r="W70" i="8"/>
  <c r="AB70" i="8" s="1"/>
  <c r="Y59" i="8"/>
  <c r="AD59" i="8" s="1"/>
  <c r="AA46" i="8"/>
  <c r="AF46" i="8" s="1"/>
  <c r="Z11" i="8"/>
  <c r="AE11" i="8" s="1"/>
  <c r="AA20" i="8"/>
  <c r="AF20" i="8" s="1"/>
  <c r="Z49" i="8"/>
  <c r="AE49" i="8" s="1"/>
  <c r="X86" i="8"/>
  <c r="AC86" i="8" s="1"/>
  <c r="W17" i="8"/>
  <c r="AB17" i="8" s="1"/>
  <c r="X58" i="8"/>
  <c r="AC58" i="8" s="1"/>
  <c r="Y74" i="8"/>
  <c r="AD74" i="8" s="1"/>
  <c r="X70" i="8"/>
  <c r="AC70" i="8" s="1"/>
  <c r="W48" i="8"/>
  <c r="AB48" i="8" s="1"/>
  <c r="Y57" i="8"/>
  <c r="AD57" i="8" s="1"/>
  <c r="X60" i="8"/>
  <c r="AC60" i="8" s="1"/>
  <c r="X18" i="8"/>
  <c r="AC18" i="8" s="1"/>
  <c r="X78" i="8"/>
  <c r="AC78" i="8" s="1"/>
  <c r="W65" i="8"/>
  <c r="AB65" i="8" s="1"/>
  <c r="Y65" i="8"/>
  <c r="AD65" i="8" s="1"/>
  <c r="X19" i="8"/>
  <c r="AC19" i="8" s="1"/>
  <c r="X10" i="8"/>
  <c r="AC10" i="8" s="1"/>
  <c r="W57" i="8"/>
  <c r="AB57" i="8" s="1"/>
  <c r="W72" i="8"/>
  <c r="AB72" i="8" s="1"/>
  <c r="X42" i="8"/>
  <c r="AC42" i="8" s="1"/>
  <c r="AA50" i="8"/>
  <c r="AF50" i="8" s="1"/>
  <c r="X62" i="8"/>
  <c r="AC62" i="8" s="1"/>
  <c r="Y51" i="8"/>
  <c r="AD51" i="8" s="1"/>
  <c r="X67" i="8"/>
  <c r="AC67" i="8" s="1"/>
  <c r="W69" i="8"/>
  <c r="AB69" i="8" s="1"/>
  <c r="W29" i="8"/>
  <c r="AB29" i="8" s="1"/>
  <c r="AA78" i="8"/>
  <c r="AF78" i="8" s="1"/>
  <c r="Z12" i="8"/>
  <c r="AE12" i="8" s="1"/>
  <c r="AA27" i="8"/>
  <c r="AF27" i="8" s="1"/>
  <c r="Y85" i="8"/>
  <c r="AD85" i="8" s="1"/>
  <c r="W44" i="8"/>
  <c r="AB44" i="8" s="1"/>
  <c r="AA30" i="8"/>
  <c r="AF30" i="8" s="1"/>
  <c r="Y69" i="8"/>
  <c r="AD69" i="8" s="1"/>
  <c r="Y7" i="8"/>
  <c r="AD7" i="8" s="1"/>
  <c r="AA7" i="8"/>
  <c r="AF7" i="8" s="1"/>
  <c r="X7" i="8"/>
  <c r="AC7" i="8" s="1"/>
  <c r="Z7" i="8"/>
  <c r="AE7" i="8" s="1"/>
  <c r="W7" i="8"/>
  <c r="AB7" i="8" s="1"/>
  <c r="X96" i="8"/>
  <c r="AC96" i="8" s="1"/>
  <c r="W104" i="8"/>
  <c r="AB104" i="8" s="1"/>
  <c r="AA105" i="8"/>
  <c r="AF105" i="8" s="1"/>
  <c r="Y88" i="8"/>
  <c r="AD88" i="8" s="1"/>
  <c r="Y94" i="8"/>
  <c r="AD94" i="8" s="1"/>
  <c r="Z98" i="8"/>
  <c r="AE98" i="8" s="1"/>
  <c r="W98" i="8"/>
  <c r="AB98" i="8" s="1"/>
  <c r="X87" i="8"/>
  <c r="AC87" i="8" s="1"/>
  <c r="X94" i="8"/>
  <c r="AC94" i="8" s="1"/>
  <c r="W97" i="8"/>
  <c r="AB97" i="8" s="1"/>
  <c r="X92" i="8"/>
  <c r="AC92" i="8" s="1"/>
  <c r="Y99" i="8"/>
  <c r="AD99" i="8" s="1"/>
  <c r="X88" i="8"/>
  <c r="AC88" i="8" s="1"/>
  <c r="AA98" i="8"/>
  <c r="AF98" i="8" s="1"/>
  <c r="X90" i="8"/>
  <c r="AC90" i="8" s="1"/>
  <c r="AA102" i="8"/>
  <c r="AF102" i="8" s="1"/>
  <c r="W91" i="8"/>
  <c r="AB91" i="8" s="1"/>
  <c r="AA106" i="8"/>
  <c r="AF106" i="8" s="1"/>
  <c r="Z99" i="8"/>
  <c r="AE99" i="8" s="1"/>
  <c r="X99" i="8"/>
  <c r="AC99" i="8" s="1"/>
  <c r="W89" i="8"/>
  <c r="AB89" i="8" s="1"/>
  <c r="Z95" i="8"/>
  <c r="AE95" i="8" s="1"/>
  <c r="Z105" i="8"/>
  <c r="AE105" i="8" s="1"/>
  <c r="Z89" i="8"/>
  <c r="AE89" i="8" s="1"/>
  <c r="AA104" i="8"/>
  <c r="AF104" i="8" s="1"/>
  <c r="X106" i="8"/>
  <c r="AC106" i="8" s="1"/>
  <c r="AA97" i="8"/>
  <c r="AF97" i="8" s="1"/>
  <c r="W101" i="8"/>
  <c r="AB101" i="8" s="1"/>
  <c r="Y96" i="8"/>
  <c r="AD96" i="8" s="1"/>
  <c r="AA96" i="8"/>
  <c r="AF96" i="8" s="1"/>
  <c r="Z101" i="8"/>
  <c r="AE101" i="8" s="1"/>
  <c r="Z102" i="8"/>
  <c r="AE102" i="8" s="1"/>
  <c r="Y89" i="8"/>
  <c r="AD89" i="8" s="1"/>
  <c r="X103" i="8"/>
  <c r="AC103" i="8" s="1"/>
  <c r="W99" i="8"/>
  <c r="AB99" i="8" s="1"/>
  <c r="W90" i="8"/>
  <c r="AB90" i="8" s="1"/>
  <c r="AA92" i="8"/>
  <c r="AF92" i="8" s="1"/>
  <c r="Z100" i="8"/>
  <c r="AE100" i="8" s="1"/>
  <c r="W93" i="8"/>
  <c r="AB93" i="8" s="1"/>
  <c r="Y91" i="8"/>
  <c r="AD91" i="8" s="1"/>
  <c r="Y95" i="8"/>
  <c r="AD95" i="8" s="1"/>
  <c r="Y93" i="8"/>
  <c r="AD93" i="8" s="1"/>
  <c r="Y101" i="8"/>
  <c r="AD101" i="8" s="1"/>
  <c r="Y90" i="8"/>
  <c r="AD90" i="8" s="1"/>
  <c r="W94" i="8"/>
  <c r="AB94" i="8" s="1"/>
  <c r="X100" i="8"/>
  <c r="AC100" i="8" s="1"/>
  <c r="Y100" i="8"/>
  <c r="AD100" i="8" s="1"/>
  <c r="Z103" i="8"/>
  <c r="AE103" i="8" s="1"/>
  <c r="Z96" i="8"/>
  <c r="AE96" i="8" s="1"/>
  <c r="X95" i="8"/>
  <c r="AC95" i="8" s="1"/>
  <c r="AA103" i="8"/>
  <c r="AF103" i="8" s="1"/>
  <c r="Z87" i="8"/>
  <c r="AE87" i="8" s="1"/>
  <c r="X98" i="8"/>
  <c r="AC98" i="8" s="1"/>
  <c r="X105" i="8"/>
  <c r="AC105" i="8" s="1"/>
  <c r="AA101" i="8"/>
  <c r="AF101" i="8" s="1"/>
  <c r="X104" i="8"/>
  <c r="AC104" i="8" s="1"/>
  <c r="X101" i="8"/>
  <c r="AC101" i="8" s="1"/>
  <c r="X89" i="8"/>
  <c r="AC89" i="8" s="1"/>
  <c r="AA93" i="8"/>
  <c r="AF93" i="8" s="1"/>
  <c r="X102" i="8"/>
  <c r="AC102" i="8" s="1"/>
  <c r="AA88" i="8"/>
  <c r="AF88" i="8" s="1"/>
  <c r="AA95" i="8"/>
  <c r="AF95" i="8" s="1"/>
  <c r="Z97" i="8"/>
  <c r="AE97" i="8" s="1"/>
  <c r="Z88" i="8"/>
  <c r="AE88" i="8" s="1"/>
  <c r="Z90" i="8"/>
  <c r="AE90" i="8" s="1"/>
  <c r="X91" i="8"/>
  <c r="AC91" i="8" s="1"/>
  <c r="W96" i="8"/>
  <c r="AB96" i="8" s="1"/>
  <c r="Y106" i="8"/>
  <c r="AD106" i="8" s="1"/>
  <c r="W100" i="8"/>
  <c r="AB100" i="8" s="1"/>
  <c r="Y103" i="8"/>
  <c r="AD103" i="8" s="1"/>
  <c r="Y87" i="8"/>
  <c r="AD87" i="8" s="1"/>
  <c r="Z93" i="8"/>
  <c r="AE93" i="8" s="1"/>
  <c r="Z104" i="8"/>
  <c r="AE104" i="8" s="1"/>
  <c r="AA89" i="8"/>
  <c r="AF89" i="8" s="1"/>
  <c r="X93" i="8"/>
  <c r="AC93" i="8" s="1"/>
  <c r="X97" i="8"/>
  <c r="AC97" i="8" s="1"/>
  <c r="AA94" i="8"/>
  <c r="AF94" i="8" s="1"/>
  <c r="AA100" i="8"/>
  <c r="AF100" i="8" s="1"/>
  <c r="AA99" i="8"/>
  <c r="AF99" i="8" s="1"/>
  <c r="Y98" i="8"/>
  <c r="AD98" i="8" s="1"/>
  <c r="Z94" i="8"/>
  <c r="AE94" i="8" s="1"/>
  <c r="W105" i="8"/>
  <c r="AB105" i="8" s="1"/>
  <c r="Y104" i="8"/>
  <c r="AD104" i="8" s="1"/>
  <c r="Y92" i="8"/>
  <c r="AD92" i="8" s="1"/>
  <c r="Y102" i="8"/>
  <c r="AD102" i="8" s="1"/>
  <c r="W87" i="8"/>
  <c r="AB87" i="8" s="1"/>
  <c r="AA87" i="8"/>
  <c r="AF87" i="8" s="1"/>
  <c r="W88" i="8"/>
  <c r="AB88" i="8" s="1"/>
  <c r="W92" i="8"/>
  <c r="AB92" i="8" s="1"/>
  <c r="W102" i="8"/>
  <c r="AB102" i="8" s="1"/>
  <c r="Y105" i="8"/>
  <c r="AD105" i="8" s="1"/>
  <c r="Y97" i="8"/>
  <c r="AD97" i="8" s="1"/>
  <c r="AA91" i="8"/>
  <c r="AF91" i="8" s="1"/>
  <c r="Z106" i="8"/>
  <c r="AE106" i="8" s="1"/>
  <c r="O93" i="16" l="1"/>
  <c r="O53" i="16"/>
  <c r="O73" i="16"/>
  <c r="O33" i="16"/>
  <c r="G14" i="16"/>
  <c r="N14" i="16" s="1"/>
  <c r="O13" i="16"/>
  <c r="G54" i="16"/>
  <c r="N54" i="16" s="1"/>
  <c r="G94" i="16"/>
  <c r="N94" i="16" s="1"/>
  <c r="G34" i="16"/>
  <c r="N34" i="16" s="1"/>
  <c r="G74" i="16"/>
  <c r="N74" i="16" s="1"/>
  <c r="P16" i="14"/>
  <c r="T15" i="14"/>
  <c r="P96" i="14"/>
  <c r="T95" i="14"/>
  <c r="P56" i="14"/>
  <c r="T55" i="14"/>
  <c r="P36" i="14"/>
  <c r="T35" i="14"/>
  <c r="P76" i="14"/>
  <c r="T75" i="14"/>
  <c r="O19" i="14"/>
  <c r="O100" i="14"/>
  <c r="O80" i="14"/>
  <c r="O58" i="14"/>
  <c r="O38" i="14"/>
  <c r="E16" i="6"/>
  <c r="O54" i="16" l="1"/>
  <c r="O14" i="16"/>
  <c r="O94" i="16"/>
  <c r="O74" i="16"/>
  <c r="G35" i="16"/>
  <c r="N35" i="16" s="1"/>
  <c r="G75" i="16"/>
  <c r="N75" i="16" s="1"/>
  <c r="O34" i="16"/>
  <c r="G95" i="16"/>
  <c r="N95" i="16" s="1"/>
  <c r="G55" i="16"/>
  <c r="N55" i="16" s="1"/>
  <c r="G15" i="16"/>
  <c r="N15" i="16" s="1"/>
  <c r="P97" i="14"/>
  <c r="T96" i="14"/>
  <c r="P77" i="14"/>
  <c r="T76" i="14"/>
  <c r="P37" i="14"/>
  <c r="T36" i="14"/>
  <c r="P57" i="14"/>
  <c r="T56" i="14"/>
  <c r="O20" i="14"/>
  <c r="P17" i="14"/>
  <c r="T16" i="14"/>
  <c r="O59" i="14"/>
  <c r="O39" i="14"/>
  <c r="E7" i="6"/>
  <c r="E8" i="6"/>
  <c r="E9" i="6"/>
  <c r="E10" i="6"/>
  <c r="E11" i="6"/>
  <c r="E12" i="6"/>
  <c r="E13" i="6"/>
  <c r="E14" i="6"/>
  <c r="E15" i="6"/>
  <c r="E6" i="6"/>
  <c r="O55" i="16" l="1"/>
  <c r="O15" i="16"/>
  <c r="O75" i="16"/>
  <c r="G56" i="16"/>
  <c r="N56" i="16" s="1"/>
  <c r="G36" i="16"/>
  <c r="N36" i="16" s="1"/>
  <c r="G16" i="16"/>
  <c r="N16" i="16" s="1"/>
  <c r="O95" i="16"/>
  <c r="G76" i="16"/>
  <c r="N76" i="16" s="1"/>
  <c r="O35" i="16"/>
  <c r="G96" i="16"/>
  <c r="N96" i="16" s="1"/>
  <c r="P78" i="14"/>
  <c r="T77" i="14"/>
  <c r="P58" i="14"/>
  <c r="T57" i="14"/>
  <c r="P38" i="14"/>
  <c r="T37" i="14"/>
  <c r="P18" i="14"/>
  <c r="T17" i="14"/>
  <c r="P98" i="14"/>
  <c r="T97" i="14"/>
  <c r="O60" i="14"/>
  <c r="O40" i="14"/>
  <c r="Z62" i="4"/>
  <c r="Z85" i="4" s="1"/>
  <c r="Z108" i="4" s="1"/>
  <c r="Z39" i="4"/>
  <c r="AA39" i="4"/>
  <c r="AA62" i="4" s="1"/>
  <c r="AA85" i="4" s="1"/>
  <c r="AA108" i="4" s="1"/>
  <c r="AB39" i="4"/>
  <c r="AB62" i="4" s="1"/>
  <c r="AB85" i="4" s="1"/>
  <c r="AB108" i="4" s="1"/>
  <c r="AC39" i="4"/>
  <c r="AC62" i="4" s="1"/>
  <c r="AC85" i="4" s="1"/>
  <c r="AC108" i="4" s="1"/>
  <c r="AD39" i="4"/>
  <c r="AD62" i="4" s="1"/>
  <c r="AD85" i="4" s="1"/>
  <c r="AD108" i="4" s="1"/>
  <c r="Z40" i="4"/>
  <c r="Z63" i="4" s="1"/>
  <c r="Z86" i="4" s="1"/>
  <c r="Z109" i="4" s="1"/>
  <c r="AA40" i="4"/>
  <c r="AA63" i="4" s="1"/>
  <c r="AA86" i="4" s="1"/>
  <c r="AA109" i="4" s="1"/>
  <c r="AB40" i="4"/>
  <c r="AB63" i="4" s="1"/>
  <c r="AB86" i="4" s="1"/>
  <c r="AB109" i="4" s="1"/>
  <c r="AC40" i="4"/>
  <c r="AC63" i="4" s="1"/>
  <c r="AC86" i="4" s="1"/>
  <c r="AC109" i="4" s="1"/>
  <c r="AD40" i="4"/>
  <c r="AD63" i="4" s="1"/>
  <c r="AD86" i="4" s="1"/>
  <c r="AD109" i="4" s="1"/>
  <c r="Z41" i="4"/>
  <c r="Z64" i="4" s="1"/>
  <c r="Z87" i="4" s="1"/>
  <c r="Z110" i="4" s="1"/>
  <c r="AA41" i="4"/>
  <c r="AA64" i="4" s="1"/>
  <c r="AA87" i="4" s="1"/>
  <c r="AA110" i="4" s="1"/>
  <c r="AB41" i="4"/>
  <c r="AB64" i="4" s="1"/>
  <c r="AB87" i="4" s="1"/>
  <c r="AB110" i="4" s="1"/>
  <c r="AC41" i="4"/>
  <c r="AC64" i="4" s="1"/>
  <c r="AC87" i="4" s="1"/>
  <c r="AC110" i="4" s="1"/>
  <c r="AD41" i="4"/>
  <c r="AD64" i="4" s="1"/>
  <c r="AD87" i="4" s="1"/>
  <c r="AD110" i="4" s="1"/>
  <c r="Z42" i="4"/>
  <c r="Z65" i="4" s="1"/>
  <c r="Z88" i="4" s="1"/>
  <c r="Z111" i="4" s="1"/>
  <c r="AA42" i="4"/>
  <c r="AA65" i="4" s="1"/>
  <c r="AA88" i="4" s="1"/>
  <c r="AA111" i="4" s="1"/>
  <c r="AB42" i="4"/>
  <c r="AB65" i="4" s="1"/>
  <c r="AB88" i="4" s="1"/>
  <c r="AB111" i="4" s="1"/>
  <c r="AC42" i="4"/>
  <c r="AC65" i="4" s="1"/>
  <c r="AC88" i="4" s="1"/>
  <c r="AC111" i="4" s="1"/>
  <c r="AD42" i="4"/>
  <c r="AD65" i="4" s="1"/>
  <c r="AD88" i="4" s="1"/>
  <c r="AD111" i="4" s="1"/>
  <c r="Z43" i="4"/>
  <c r="Z66" i="4" s="1"/>
  <c r="Z89" i="4" s="1"/>
  <c r="Z112" i="4" s="1"/>
  <c r="AA43" i="4"/>
  <c r="AA66" i="4" s="1"/>
  <c r="AA89" i="4" s="1"/>
  <c r="AA112" i="4" s="1"/>
  <c r="AB43" i="4"/>
  <c r="AB66" i="4" s="1"/>
  <c r="AB89" i="4" s="1"/>
  <c r="AB112" i="4" s="1"/>
  <c r="AC43" i="4"/>
  <c r="AC66" i="4" s="1"/>
  <c r="AC89" i="4" s="1"/>
  <c r="AC112" i="4" s="1"/>
  <c r="AD43" i="4"/>
  <c r="AD66" i="4" s="1"/>
  <c r="AD89" i="4" s="1"/>
  <c r="AD112" i="4" s="1"/>
  <c r="Z44" i="4"/>
  <c r="Z67" i="4" s="1"/>
  <c r="Z90" i="4" s="1"/>
  <c r="Z113" i="4" s="1"/>
  <c r="AA44" i="4"/>
  <c r="AA67" i="4" s="1"/>
  <c r="AA90" i="4" s="1"/>
  <c r="AA113" i="4" s="1"/>
  <c r="AB44" i="4"/>
  <c r="AB67" i="4" s="1"/>
  <c r="AB90" i="4" s="1"/>
  <c r="AB113" i="4" s="1"/>
  <c r="AC44" i="4"/>
  <c r="AC67" i="4" s="1"/>
  <c r="AC90" i="4" s="1"/>
  <c r="AC113" i="4" s="1"/>
  <c r="AD44" i="4"/>
  <c r="AD67" i="4" s="1"/>
  <c r="AD90" i="4" s="1"/>
  <c r="AD113" i="4" s="1"/>
  <c r="M108" i="4"/>
  <c r="M109" i="4"/>
  <c r="M110" i="4"/>
  <c r="M111" i="4"/>
  <c r="M112" i="4"/>
  <c r="M113" i="4"/>
  <c r="M85" i="4"/>
  <c r="M86" i="4"/>
  <c r="M87" i="4"/>
  <c r="M88" i="4"/>
  <c r="M89" i="4"/>
  <c r="M90" i="4"/>
  <c r="M62" i="4"/>
  <c r="M63" i="4"/>
  <c r="M64" i="4"/>
  <c r="M65" i="4"/>
  <c r="M66" i="4"/>
  <c r="M67" i="4"/>
  <c r="M39" i="4"/>
  <c r="M40" i="4"/>
  <c r="M41" i="4"/>
  <c r="M42" i="4"/>
  <c r="M43" i="4"/>
  <c r="M44" i="4"/>
  <c r="M29" i="4"/>
  <c r="O56" i="16" l="1"/>
  <c r="O36" i="16"/>
  <c r="O16" i="16"/>
  <c r="O96" i="16"/>
  <c r="G97" i="16"/>
  <c r="N97" i="16" s="1"/>
  <c r="O76" i="16"/>
  <c r="G57" i="16"/>
  <c r="N57" i="16" s="1"/>
  <c r="G37" i="16"/>
  <c r="N37" i="16" s="1"/>
  <c r="G77" i="16"/>
  <c r="N77" i="16" s="1"/>
  <c r="G17" i="16"/>
  <c r="N17" i="16" s="1"/>
  <c r="P59" i="14"/>
  <c r="T58" i="14"/>
  <c r="P99" i="14"/>
  <c r="T98" i="14"/>
  <c r="P19" i="14"/>
  <c r="T18" i="14"/>
  <c r="P39" i="14"/>
  <c r="T38" i="14"/>
  <c r="P79" i="14"/>
  <c r="T78" i="14"/>
  <c r="M30" i="4"/>
  <c r="O37" i="16" l="1"/>
  <c r="O17" i="16"/>
  <c r="O57" i="16"/>
  <c r="O97" i="16"/>
  <c r="O77" i="16"/>
  <c r="G78" i="16"/>
  <c r="N78" i="16" s="1"/>
  <c r="G38" i="16"/>
  <c r="N38" i="16" s="1"/>
  <c r="G18" i="16"/>
  <c r="N18" i="16" s="1"/>
  <c r="G98" i="16"/>
  <c r="N98" i="16" s="1"/>
  <c r="G58" i="16"/>
  <c r="N58" i="16" s="1"/>
  <c r="P100" i="14"/>
  <c r="T100" i="14" s="1"/>
  <c r="T99" i="14"/>
  <c r="P40" i="14"/>
  <c r="T40" i="14" s="1"/>
  <c r="T39" i="14"/>
  <c r="P80" i="14"/>
  <c r="T80" i="14" s="1"/>
  <c r="T79" i="14"/>
  <c r="P20" i="14"/>
  <c r="T20" i="14" s="1"/>
  <c r="T19" i="14"/>
  <c r="P60" i="14"/>
  <c r="T60" i="14" s="1"/>
  <c r="T59" i="14"/>
  <c r="M31" i="4"/>
  <c r="O98" i="16" l="1"/>
  <c r="O38" i="16"/>
  <c r="O18" i="16"/>
  <c r="G60" i="16"/>
  <c r="N60" i="16" s="1"/>
  <c r="O58" i="16"/>
  <c r="G100" i="16"/>
  <c r="N100" i="16" s="1"/>
  <c r="G19" i="16"/>
  <c r="N19" i="16" s="1"/>
  <c r="G59" i="16"/>
  <c r="N59" i="16" s="1"/>
  <c r="G79" i="16"/>
  <c r="N79" i="16" s="1"/>
  <c r="G80" i="16"/>
  <c r="N80" i="16" s="1"/>
  <c r="G39" i="16"/>
  <c r="N39" i="16" s="1"/>
  <c r="O78" i="16"/>
  <c r="G99" i="16"/>
  <c r="N99" i="16" s="1"/>
  <c r="G20" i="16"/>
  <c r="N20" i="16" s="1"/>
  <c r="G40" i="16"/>
  <c r="N40" i="16" s="1"/>
  <c r="M32" i="4"/>
  <c r="O19" i="16" l="1"/>
  <c r="O99" i="16"/>
  <c r="O20" i="16"/>
  <c r="O100" i="16"/>
  <c r="O59" i="16"/>
  <c r="O79" i="16"/>
  <c r="O39" i="16"/>
  <c r="O40" i="16"/>
  <c r="O80" i="16"/>
  <c r="O60" i="16"/>
  <c r="M33" i="4"/>
  <c r="M34" i="4" l="1"/>
  <c r="M35" i="4"/>
  <c r="M36" i="4"/>
  <c r="M37" i="4"/>
  <c r="M38" i="4"/>
  <c r="M52" i="4"/>
  <c r="M53" i="4"/>
  <c r="M54" i="4"/>
  <c r="M55" i="4"/>
  <c r="M56" i="4"/>
  <c r="M57" i="4"/>
  <c r="M58" i="4"/>
  <c r="M59" i="4"/>
  <c r="M60" i="4"/>
  <c r="M61" i="4"/>
  <c r="M75" i="4"/>
  <c r="M76" i="4"/>
  <c r="M77" i="4"/>
  <c r="M78" i="4"/>
  <c r="M79" i="4"/>
  <c r="M80" i="4"/>
  <c r="M81" i="4"/>
  <c r="M82" i="4"/>
  <c r="M83" i="4"/>
  <c r="M84" i="4"/>
  <c r="M98" i="4"/>
  <c r="M99" i="4"/>
  <c r="M100" i="4"/>
  <c r="M101" i="4"/>
  <c r="M102" i="4"/>
  <c r="M103" i="4"/>
  <c r="M104" i="4"/>
  <c r="M105" i="4"/>
  <c r="M106" i="4"/>
  <c r="M107" i="4"/>
  <c r="M16" i="4"/>
  <c r="M17" i="4"/>
  <c r="M18" i="4"/>
  <c r="M19" i="4"/>
  <c r="M20" i="4"/>
  <c r="M21" i="4"/>
  <c r="C34" i="2"/>
  <c r="C57" i="2" s="1"/>
  <c r="C80" i="2" s="1"/>
  <c r="C33" i="2"/>
  <c r="C56" i="2" s="1"/>
  <c r="C29" i="2"/>
  <c r="C52" i="2" s="1"/>
  <c r="C30" i="2"/>
  <c r="C53" i="2" s="1"/>
  <c r="C31" i="2"/>
  <c r="C54" i="2" s="1"/>
  <c r="C32" i="2"/>
  <c r="C55" i="2" s="1"/>
  <c r="C20" i="2"/>
  <c r="C43" i="2" s="1"/>
  <c r="C21" i="2"/>
  <c r="C44" i="2" s="1"/>
  <c r="C22" i="2"/>
  <c r="C45" i="2" s="1"/>
  <c r="C68" i="2" s="1"/>
  <c r="C23" i="2"/>
  <c r="C46" i="2" s="1"/>
  <c r="C24" i="2"/>
  <c r="C25" i="2"/>
  <c r="C48" i="2" s="1"/>
  <c r="C26" i="2"/>
  <c r="C49" i="2" s="1"/>
  <c r="C27" i="2"/>
  <c r="C50" i="2" s="1"/>
  <c r="C28" i="2"/>
  <c r="C51" i="2" s="1"/>
  <c r="C74" i="2" s="1"/>
  <c r="AA71" i="1"/>
  <c r="AB71" i="1"/>
  <c r="AC71" i="1"/>
  <c r="AD71" i="1"/>
  <c r="AE71" i="1"/>
  <c r="AH71" i="1"/>
  <c r="AI71" i="1"/>
  <c r="AJ71" i="1"/>
  <c r="AK71" i="1"/>
  <c r="AL71" i="1"/>
  <c r="AA72" i="1"/>
  <c r="AB72" i="1"/>
  <c r="AC72" i="1"/>
  <c r="AD72" i="1"/>
  <c r="AE72" i="1"/>
  <c r="AH72" i="1"/>
  <c r="AI72" i="1"/>
  <c r="AJ72" i="1"/>
  <c r="AK72" i="1"/>
  <c r="AL72" i="1"/>
  <c r="AA73" i="1"/>
  <c r="AB73" i="1"/>
  <c r="AC73" i="1"/>
  <c r="AD73" i="1"/>
  <c r="AE73" i="1"/>
  <c r="AH73" i="1"/>
  <c r="AI73" i="1"/>
  <c r="AJ73" i="1"/>
  <c r="AK73" i="1"/>
  <c r="AL73" i="1"/>
  <c r="AA74" i="1"/>
  <c r="AB74" i="1"/>
  <c r="AC74" i="1"/>
  <c r="AD74" i="1"/>
  <c r="AE74" i="1"/>
  <c r="AH74" i="1"/>
  <c r="AI74" i="1"/>
  <c r="AJ74" i="1"/>
  <c r="AK74" i="1"/>
  <c r="AL74" i="1"/>
  <c r="AA75" i="1"/>
  <c r="AB75" i="1"/>
  <c r="AC75" i="1"/>
  <c r="AD75" i="1"/>
  <c r="AE75" i="1"/>
  <c r="AH75" i="1"/>
  <c r="AI75" i="1"/>
  <c r="AJ75" i="1"/>
  <c r="AK75" i="1"/>
  <c r="AL75" i="1"/>
  <c r="AA76" i="1"/>
  <c r="AB76" i="1"/>
  <c r="AC76" i="1"/>
  <c r="AD76" i="1"/>
  <c r="AE76" i="1"/>
  <c r="AH76" i="1"/>
  <c r="AI76" i="1"/>
  <c r="AJ76" i="1"/>
  <c r="AK76" i="1"/>
  <c r="AL76" i="1"/>
  <c r="AA77" i="1"/>
  <c r="AB77" i="1"/>
  <c r="AC77" i="1"/>
  <c r="AD77" i="1"/>
  <c r="AE77" i="1"/>
  <c r="AH77" i="1"/>
  <c r="AI77" i="1"/>
  <c r="AJ77" i="1"/>
  <c r="AK77" i="1"/>
  <c r="AL77" i="1"/>
  <c r="AA78" i="1"/>
  <c r="AB78" i="1"/>
  <c r="AC78" i="1"/>
  <c r="AD78" i="1"/>
  <c r="AE78" i="1"/>
  <c r="AH78" i="1"/>
  <c r="AI78" i="1"/>
  <c r="AJ78" i="1"/>
  <c r="AK78" i="1"/>
  <c r="AL78" i="1"/>
  <c r="AA79" i="1"/>
  <c r="AB79" i="1"/>
  <c r="AC79" i="1"/>
  <c r="AD79" i="1"/>
  <c r="AE79" i="1"/>
  <c r="AH79" i="1"/>
  <c r="AI79" i="1"/>
  <c r="AJ79" i="1"/>
  <c r="AK79" i="1"/>
  <c r="AL79" i="1"/>
  <c r="AA80" i="1"/>
  <c r="AB80" i="1"/>
  <c r="AC80" i="1"/>
  <c r="AD80" i="1"/>
  <c r="AE80" i="1"/>
  <c r="AH80" i="1"/>
  <c r="AI80" i="1"/>
  <c r="AJ80" i="1"/>
  <c r="AK80" i="1"/>
  <c r="AL80" i="1"/>
  <c r="AA81" i="1"/>
  <c r="AB81" i="1"/>
  <c r="AC81" i="1"/>
  <c r="AD81" i="1"/>
  <c r="AE81" i="1"/>
  <c r="AH81" i="1"/>
  <c r="AI81" i="1"/>
  <c r="AJ81" i="1"/>
  <c r="AK81" i="1"/>
  <c r="AL81" i="1"/>
  <c r="AA82" i="1"/>
  <c r="AB82" i="1"/>
  <c r="AC82" i="1"/>
  <c r="AD82" i="1"/>
  <c r="AE82" i="1"/>
  <c r="AH82" i="1"/>
  <c r="AI82" i="1"/>
  <c r="AJ82" i="1"/>
  <c r="AK82" i="1"/>
  <c r="AL82" i="1"/>
  <c r="AA83" i="1"/>
  <c r="AB83" i="1"/>
  <c r="AC83" i="1"/>
  <c r="AD83" i="1"/>
  <c r="AE83" i="1"/>
  <c r="AH83" i="1"/>
  <c r="AI83" i="1"/>
  <c r="AJ83" i="1"/>
  <c r="AK83" i="1"/>
  <c r="AL83" i="1"/>
  <c r="AA54" i="1"/>
  <c r="AB54" i="1"/>
  <c r="AC54" i="1"/>
  <c r="AD54" i="1"/>
  <c r="AE54" i="1"/>
  <c r="AH54" i="1"/>
  <c r="AI54" i="1"/>
  <c r="AJ54" i="1"/>
  <c r="AK54" i="1"/>
  <c r="AL54" i="1"/>
  <c r="AA55" i="1"/>
  <c r="AB55" i="1"/>
  <c r="AC55" i="1"/>
  <c r="AD55" i="1"/>
  <c r="AE55" i="1"/>
  <c r="AH55" i="1"/>
  <c r="AI55" i="1"/>
  <c r="AJ55" i="1"/>
  <c r="AK55" i="1"/>
  <c r="AL55" i="1"/>
  <c r="AA56" i="1"/>
  <c r="AB56" i="1"/>
  <c r="AC56" i="1"/>
  <c r="AD56" i="1"/>
  <c r="AE56" i="1"/>
  <c r="AH56" i="1"/>
  <c r="AI56" i="1"/>
  <c r="AJ56" i="1"/>
  <c r="AK56" i="1"/>
  <c r="AL56" i="1"/>
  <c r="AA57" i="1"/>
  <c r="AB57" i="1"/>
  <c r="AC57" i="1"/>
  <c r="AD57" i="1"/>
  <c r="AE57" i="1"/>
  <c r="AH57" i="1"/>
  <c r="AI57" i="1"/>
  <c r="AJ57" i="1"/>
  <c r="AK57" i="1"/>
  <c r="AL57" i="1"/>
  <c r="AA58" i="1"/>
  <c r="AB58" i="1"/>
  <c r="AC58" i="1"/>
  <c r="AD58" i="1"/>
  <c r="AE58" i="1"/>
  <c r="AH58" i="1"/>
  <c r="AI58" i="1"/>
  <c r="AJ58" i="1"/>
  <c r="AK58" i="1"/>
  <c r="AL58" i="1"/>
  <c r="AA59" i="1"/>
  <c r="AB59" i="1"/>
  <c r="AC59" i="1"/>
  <c r="AD59" i="1"/>
  <c r="AE59" i="1"/>
  <c r="AH59" i="1"/>
  <c r="AI59" i="1"/>
  <c r="AJ59" i="1"/>
  <c r="AK59" i="1"/>
  <c r="AL59" i="1"/>
  <c r="AA60" i="1"/>
  <c r="AB60" i="1"/>
  <c r="AC60" i="1"/>
  <c r="AD60" i="1"/>
  <c r="AE60" i="1"/>
  <c r="AH60" i="1"/>
  <c r="AI60" i="1"/>
  <c r="AJ60" i="1"/>
  <c r="AK60" i="1"/>
  <c r="AL60" i="1"/>
  <c r="AA61" i="1"/>
  <c r="AB61" i="1"/>
  <c r="AC61" i="1"/>
  <c r="AD61" i="1"/>
  <c r="AE61" i="1"/>
  <c r="AH61" i="1"/>
  <c r="AI61" i="1"/>
  <c r="AJ61" i="1"/>
  <c r="AK61" i="1"/>
  <c r="AL61" i="1"/>
  <c r="AA62" i="1"/>
  <c r="AB62" i="1"/>
  <c r="AC62" i="1"/>
  <c r="AD62" i="1"/>
  <c r="AE62" i="1"/>
  <c r="AH62" i="1"/>
  <c r="AI62" i="1"/>
  <c r="AJ62" i="1"/>
  <c r="AK62" i="1"/>
  <c r="AL62" i="1"/>
  <c r="AA63" i="1"/>
  <c r="AB63" i="1"/>
  <c r="AC63" i="1"/>
  <c r="AD63" i="1"/>
  <c r="AE63" i="1"/>
  <c r="AH63" i="1"/>
  <c r="AI63" i="1"/>
  <c r="AJ63" i="1"/>
  <c r="AK63" i="1"/>
  <c r="AL63" i="1"/>
  <c r="AA64" i="1"/>
  <c r="AB64" i="1"/>
  <c r="AC64" i="1"/>
  <c r="AD64" i="1"/>
  <c r="AE64" i="1"/>
  <c r="AH64" i="1"/>
  <c r="AI64" i="1"/>
  <c r="AJ64" i="1"/>
  <c r="AK64" i="1"/>
  <c r="AL64" i="1"/>
  <c r="AA65" i="1"/>
  <c r="AB65" i="1"/>
  <c r="AC65" i="1"/>
  <c r="AD65" i="1"/>
  <c r="AE65" i="1"/>
  <c r="AH65" i="1"/>
  <c r="AI65" i="1"/>
  <c r="AJ65" i="1"/>
  <c r="AK65" i="1"/>
  <c r="AL65" i="1"/>
  <c r="AA66" i="1"/>
  <c r="AB66" i="1"/>
  <c r="AC66" i="1"/>
  <c r="AD66" i="1"/>
  <c r="AE66" i="1"/>
  <c r="AH66" i="1"/>
  <c r="AI66" i="1"/>
  <c r="AJ66" i="1"/>
  <c r="AK66" i="1"/>
  <c r="AL66" i="1"/>
  <c r="AA67" i="1"/>
  <c r="AB67" i="1"/>
  <c r="AC67" i="1"/>
  <c r="AD67" i="1"/>
  <c r="AE67" i="1"/>
  <c r="AH67" i="1"/>
  <c r="AI67" i="1"/>
  <c r="AJ67" i="1"/>
  <c r="AK67" i="1"/>
  <c r="AL67" i="1"/>
  <c r="AA68" i="1"/>
  <c r="AB68" i="1"/>
  <c r="AC68" i="1"/>
  <c r="AD68" i="1"/>
  <c r="AE68" i="1"/>
  <c r="AH68" i="1"/>
  <c r="AI68" i="1"/>
  <c r="AJ68" i="1"/>
  <c r="AK68" i="1"/>
  <c r="AL68" i="1"/>
  <c r="AA69" i="1"/>
  <c r="AB69" i="1"/>
  <c r="AC69" i="1"/>
  <c r="AD69" i="1"/>
  <c r="AE69" i="1"/>
  <c r="AH69" i="1"/>
  <c r="AI69" i="1"/>
  <c r="AJ69" i="1"/>
  <c r="AK69" i="1"/>
  <c r="AL69" i="1"/>
  <c r="AA70" i="1"/>
  <c r="AB70" i="1"/>
  <c r="AC70" i="1"/>
  <c r="AD70" i="1"/>
  <c r="AE70" i="1"/>
  <c r="AH70" i="1"/>
  <c r="AI70" i="1"/>
  <c r="AJ70" i="1"/>
  <c r="AK70" i="1"/>
  <c r="AL70" i="1"/>
  <c r="B154" i="1"/>
  <c r="D154" i="1"/>
  <c r="E154" i="1"/>
  <c r="F154" i="1"/>
  <c r="G154" i="1"/>
  <c r="H154" i="1"/>
  <c r="K154" i="1"/>
  <c r="L154" i="1"/>
  <c r="M154" i="1"/>
  <c r="N154" i="1"/>
  <c r="O154" i="1"/>
  <c r="B155" i="1"/>
  <c r="D155" i="1"/>
  <c r="E155" i="1"/>
  <c r="F155" i="1"/>
  <c r="G155" i="1"/>
  <c r="H155" i="1"/>
  <c r="K155" i="1"/>
  <c r="L155" i="1"/>
  <c r="M155" i="1"/>
  <c r="N155" i="1"/>
  <c r="O155" i="1"/>
  <c r="B156" i="1"/>
  <c r="D156" i="1"/>
  <c r="E156" i="1"/>
  <c r="F156" i="1"/>
  <c r="G156" i="1"/>
  <c r="H156" i="1"/>
  <c r="K156" i="1"/>
  <c r="L156" i="1"/>
  <c r="M156" i="1"/>
  <c r="N156" i="1"/>
  <c r="O156" i="1"/>
  <c r="B157" i="1"/>
  <c r="D157" i="1"/>
  <c r="E157" i="1"/>
  <c r="F157" i="1"/>
  <c r="G157" i="1"/>
  <c r="H157" i="1"/>
  <c r="K157" i="1"/>
  <c r="L157" i="1"/>
  <c r="M157" i="1"/>
  <c r="N157" i="1"/>
  <c r="O157" i="1"/>
  <c r="B158" i="1"/>
  <c r="D158" i="1"/>
  <c r="E158" i="1"/>
  <c r="F158" i="1"/>
  <c r="G158" i="1"/>
  <c r="H158" i="1"/>
  <c r="K158" i="1"/>
  <c r="L158" i="1"/>
  <c r="M158" i="1"/>
  <c r="N158" i="1"/>
  <c r="O158" i="1"/>
  <c r="B159" i="1"/>
  <c r="D159" i="1"/>
  <c r="E159" i="1"/>
  <c r="F159" i="1"/>
  <c r="G159" i="1"/>
  <c r="H159" i="1"/>
  <c r="K159" i="1"/>
  <c r="L159" i="1"/>
  <c r="M159" i="1"/>
  <c r="N159" i="1"/>
  <c r="O159" i="1"/>
  <c r="B160" i="1"/>
  <c r="D160" i="1"/>
  <c r="E160" i="1"/>
  <c r="F160" i="1"/>
  <c r="G160" i="1"/>
  <c r="H160" i="1"/>
  <c r="K160" i="1"/>
  <c r="L160" i="1"/>
  <c r="M160" i="1"/>
  <c r="N160" i="1"/>
  <c r="O160" i="1"/>
  <c r="B161" i="1"/>
  <c r="D161" i="1"/>
  <c r="E161" i="1"/>
  <c r="F161" i="1"/>
  <c r="G161" i="1"/>
  <c r="H161" i="1"/>
  <c r="K161" i="1"/>
  <c r="L161" i="1"/>
  <c r="M161" i="1"/>
  <c r="N161" i="1"/>
  <c r="O161" i="1"/>
  <c r="B162" i="1"/>
  <c r="D162" i="1"/>
  <c r="E162" i="1"/>
  <c r="F162" i="1"/>
  <c r="G162" i="1"/>
  <c r="H162" i="1"/>
  <c r="K162" i="1"/>
  <c r="L162" i="1"/>
  <c r="M162" i="1"/>
  <c r="N162" i="1"/>
  <c r="O162" i="1"/>
  <c r="B163" i="1"/>
  <c r="D163" i="1"/>
  <c r="E163" i="1"/>
  <c r="F163" i="1"/>
  <c r="G163" i="1"/>
  <c r="H163" i="1"/>
  <c r="K163" i="1"/>
  <c r="L163" i="1"/>
  <c r="M163" i="1"/>
  <c r="N163" i="1"/>
  <c r="O163" i="1"/>
  <c r="B140" i="1"/>
  <c r="D140" i="1"/>
  <c r="E140" i="1"/>
  <c r="F140" i="1"/>
  <c r="G140" i="1"/>
  <c r="H140" i="1"/>
  <c r="K140" i="1"/>
  <c r="L140" i="1"/>
  <c r="M140" i="1"/>
  <c r="N140" i="1"/>
  <c r="O140" i="1"/>
  <c r="B141" i="1"/>
  <c r="D141" i="1"/>
  <c r="E141" i="1"/>
  <c r="F141" i="1"/>
  <c r="G141" i="1"/>
  <c r="H141" i="1"/>
  <c r="K141" i="1"/>
  <c r="L141" i="1"/>
  <c r="M141" i="1"/>
  <c r="N141" i="1"/>
  <c r="O141" i="1"/>
  <c r="B142" i="1"/>
  <c r="D142" i="1"/>
  <c r="E142" i="1"/>
  <c r="F142" i="1"/>
  <c r="G142" i="1"/>
  <c r="H142" i="1"/>
  <c r="K142" i="1"/>
  <c r="L142" i="1"/>
  <c r="M142" i="1"/>
  <c r="N142" i="1"/>
  <c r="O142" i="1"/>
  <c r="B143" i="1"/>
  <c r="D143" i="1"/>
  <c r="E143" i="1"/>
  <c r="F143" i="1"/>
  <c r="G143" i="1"/>
  <c r="H143" i="1"/>
  <c r="K143" i="1"/>
  <c r="L143" i="1"/>
  <c r="M143" i="1"/>
  <c r="N143" i="1"/>
  <c r="O143" i="1"/>
  <c r="B144" i="1"/>
  <c r="D144" i="1"/>
  <c r="E144" i="1"/>
  <c r="F144" i="1"/>
  <c r="G144" i="1"/>
  <c r="H144" i="1"/>
  <c r="K144" i="1"/>
  <c r="L144" i="1"/>
  <c r="M144" i="1"/>
  <c r="N144" i="1"/>
  <c r="O144" i="1"/>
  <c r="B145" i="1"/>
  <c r="D145" i="1"/>
  <c r="E145" i="1"/>
  <c r="F145" i="1"/>
  <c r="G145" i="1"/>
  <c r="H145" i="1"/>
  <c r="K145" i="1"/>
  <c r="L145" i="1"/>
  <c r="M145" i="1"/>
  <c r="N145" i="1"/>
  <c r="O145" i="1"/>
  <c r="B146" i="1"/>
  <c r="D146" i="1"/>
  <c r="E146" i="1"/>
  <c r="F146" i="1"/>
  <c r="G146" i="1"/>
  <c r="H146" i="1"/>
  <c r="K146" i="1"/>
  <c r="L146" i="1"/>
  <c r="M146" i="1"/>
  <c r="N146" i="1"/>
  <c r="O146" i="1"/>
  <c r="B147" i="1"/>
  <c r="D147" i="1"/>
  <c r="E147" i="1"/>
  <c r="F147" i="1"/>
  <c r="G147" i="1"/>
  <c r="H147" i="1"/>
  <c r="K147" i="1"/>
  <c r="L147" i="1"/>
  <c r="M147" i="1"/>
  <c r="N147" i="1"/>
  <c r="O147" i="1"/>
  <c r="B148" i="1"/>
  <c r="D148" i="1"/>
  <c r="E148" i="1"/>
  <c r="F148" i="1"/>
  <c r="G148" i="1"/>
  <c r="H148" i="1"/>
  <c r="K148" i="1"/>
  <c r="L148" i="1"/>
  <c r="M148" i="1"/>
  <c r="N148" i="1"/>
  <c r="O148" i="1"/>
  <c r="B149" i="1"/>
  <c r="D149" i="1"/>
  <c r="E149" i="1"/>
  <c r="F149" i="1"/>
  <c r="G149" i="1"/>
  <c r="H149" i="1"/>
  <c r="K149" i="1"/>
  <c r="L149" i="1"/>
  <c r="M149" i="1"/>
  <c r="N149" i="1"/>
  <c r="O149" i="1"/>
  <c r="B150" i="1"/>
  <c r="D150" i="1"/>
  <c r="E150" i="1"/>
  <c r="F150" i="1"/>
  <c r="G150" i="1"/>
  <c r="H150" i="1"/>
  <c r="K150" i="1"/>
  <c r="L150" i="1"/>
  <c r="M150" i="1"/>
  <c r="N150" i="1"/>
  <c r="O150" i="1"/>
  <c r="B151" i="1"/>
  <c r="D151" i="1"/>
  <c r="E151" i="1"/>
  <c r="F151" i="1"/>
  <c r="G151" i="1"/>
  <c r="H151" i="1"/>
  <c r="K151" i="1"/>
  <c r="L151" i="1"/>
  <c r="M151" i="1"/>
  <c r="N151" i="1"/>
  <c r="O151" i="1"/>
  <c r="B152" i="1"/>
  <c r="D152" i="1"/>
  <c r="E152" i="1"/>
  <c r="F152" i="1"/>
  <c r="G152" i="1"/>
  <c r="H152" i="1"/>
  <c r="K152" i="1"/>
  <c r="L152" i="1"/>
  <c r="M152" i="1"/>
  <c r="N152" i="1"/>
  <c r="O152" i="1"/>
  <c r="B153" i="1"/>
  <c r="D153" i="1"/>
  <c r="E153" i="1"/>
  <c r="F153" i="1"/>
  <c r="G153" i="1"/>
  <c r="H153" i="1"/>
  <c r="K153" i="1"/>
  <c r="L153" i="1"/>
  <c r="M153" i="1"/>
  <c r="N153" i="1"/>
  <c r="O153" i="1"/>
  <c r="B114" i="1"/>
  <c r="D114" i="1"/>
  <c r="E114" i="1"/>
  <c r="F114" i="1"/>
  <c r="G114" i="1"/>
  <c r="H114" i="1"/>
  <c r="K114" i="1"/>
  <c r="L114" i="1"/>
  <c r="M114" i="1"/>
  <c r="N114" i="1"/>
  <c r="O114" i="1"/>
  <c r="B115" i="1"/>
  <c r="D115" i="1"/>
  <c r="E115" i="1"/>
  <c r="F115" i="1"/>
  <c r="G115" i="1"/>
  <c r="H115" i="1"/>
  <c r="K115" i="1"/>
  <c r="L115" i="1"/>
  <c r="M115" i="1"/>
  <c r="N115" i="1"/>
  <c r="O115" i="1"/>
  <c r="B116" i="1"/>
  <c r="D116" i="1"/>
  <c r="E116" i="1"/>
  <c r="F116" i="1"/>
  <c r="G116" i="1"/>
  <c r="H116" i="1"/>
  <c r="K116" i="1"/>
  <c r="L116" i="1"/>
  <c r="M116" i="1"/>
  <c r="N116" i="1"/>
  <c r="O116" i="1"/>
  <c r="B117" i="1"/>
  <c r="D117" i="1"/>
  <c r="E117" i="1"/>
  <c r="F117" i="1"/>
  <c r="G117" i="1"/>
  <c r="H117" i="1"/>
  <c r="K117" i="1"/>
  <c r="L117" i="1"/>
  <c r="M117" i="1"/>
  <c r="N117" i="1"/>
  <c r="O117" i="1"/>
  <c r="B118" i="1"/>
  <c r="D118" i="1"/>
  <c r="E118" i="1"/>
  <c r="F118" i="1"/>
  <c r="G118" i="1"/>
  <c r="H118" i="1"/>
  <c r="K118" i="1"/>
  <c r="L118" i="1"/>
  <c r="M118" i="1"/>
  <c r="N118" i="1"/>
  <c r="O118" i="1"/>
  <c r="B119" i="1"/>
  <c r="D119" i="1"/>
  <c r="E119" i="1"/>
  <c r="F119" i="1"/>
  <c r="G119" i="1"/>
  <c r="H119" i="1"/>
  <c r="K119" i="1"/>
  <c r="L119" i="1"/>
  <c r="M119" i="1"/>
  <c r="N119" i="1"/>
  <c r="O119" i="1"/>
  <c r="B120" i="1"/>
  <c r="D120" i="1"/>
  <c r="E120" i="1"/>
  <c r="F120" i="1"/>
  <c r="G120" i="1"/>
  <c r="H120" i="1"/>
  <c r="K120" i="1"/>
  <c r="L120" i="1"/>
  <c r="M120" i="1"/>
  <c r="N120" i="1"/>
  <c r="O120" i="1"/>
  <c r="B121" i="1"/>
  <c r="D121" i="1"/>
  <c r="E121" i="1"/>
  <c r="F121" i="1"/>
  <c r="G121" i="1"/>
  <c r="H121" i="1"/>
  <c r="K121" i="1"/>
  <c r="L121" i="1"/>
  <c r="M121" i="1"/>
  <c r="N121" i="1"/>
  <c r="O121" i="1"/>
  <c r="B122" i="1"/>
  <c r="D122" i="1"/>
  <c r="E122" i="1"/>
  <c r="F122" i="1"/>
  <c r="G122" i="1"/>
  <c r="H122" i="1"/>
  <c r="K122" i="1"/>
  <c r="L122" i="1"/>
  <c r="M122" i="1"/>
  <c r="N122" i="1"/>
  <c r="O122" i="1"/>
  <c r="B123" i="1"/>
  <c r="D123" i="1"/>
  <c r="E123" i="1"/>
  <c r="F123" i="1"/>
  <c r="G123" i="1"/>
  <c r="H123" i="1"/>
  <c r="K123" i="1"/>
  <c r="L123" i="1"/>
  <c r="M123" i="1"/>
  <c r="N123" i="1"/>
  <c r="O123" i="1"/>
  <c r="B124" i="1"/>
  <c r="D124" i="1"/>
  <c r="E124" i="1"/>
  <c r="F124" i="1"/>
  <c r="G124" i="1"/>
  <c r="H124" i="1"/>
  <c r="K124" i="1"/>
  <c r="L124" i="1"/>
  <c r="M124" i="1"/>
  <c r="N124" i="1"/>
  <c r="O124" i="1"/>
  <c r="B125" i="1"/>
  <c r="D125" i="1"/>
  <c r="E125" i="1"/>
  <c r="F125" i="1"/>
  <c r="G125" i="1"/>
  <c r="H125" i="1"/>
  <c r="K125" i="1"/>
  <c r="L125" i="1"/>
  <c r="M125" i="1"/>
  <c r="N125" i="1"/>
  <c r="O125" i="1"/>
  <c r="B126" i="1"/>
  <c r="D126" i="1"/>
  <c r="E126" i="1"/>
  <c r="F126" i="1"/>
  <c r="G126" i="1"/>
  <c r="H126" i="1"/>
  <c r="K126" i="1"/>
  <c r="L126" i="1"/>
  <c r="M126" i="1"/>
  <c r="N126" i="1"/>
  <c r="O126" i="1"/>
  <c r="B127" i="1"/>
  <c r="D127" i="1"/>
  <c r="E127" i="1"/>
  <c r="F127" i="1"/>
  <c r="G127" i="1"/>
  <c r="H127" i="1"/>
  <c r="K127" i="1"/>
  <c r="L127" i="1"/>
  <c r="M127" i="1"/>
  <c r="N127" i="1"/>
  <c r="O127" i="1"/>
  <c r="B128" i="1"/>
  <c r="D128" i="1"/>
  <c r="E128" i="1"/>
  <c r="F128" i="1"/>
  <c r="G128" i="1"/>
  <c r="H128" i="1"/>
  <c r="K128" i="1"/>
  <c r="L128" i="1"/>
  <c r="M128" i="1"/>
  <c r="N128" i="1"/>
  <c r="O128" i="1"/>
  <c r="B129" i="1"/>
  <c r="D129" i="1"/>
  <c r="E129" i="1"/>
  <c r="F129" i="1"/>
  <c r="G129" i="1"/>
  <c r="H129" i="1"/>
  <c r="K129" i="1"/>
  <c r="L129" i="1"/>
  <c r="M129" i="1"/>
  <c r="N129" i="1"/>
  <c r="O129" i="1"/>
  <c r="B130" i="1"/>
  <c r="D130" i="1"/>
  <c r="E130" i="1"/>
  <c r="F130" i="1"/>
  <c r="G130" i="1"/>
  <c r="H130" i="1"/>
  <c r="K130" i="1"/>
  <c r="L130" i="1"/>
  <c r="M130" i="1"/>
  <c r="N130" i="1"/>
  <c r="O130" i="1"/>
  <c r="B131" i="1"/>
  <c r="D131" i="1"/>
  <c r="E131" i="1"/>
  <c r="F131" i="1"/>
  <c r="G131" i="1"/>
  <c r="H131" i="1"/>
  <c r="K131" i="1"/>
  <c r="L131" i="1"/>
  <c r="M131" i="1"/>
  <c r="N131" i="1"/>
  <c r="O131" i="1"/>
  <c r="B132" i="1"/>
  <c r="D132" i="1"/>
  <c r="E132" i="1"/>
  <c r="F132" i="1"/>
  <c r="G132" i="1"/>
  <c r="H132" i="1"/>
  <c r="K132" i="1"/>
  <c r="L132" i="1"/>
  <c r="M132" i="1"/>
  <c r="N132" i="1"/>
  <c r="O132" i="1"/>
  <c r="B133" i="1"/>
  <c r="D133" i="1"/>
  <c r="E133" i="1"/>
  <c r="F133" i="1"/>
  <c r="G133" i="1"/>
  <c r="H133" i="1"/>
  <c r="K133" i="1"/>
  <c r="L133" i="1"/>
  <c r="M133" i="1"/>
  <c r="N133" i="1"/>
  <c r="O133" i="1"/>
  <c r="B134" i="1"/>
  <c r="D134" i="1"/>
  <c r="E134" i="1"/>
  <c r="F134" i="1"/>
  <c r="G134" i="1"/>
  <c r="H134" i="1"/>
  <c r="K134" i="1"/>
  <c r="L134" i="1"/>
  <c r="M134" i="1"/>
  <c r="N134" i="1"/>
  <c r="O134" i="1"/>
  <c r="B135" i="1"/>
  <c r="D135" i="1"/>
  <c r="E135" i="1"/>
  <c r="F135" i="1"/>
  <c r="G135" i="1"/>
  <c r="H135" i="1"/>
  <c r="K135" i="1"/>
  <c r="L135" i="1"/>
  <c r="M135" i="1"/>
  <c r="N135" i="1"/>
  <c r="O135" i="1"/>
  <c r="B136" i="1"/>
  <c r="D136" i="1"/>
  <c r="E136" i="1"/>
  <c r="F136" i="1"/>
  <c r="G136" i="1"/>
  <c r="H136" i="1"/>
  <c r="K136" i="1"/>
  <c r="L136" i="1"/>
  <c r="M136" i="1"/>
  <c r="N136" i="1"/>
  <c r="O136" i="1"/>
  <c r="B137" i="1"/>
  <c r="D137" i="1"/>
  <c r="E137" i="1"/>
  <c r="F137" i="1"/>
  <c r="G137" i="1"/>
  <c r="H137" i="1"/>
  <c r="K137" i="1"/>
  <c r="L137" i="1"/>
  <c r="M137" i="1"/>
  <c r="N137" i="1"/>
  <c r="O137" i="1"/>
  <c r="B138" i="1"/>
  <c r="D138" i="1"/>
  <c r="E138" i="1"/>
  <c r="F138" i="1"/>
  <c r="G138" i="1"/>
  <c r="H138" i="1"/>
  <c r="K138" i="1"/>
  <c r="L138" i="1"/>
  <c r="M138" i="1"/>
  <c r="N138" i="1"/>
  <c r="O138" i="1"/>
  <c r="B139" i="1"/>
  <c r="D139" i="1"/>
  <c r="E139" i="1"/>
  <c r="F139" i="1"/>
  <c r="G139" i="1"/>
  <c r="H139" i="1"/>
  <c r="K139" i="1"/>
  <c r="L139" i="1"/>
  <c r="M139" i="1"/>
  <c r="N139" i="1"/>
  <c r="O139" i="1"/>
  <c r="AU10" i="4"/>
  <c r="AU12" i="4"/>
  <c r="AU11" i="4"/>
  <c r="AW14" i="4"/>
  <c r="BC10" i="4"/>
  <c r="AV46" i="4"/>
  <c r="AW46" i="4"/>
  <c r="AV47" i="4"/>
  <c r="AW47" i="4"/>
  <c r="AV48" i="4"/>
  <c r="AW48" i="4"/>
  <c r="AV49" i="4"/>
  <c r="AW49" i="4"/>
  <c r="AV50" i="4"/>
  <c r="AW50" i="4"/>
  <c r="AV51" i="4"/>
  <c r="AW51" i="4"/>
  <c r="AV52" i="4"/>
  <c r="AW52" i="4"/>
  <c r="AV53" i="4"/>
  <c r="AW53" i="4"/>
  <c r="AV54" i="4"/>
  <c r="AW54" i="4"/>
  <c r="AV55" i="4"/>
  <c r="AW55" i="4"/>
  <c r="AV56" i="4"/>
  <c r="AW56" i="4"/>
  <c r="AV27" i="4"/>
  <c r="AW27" i="4"/>
  <c r="AV28" i="4"/>
  <c r="AW28" i="4"/>
  <c r="AV29" i="4"/>
  <c r="AW29" i="4"/>
  <c r="AV30" i="4"/>
  <c r="AW30" i="4"/>
  <c r="AV31" i="4"/>
  <c r="AW31" i="4"/>
  <c r="AV32" i="4"/>
  <c r="AW32" i="4"/>
  <c r="AV33" i="4"/>
  <c r="AW33" i="4"/>
  <c r="AV34" i="4"/>
  <c r="AW34" i="4"/>
  <c r="AV35" i="4"/>
  <c r="AW35" i="4"/>
  <c r="AV36" i="4"/>
  <c r="AW36" i="4"/>
  <c r="AV37" i="4"/>
  <c r="AW37" i="4"/>
  <c r="AV38" i="4"/>
  <c r="AW38" i="4"/>
  <c r="AV39" i="4"/>
  <c r="AW39" i="4"/>
  <c r="AV40" i="4"/>
  <c r="AW40" i="4"/>
  <c r="AV41" i="4"/>
  <c r="AW41" i="4"/>
  <c r="AV42" i="4"/>
  <c r="AW42" i="4"/>
  <c r="AV43" i="4"/>
  <c r="AW43" i="4"/>
  <c r="AV44" i="4"/>
  <c r="AW44" i="4"/>
  <c r="AV45" i="4"/>
  <c r="AW45" i="4"/>
  <c r="AV18" i="4"/>
  <c r="AW18" i="4"/>
  <c r="AV19" i="4"/>
  <c r="AW19" i="4"/>
  <c r="AV20" i="4"/>
  <c r="AW20" i="4"/>
  <c r="AV21" i="4"/>
  <c r="AW21" i="4"/>
  <c r="AV22" i="4"/>
  <c r="AW22" i="4"/>
  <c r="AV23" i="4"/>
  <c r="AW23" i="4"/>
  <c r="AV24" i="4"/>
  <c r="AW24" i="4"/>
  <c r="AV25" i="4"/>
  <c r="AW25" i="4"/>
  <c r="AV26" i="4"/>
  <c r="AW26" i="4"/>
  <c r="AV13" i="4"/>
  <c r="AV14" i="4"/>
  <c r="AV15" i="4"/>
  <c r="AW15" i="4"/>
  <c r="AV16" i="4"/>
  <c r="AW16" i="4"/>
  <c r="AV17" i="4"/>
  <c r="AW17" i="4"/>
  <c r="BB10" i="4"/>
  <c r="F79" i="2"/>
  <c r="F31" i="2"/>
  <c r="F101" i="2"/>
  <c r="F75" i="2"/>
  <c r="F80" i="2"/>
  <c r="F32" i="2"/>
  <c r="F78" i="2"/>
  <c r="F121" i="2"/>
  <c r="F55" i="2"/>
  <c r="F103" i="2"/>
  <c r="F123" i="2"/>
  <c r="F125" i="2"/>
  <c r="F99" i="2"/>
  <c r="F54" i="2"/>
  <c r="F29" i="2"/>
  <c r="F56" i="2"/>
  <c r="F98" i="2"/>
  <c r="F100" i="2"/>
  <c r="F52" i="2"/>
  <c r="F126" i="2"/>
  <c r="F30" i="2"/>
  <c r="F122" i="2"/>
  <c r="F124" i="2"/>
  <c r="F57" i="2"/>
  <c r="F102" i="2"/>
  <c r="F33" i="2"/>
  <c r="F53" i="2"/>
  <c r="F76" i="2"/>
  <c r="F34" i="2"/>
  <c r="F77" i="2"/>
  <c r="E62" i="12"/>
  <c r="E22" i="12"/>
  <c r="E20" i="12"/>
  <c r="E101" i="12"/>
  <c r="E61" i="12"/>
  <c r="E24" i="12"/>
  <c r="E102" i="12"/>
  <c r="E79" i="12"/>
  <c r="K67" i="4"/>
  <c r="E40" i="12"/>
  <c r="K17" i="4"/>
  <c r="AI17" i="4"/>
  <c r="AF17" i="4"/>
  <c r="E39" i="12"/>
  <c r="E21" i="12"/>
  <c r="E85" i="12"/>
  <c r="AG17" i="4"/>
  <c r="K21" i="4"/>
  <c r="E82" i="12"/>
  <c r="K20" i="4"/>
  <c r="E80" i="12"/>
  <c r="E100" i="12"/>
  <c r="AG21" i="4"/>
  <c r="K38" i="4"/>
  <c r="E83" i="12"/>
  <c r="E41" i="12"/>
  <c r="E60" i="12"/>
  <c r="AH21" i="4"/>
  <c r="E81" i="12"/>
  <c r="K41" i="4"/>
  <c r="K16" i="4"/>
  <c r="E59" i="12"/>
  <c r="E43" i="12"/>
  <c r="AF20" i="4"/>
  <c r="E63" i="12"/>
  <c r="K42" i="4"/>
  <c r="E42" i="12"/>
  <c r="E105" i="12"/>
  <c r="K44" i="4"/>
  <c r="E103" i="12"/>
  <c r="E84" i="12"/>
  <c r="AF21" i="4"/>
  <c r="E99" i="12"/>
  <c r="K40" i="4"/>
  <c r="K39" i="4"/>
  <c r="E25" i="12"/>
  <c r="E19" i="12"/>
  <c r="E44" i="12"/>
  <c r="K18" i="4"/>
  <c r="E104" i="12"/>
  <c r="E64" i="12"/>
  <c r="E45" i="12"/>
  <c r="K15" i="4"/>
  <c r="K19" i="4"/>
  <c r="E65" i="12"/>
  <c r="K61" i="4"/>
  <c r="AH16" i="4"/>
  <c r="K43" i="4"/>
  <c r="AE20" i="4"/>
  <c r="E23" i="12"/>
  <c r="AE19" i="4"/>
  <c r="AH17" i="4"/>
  <c r="AI21" i="4"/>
  <c r="AE21" i="4"/>
  <c r="AI19" i="4"/>
  <c r="AH19" i="4"/>
  <c r="P96" i="17" l="1"/>
  <c r="P20" i="17"/>
  <c r="P76" i="17"/>
  <c r="P75" i="17"/>
  <c r="P80" i="17"/>
  <c r="P100" i="17"/>
  <c r="P19" i="17"/>
  <c r="P74" i="17"/>
  <c r="P59" i="17"/>
  <c r="P35" i="17"/>
  <c r="P38" i="17"/>
  <c r="P37" i="17"/>
  <c r="P95" i="17"/>
  <c r="P77" i="17"/>
  <c r="P18" i="17"/>
  <c r="P16" i="17"/>
  <c r="P17" i="17"/>
  <c r="P57" i="17"/>
  <c r="P39" i="17"/>
  <c r="P34" i="17"/>
  <c r="P94" i="17"/>
  <c r="P14" i="17"/>
  <c r="P15" i="17"/>
  <c r="P79" i="17"/>
  <c r="P36" i="17"/>
  <c r="P56" i="17"/>
  <c r="P60" i="17"/>
  <c r="P55" i="17"/>
  <c r="P40" i="17"/>
  <c r="P99" i="17"/>
  <c r="P98" i="17"/>
  <c r="P97" i="17"/>
  <c r="P54" i="17"/>
  <c r="P58" i="17"/>
  <c r="P78" i="17"/>
  <c r="AJ96" i="8"/>
  <c r="L96" i="8"/>
  <c r="L20" i="8"/>
  <c r="AJ20" i="8"/>
  <c r="AJ76" i="8"/>
  <c r="L76" i="8"/>
  <c r="L75" i="8"/>
  <c r="AJ75" i="8"/>
  <c r="AJ80" i="8"/>
  <c r="L80" i="8"/>
  <c r="AJ100" i="8"/>
  <c r="L100" i="8"/>
  <c r="L19" i="8"/>
  <c r="AJ19" i="8"/>
  <c r="AJ74" i="8"/>
  <c r="L74" i="8"/>
  <c r="AJ59" i="8"/>
  <c r="L59" i="8"/>
  <c r="L35" i="8"/>
  <c r="AJ35" i="8"/>
  <c r="L38" i="8"/>
  <c r="AJ38" i="8"/>
  <c r="L37" i="8"/>
  <c r="AJ37" i="8"/>
  <c r="AJ95" i="8"/>
  <c r="L95" i="8"/>
  <c r="L77" i="8"/>
  <c r="AJ77" i="8"/>
  <c r="AJ18" i="8"/>
  <c r="L18" i="8"/>
  <c r="AJ16" i="8"/>
  <c r="L16" i="8"/>
  <c r="L17" i="8"/>
  <c r="AJ17" i="8"/>
  <c r="L57" i="8"/>
  <c r="AJ57" i="8"/>
  <c r="AJ39" i="8"/>
  <c r="L39" i="8"/>
  <c r="AJ34" i="8"/>
  <c r="L34" i="8"/>
  <c r="AJ94" i="8"/>
  <c r="L94" i="8"/>
  <c r="AJ14" i="8"/>
  <c r="L14" i="8"/>
  <c r="L15" i="8"/>
  <c r="AJ15" i="8"/>
  <c r="AJ79" i="8"/>
  <c r="L79" i="8"/>
  <c r="AJ36" i="8"/>
  <c r="L36" i="8"/>
  <c r="AJ56" i="8"/>
  <c r="L56" i="8"/>
  <c r="AJ60" i="8"/>
  <c r="L60" i="8"/>
  <c r="AJ55" i="8"/>
  <c r="L55" i="8"/>
  <c r="AJ40" i="8"/>
  <c r="L40" i="8"/>
  <c r="L99" i="8"/>
  <c r="AJ99" i="8"/>
  <c r="AJ98" i="8"/>
  <c r="L98" i="8"/>
  <c r="L97" i="8"/>
  <c r="AJ97" i="8"/>
  <c r="AJ54" i="8"/>
  <c r="L54" i="8"/>
  <c r="AJ58" i="8"/>
  <c r="L58" i="8"/>
  <c r="AJ78" i="8"/>
  <c r="L78" i="8"/>
  <c r="W96" i="11"/>
  <c r="W20" i="11"/>
  <c r="W76" i="11"/>
  <c r="W75" i="11"/>
  <c r="W80" i="11"/>
  <c r="W100" i="11"/>
  <c r="W19" i="11"/>
  <c r="W74" i="11"/>
  <c r="W59" i="11"/>
  <c r="W35" i="11"/>
  <c r="W38" i="11"/>
  <c r="W37" i="11"/>
  <c r="W95" i="11"/>
  <c r="W77" i="11"/>
  <c r="W18" i="11"/>
  <c r="W16" i="11"/>
  <c r="W17" i="11"/>
  <c r="W57" i="11"/>
  <c r="W39" i="11"/>
  <c r="W34" i="11"/>
  <c r="W94" i="11"/>
  <c r="W14" i="11"/>
  <c r="W15" i="11"/>
  <c r="W79" i="11"/>
  <c r="W36" i="11"/>
  <c r="W56" i="11"/>
  <c r="W60" i="11"/>
  <c r="W55" i="11"/>
  <c r="W40" i="11"/>
  <c r="W99" i="11"/>
  <c r="W98" i="11"/>
  <c r="W97" i="11"/>
  <c r="W54" i="11"/>
  <c r="W58" i="11"/>
  <c r="W78" i="11"/>
  <c r="E80" i="10"/>
  <c r="E80" i="16"/>
  <c r="E35" i="10"/>
  <c r="E35" i="16"/>
  <c r="E77" i="10"/>
  <c r="E77" i="16"/>
  <c r="E16" i="10"/>
  <c r="E16" i="16"/>
  <c r="E99" i="10"/>
  <c r="E99" i="16"/>
  <c r="E54" i="10"/>
  <c r="E54" i="16"/>
  <c r="E100" i="10"/>
  <c r="E100" i="16"/>
  <c r="E17" i="10"/>
  <c r="E17" i="16"/>
  <c r="E39" i="10"/>
  <c r="E39" i="16"/>
  <c r="E94" i="10"/>
  <c r="E94" i="16"/>
  <c r="E79" i="10"/>
  <c r="E79" i="16"/>
  <c r="E55" i="10"/>
  <c r="E55" i="16"/>
  <c r="E76" i="10"/>
  <c r="E76" i="16"/>
  <c r="E19" i="10"/>
  <c r="E19" i="16"/>
  <c r="E36" i="10"/>
  <c r="E36" i="16"/>
  <c r="E40" i="10"/>
  <c r="E40" i="16"/>
  <c r="E98" i="10"/>
  <c r="E98" i="16"/>
  <c r="E96" i="10"/>
  <c r="E96" i="16"/>
  <c r="E74" i="10"/>
  <c r="E74" i="16"/>
  <c r="E38" i="10"/>
  <c r="E38" i="16"/>
  <c r="E57" i="10"/>
  <c r="E57" i="16"/>
  <c r="E34" i="10"/>
  <c r="E34" i="16"/>
  <c r="E14" i="16"/>
  <c r="E14" i="10"/>
  <c r="E56" i="10"/>
  <c r="E56" i="16"/>
  <c r="E97" i="10"/>
  <c r="E97" i="16"/>
  <c r="E58" i="10"/>
  <c r="E58" i="16"/>
  <c r="E37" i="10"/>
  <c r="E37" i="16"/>
  <c r="E18" i="16"/>
  <c r="E18" i="10"/>
  <c r="E15" i="10"/>
  <c r="E15" i="16"/>
  <c r="E60" i="10"/>
  <c r="E60" i="16"/>
  <c r="E78" i="10"/>
  <c r="E78" i="16"/>
  <c r="E20" i="10"/>
  <c r="E20" i="16"/>
  <c r="E75" i="10"/>
  <c r="E75" i="16"/>
  <c r="E59" i="10"/>
  <c r="E59" i="16"/>
  <c r="E95" i="10"/>
  <c r="E95" i="16"/>
  <c r="E78" i="15"/>
  <c r="M78" i="13"/>
  <c r="M78" i="14"/>
  <c r="E94" i="15"/>
  <c r="M94" i="13"/>
  <c r="M94" i="14"/>
  <c r="E96" i="15"/>
  <c r="M96" i="13"/>
  <c r="M96" i="14"/>
  <c r="M57" i="14"/>
  <c r="E57" i="15"/>
  <c r="M57" i="13"/>
  <c r="M37" i="14"/>
  <c r="M37" i="13"/>
  <c r="E37" i="15"/>
  <c r="M20" i="13"/>
  <c r="E20" i="15"/>
  <c r="M20" i="14"/>
  <c r="E100" i="15"/>
  <c r="M100" i="13"/>
  <c r="M100" i="14"/>
  <c r="E76" i="15"/>
  <c r="M76" i="13"/>
  <c r="M76" i="14"/>
  <c r="E34" i="15"/>
  <c r="M34" i="13"/>
  <c r="M34" i="14"/>
  <c r="M97" i="14"/>
  <c r="E97" i="15"/>
  <c r="M97" i="13"/>
  <c r="E18" i="15"/>
  <c r="M18" i="14"/>
  <c r="M18" i="13"/>
  <c r="E60" i="15"/>
  <c r="M60" i="13"/>
  <c r="M60" i="14"/>
  <c r="E80" i="15"/>
  <c r="M80" i="13"/>
  <c r="M80" i="14"/>
  <c r="E79" i="15"/>
  <c r="M79" i="13"/>
  <c r="M79" i="14"/>
  <c r="E19" i="15"/>
  <c r="M19" i="13"/>
  <c r="M19" i="14"/>
  <c r="E36" i="15"/>
  <c r="M36" i="13"/>
  <c r="M36" i="14"/>
  <c r="E58" i="15"/>
  <c r="M58" i="13"/>
  <c r="M58" i="14"/>
  <c r="E75" i="15"/>
  <c r="M75" i="13"/>
  <c r="M75" i="14"/>
  <c r="E35" i="15"/>
  <c r="M35" i="13"/>
  <c r="M35" i="14"/>
  <c r="E55" i="15"/>
  <c r="M55" i="13"/>
  <c r="M55" i="14"/>
  <c r="E40" i="15"/>
  <c r="M40" i="13"/>
  <c r="M40" i="14"/>
  <c r="E74" i="15"/>
  <c r="M74" i="13"/>
  <c r="M74" i="14"/>
  <c r="E14" i="15"/>
  <c r="M14" i="14"/>
  <c r="M14" i="13"/>
  <c r="E59" i="15"/>
  <c r="M59" i="13"/>
  <c r="M59" i="14"/>
  <c r="M77" i="14"/>
  <c r="E77" i="15"/>
  <c r="M77" i="13"/>
  <c r="E99" i="15"/>
  <c r="M99" i="13"/>
  <c r="M99" i="14"/>
  <c r="M17" i="14"/>
  <c r="E17" i="15"/>
  <c r="M17" i="13"/>
  <c r="E98" i="15"/>
  <c r="M98" i="13"/>
  <c r="M98" i="14"/>
  <c r="E38" i="15"/>
  <c r="M38" i="13"/>
  <c r="M38" i="14"/>
  <c r="E56" i="15"/>
  <c r="M56" i="13"/>
  <c r="M56" i="14"/>
  <c r="E15" i="15"/>
  <c r="M15" i="13"/>
  <c r="M15" i="14"/>
  <c r="E95" i="15"/>
  <c r="M95" i="13"/>
  <c r="M95" i="14"/>
  <c r="M16" i="13"/>
  <c r="E16" i="15"/>
  <c r="M16" i="14"/>
  <c r="E54" i="15"/>
  <c r="M54" i="13"/>
  <c r="M54" i="14"/>
  <c r="E39" i="15"/>
  <c r="M39" i="13"/>
  <c r="M39" i="14"/>
  <c r="AE44" i="4"/>
  <c r="AG44" i="4"/>
  <c r="AI44" i="4"/>
  <c r="AI67" i="4" s="1"/>
  <c r="AF44" i="4"/>
  <c r="AH44" i="4"/>
  <c r="AI42" i="4"/>
  <c r="AH42" i="4"/>
  <c r="AE42" i="4"/>
  <c r="AI40" i="4"/>
  <c r="AH40" i="4"/>
  <c r="AG40" i="4"/>
  <c r="AF40" i="4"/>
  <c r="AH39" i="4"/>
  <c r="AE43" i="4"/>
  <c r="AF43" i="4"/>
  <c r="C75" i="2"/>
  <c r="C91" i="2"/>
  <c r="C73" i="2"/>
  <c r="C67" i="2"/>
  <c r="C79" i="2"/>
  <c r="C76" i="2"/>
  <c r="C72" i="2"/>
  <c r="C66" i="2"/>
  <c r="C69" i="2"/>
  <c r="C71" i="2"/>
  <c r="C78" i="2"/>
  <c r="C103" i="2"/>
  <c r="C77" i="2"/>
  <c r="C97" i="2"/>
  <c r="C47" i="2"/>
  <c r="BA10" i="4"/>
  <c r="AZ10" i="4"/>
  <c r="AY10" i="4"/>
  <c r="AG19" i="4"/>
  <c r="AI18" i="4"/>
  <c r="K65" i="4"/>
  <c r="AH20" i="4"/>
  <c r="AE17" i="4"/>
  <c r="AG16" i="4"/>
  <c r="AI20" i="4"/>
  <c r="AI16" i="4"/>
  <c r="K84" i="4"/>
  <c r="AF19" i="4"/>
  <c r="AG20" i="4"/>
  <c r="K90" i="4"/>
  <c r="K66" i="4"/>
  <c r="AF16" i="4"/>
  <c r="AH18" i="4"/>
  <c r="AG18" i="4"/>
  <c r="AF18" i="4"/>
  <c r="AE18" i="4"/>
  <c r="K63" i="4"/>
  <c r="AE16" i="4"/>
  <c r="K64" i="4"/>
  <c r="K62" i="4"/>
  <c r="AG39" i="4" l="1"/>
  <c r="AG62" i="4" s="1"/>
  <c r="AG42" i="4"/>
  <c r="AH43" i="4"/>
  <c r="AH41" i="4"/>
  <c r="AH64" i="4" s="1"/>
  <c r="AG41" i="4"/>
  <c r="AG64" i="4" s="1"/>
  <c r="AF39" i="4"/>
  <c r="AF62" i="4" s="1"/>
  <c r="AF41" i="4"/>
  <c r="AF64" i="4" s="1"/>
  <c r="Y18" i="11"/>
  <c r="AA18" i="11"/>
  <c r="Z18" i="11"/>
  <c r="AC18" i="11"/>
  <c r="AB18" i="11"/>
  <c r="AC36" i="11"/>
  <c r="Y36" i="11"/>
  <c r="AB36" i="11"/>
  <c r="Z36" i="11"/>
  <c r="AA36" i="11"/>
  <c r="Z95" i="11"/>
  <c r="Y95" i="11"/>
  <c r="AC95" i="11"/>
  <c r="AB95" i="11"/>
  <c r="AA95" i="11"/>
  <c r="AC96" i="11"/>
  <c r="Y96" i="11"/>
  <c r="Z96" i="11"/>
  <c r="AB96" i="11"/>
  <c r="AA96" i="11"/>
  <c r="AC76" i="11"/>
  <c r="Z76" i="11"/>
  <c r="Y76" i="11"/>
  <c r="AB76" i="11"/>
  <c r="AA76" i="11"/>
  <c r="AA79" i="11"/>
  <c r="AB79" i="11"/>
  <c r="Z79" i="11"/>
  <c r="Y79" i="11"/>
  <c r="AC79" i="11"/>
  <c r="Z37" i="11"/>
  <c r="Y37" i="11"/>
  <c r="AB37" i="11"/>
  <c r="AA37" i="11"/>
  <c r="AC37" i="11"/>
  <c r="Z78" i="11"/>
  <c r="AA78" i="11"/>
  <c r="AC78" i="11"/>
  <c r="Y78" i="11"/>
  <c r="AB78" i="11"/>
  <c r="Z15" i="11"/>
  <c r="AA15" i="11"/>
  <c r="AB15" i="11"/>
  <c r="AC15" i="11"/>
  <c r="Y15" i="11"/>
  <c r="AA38" i="11"/>
  <c r="Y38" i="11"/>
  <c r="Z38" i="11"/>
  <c r="AC38" i="11"/>
  <c r="AB38" i="11"/>
  <c r="Z58" i="11"/>
  <c r="Y58" i="11"/>
  <c r="AA58" i="11"/>
  <c r="AB58" i="11"/>
  <c r="AC58" i="11"/>
  <c r="Y35" i="11"/>
  <c r="Z35" i="11"/>
  <c r="AA35" i="11"/>
  <c r="AB35" i="11"/>
  <c r="AC35" i="11"/>
  <c r="Y59" i="11"/>
  <c r="AB59" i="11"/>
  <c r="Z59" i="11"/>
  <c r="AA59" i="11"/>
  <c r="AC59" i="11"/>
  <c r="AA97" i="11"/>
  <c r="Z97" i="11"/>
  <c r="AB97" i="11"/>
  <c r="AC97" i="11"/>
  <c r="Y97" i="11"/>
  <c r="AA77" i="11"/>
  <c r="Y77" i="11"/>
  <c r="AB77" i="11"/>
  <c r="AC77" i="11"/>
  <c r="Z77" i="11"/>
  <c r="Y98" i="11"/>
  <c r="AA98" i="11"/>
  <c r="Z98" i="11"/>
  <c r="AC98" i="11"/>
  <c r="AB98" i="11"/>
  <c r="Z39" i="11"/>
  <c r="AB39" i="11"/>
  <c r="Y39" i="11"/>
  <c r="AA39" i="11"/>
  <c r="AC39" i="11"/>
  <c r="AC19" i="11"/>
  <c r="Z19" i="11"/>
  <c r="AB19" i="11"/>
  <c r="Y19" i="11"/>
  <c r="AA19" i="11"/>
  <c r="Z60" i="11"/>
  <c r="AA60" i="11"/>
  <c r="AB60" i="11"/>
  <c r="AC60" i="11"/>
  <c r="Y60" i="11"/>
  <c r="AC99" i="11"/>
  <c r="AB99" i="11"/>
  <c r="Y99" i="11"/>
  <c r="AA99" i="11"/>
  <c r="Z99" i="11"/>
  <c r="AA57" i="11"/>
  <c r="Y57" i="11"/>
  <c r="AB57" i="11"/>
  <c r="AC57" i="11"/>
  <c r="Z57" i="11"/>
  <c r="Y100" i="11"/>
  <c r="Z100" i="11"/>
  <c r="AA100" i="11"/>
  <c r="AC100" i="11"/>
  <c r="AB100" i="11"/>
  <c r="AC56" i="11"/>
  <c r="Z56" i="11"/>
  <c r="Y56" i="11"/>
  <c r="AA56" i="11"/>
  <c r="AB56" i="11"/>
  <c r="Y20" i="11"/>
  <c r="Z20" i="11"/>
  <c r="AA20" i="11"/>
  <c r="AB20" i="11"/>
  <c r="AC20" i="11"/>
  <c r="Y40" i="11"/>
  <c r="AB40" i="11"/>
  <c r="Z40" i="11"/>
  <c r="AC40" i="11"/>
  <c r="AA40" i="11"/>
  <c r="Y17" i="11"/>
  <c r="AC17" i="11"/>
  <c r="AA17" i="11"/>
  <c r="AB17" i="11"/>
  <c r="Z17" i="11"/>
  <c r="Z80" i="11"/>
  <c r="AC80" i="11"/>
  <c r="AA80" i="11"/>
  <c r="AB80" i="11"/>
  <c r="Y80" i="11"/>
  <c r="Z55" i="11"/>
  <c r="AA55" i="11"/>
  <c r="AB55" i="11"/>
  <c r="AC55" i="11"/>
  <c r="Y55" i="11"/>
  <c r="AC16" i="11"/>
  <c r="AB16" i="11"/>
  <c r="Y16" i="11"/>
  <c r="Z16" i="11"/>
  <c r="AA16" i="11"/>
  <c r="AA75" i="11"/>
  <c r="AB75" i="11"/>
  <c r="AC75" i="11"/>
  <c r="Y75" i="11"/>
  <c r="Z75" i="11"/>
  <c r="AE39" i="4"/>
  <c r="AE62" i="4" s="1"/>
  <c r="AE41" i="4"/>
  <c r="AE64" i="4" s="1"/>
  <c r="AI43" i="4"/>
  <c r="AI66" i="4" s="1"/>
  <c r="AF42" i="4"/>
  <c r="AF65" i="4" s="1"/>
  <c r="AG43" i="4"/>
  <c r="AG66" i="4" s="1"/>
  <c r="AE40" i="4"/>
  <c r="AE63" i="4" s="1"/>
  <c r="AI41" i="4"/>
  <c r="AI64" i="4" s="1"/>
  <c r="AI39" i="4"/>
  <c r="AI62" i="4" s="1"/>
  <c r="C94" i="2"/>
  <c r="C90" i="2"/>
  <c r="C98" i="2"/>
  <c r="AI63" i="4"/>
  <c r="AF67" i="4"/>
  <c r="AF63" i="4"/>
  <c r="C96" i="2"/>
  <c r="AG85" i="4"/>
  <c r="AH62" i="4"/>
  <c r="AE65" i="4"/>
  <c r="AH65" i="4"/>
  <c r="AE66" i="4"/>
  <c r="AH63" i="4"/>
  <c r="C70" i="2"/>
  <c r="C126" i="2"/>
  <c r="C92" i="2"/>
  <c r="C99" i="2"/>
  <c r="AF66" i="4"/>
  <c r="AI90" i="4"/>
  <c r="AI113" i="4" s="1"/>
  <c r="C100" i="2"/>
  <c r="C95" i="2"/>
  <c r="AH67" i="4"/>
  <c r="C89" i="2"/>
  <c r="C102" i="2"/>
  <c r="C114" i="2"/>
  <c r="AG63" i="4"/>
  <c r="AG86" i="4" s="1"/>
  <c r="AG65" i="4"/>
  <c r="AI65" i="4"/>
  <c r="AG67" i="4"/>
  <c r="C120" i="2"/>
  <c r="C101" i="2"/>
  <c r="AH66" i="4"/>
  <c r="AE67" i="4"/>
  <c r="AY11" i="4"/>
  <c r="AZ11" i="4"/>
  <c r="BA11" i="4"/>
  <c r="BA12" i="4" s="1"/>
  <c r="BB11" i="4"/>
  <c r="BB12" i="4" s="1"/>
  <c r="BC11" i="4"/>
  <c r="BC12" i="4" s="1"/>
  <c r="K87" i="4"/>
  <c r="K88" i="4"/>
  <c r="K89" i="4"/>
  <c r="K85" i="4"/>
  <c r="K86" i="4"/>
  <c r="K113" i="4"/>
  <c r="K107" i="4"/>
  <c r="C122" i="2" l="1"/>
  <c r="AG109" i="4"/>
  <c r="AF88" i="4"/>
  <c r="C112" i="2"/>
  <c r="AF89" i="4"/>
  <c r="AI89" i="4"/>
  <c r="C124" i="2"/>
  <c r="C115" i="2"/>
  <c r="AI86" i="4"/>
  <c r="C113" i="2"/>
  <c r="C93" i="2"/>
  <c r="AH89" i="4"/>
  <c r="AG90" i="4"/>
  <c r="AG87" i="4"/>
  <c r="C118" i="2"/>
  <c r="AH88" i="4"/>
  <c r="AH85" i="4"/>
  <c r="C119" i="2"/>
  <c r="AI88" i="4"/>
  <c r="AF85" i="4"/>
  <c r="AF87" i="4"/>
  <c r="AH90" i="4"/>
  <c r="C123" i="2"/>
  <c r="AH86" i="4"/>
  <c r="AE88" i="4"/>
  <c r="AG108" i="4"/>
  <c r="AF86" i="4"/>
  <c r="AE86" i="4"/>
  <c r="AG89" i="4"/>
  <c r="C117" i="2"/>
  <c r="AE90" i="4"/>
  <c r="AG88" i="4"/>
  <c r="AE85" i="4"/>
  <c r="C125" i="2"/>
  <c r="AH87" i="4"/>
  <c r="AE89" i="4"/>
  <c r="AE87" i="4"/>
  <c r="AI87" i="4"/>
  <c r="C121" i="2"/>
  <c r="AF90" i="4"/>
  <c r="AI85" i="4"/>
  <c r="BC13" i="4"/>
  <c r="AZ12" i="4"/>
  <c r="AY12" i="4"/>
  <c r="K109" i="4"/>
  <c r="K111" i="4"/>
  <c r="K110" i="4"/>
  <c r="K112" i="4"/>
  <c r="K108" i="4"/>
  <c r="AE112" i="4" l="1"/>
  <c r="AE113" i="4"/>
  <c r="AF109" i="4"/>
  <c r="AH109" i="4"/>
  <c r="AH111" i="4"/>
  <c r="AG113" i="4"/>
  <c r="AI108" i="4"/>
  <c r="AE108" i="4"/>
  <c r="AF110" i="4"/>
  <c r="AH112" i="4"/>
  <c r="AF113" i="4"/>
  <c r="AE109" i="4"/>
  <c r="AF108" i="4"/>
  <c r="C116" i="2"/>
  <c r="AI112" i="4"/>
  <c r="AI109" i="4"/>
  <c r="AE110" i="4"/>
  <c r="AH110" i="4"/>
  <c r="AG111" i="4"/>
  <c r="AG112" i="4"/>
  <c r="AE111" i="4"/>
  <c r="AH113" i="4"/>
  <c r="AH108" i="4"/>
  <c r="AG110" i="4"/>
  <c r="AI110" i="4"/>
  <c r="AI111" i="4"/>
  <c r="AF112" i="4"/>
  <c r="AF111" i="4"/>
  <c r="BB13" i="4"/>
  <c r="BA13" i="4"/>
  <c r="BA14" i="4" s="1"/>
  <c r="AY13" i="4"/>
  <c r="AZ13" i="4"/>
  <c r="BC14" i="4" l="1"/>
  <c r="AY14" i="4"/>
  <c r="AZ14" i="4"/>
  <c r="BB14" i="4"/>
  <c r="BB15" i="4" l="1"/>
  <c r="AZ15" i="4"/>
  <c r="AY15" i="4"/>
  <c r="BA15" i="4"/>
  <c r="BC15" i="4"/>
  <c r="AZ16" i="4" l="1"/>
  <c r="BB16" i="4"/>
  <c r="BC16" i="4"/>
  <c r="BA16" i="4"/>
  <c r="AY16" i="4"/>
  <c r="BB17" i="4" l="1"/>
  <c r="AZ17" i="4"/>
  <c r="BA17" i="4"/>
  <c r="AY17" i="4"/>
  <c r="BC17" i="4"/>
  <c r="AZ18" i="4" l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AZ45" i="4" s="1"/>
  <c r="AZ46" i="4" s="1"/>
  <c r="AZ47" i="4" s="1"/>
  <c r="AZ48" i="4" s="1"/>
  <c r="AZ49" i="4" s="1"/>
  <c r="AZ50" i="4" s="1"/>
  <c r="AZ51" i="4" s="1"/>
  <c r="AZ52" i="4" s="1"/>
  <c r="AZ53" i="4" s="1"/>
  <c r="AZ54" i="4" s="1"/>
  <c r="AZ55" i="4" s="1"/>
  <c r="AZ56" i="4" s="1"/>
  <c r="BB18" i="4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BB35" i="4" s="1"/>
  <c r="BB36" i="4" s="1"/>
  <c r="BB37" i="4" s="1"/>
  <c r="BB38" i="4" s="1"/>
  <c r="BB39" i="4" s="1"/>
  <c r="BB40" i="4" s="1"/>
  <c r="BB41" i="4" s="1"/>
  <c r="BB42" i="4" s="1"/>
  <c r="BB43" i="4" s="1"/>
  <c r="BB44" i="4" s="1"/>
  <c r="BB45" i="4" s="1"/>
  <c r="BB46" i="4" s="1"/>
  <c r="BB47" i="4" s="1"/>
  <c r="BB48" i="4" s="1"/>
  <c r="BB49" i="4" s="1"/>
  <c r="BB50" i="4" s="1"/>
  <c r="BB51" i="4" s="1"/>
  <c r="BB52" i="4" s="1"/>
  <c r="BB53" i="4" s="1"/>
  <c r="BB54" i="4" s="1"/>
  <c r="BB55" i="4" s="1"/>
  <c r="BB56" i="4" s="1"/>
  <c r="AY18" i="4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Y45" i="4" s="1"/>
  <c r="AY46" i="4" s="1"/>
  <c r="AY47" i="4" s="1"/>
  <c r="AY48" i="4" s="1"/>
  <c r="AY49" i="4" s="1"/>
  <c r="AY50" i="4" s="1"/>
  <c r="AY51" i="4" s="1"/>
  <c r="AY52" i="4" s="1"/>
  <c r="AY53" i="4" s="1"/>
  <c r="AY54" i="4" s="1"/>
  <c r="AY55" i="4" s="1"/>
  <c r="AY56" i="4" s="1"/>
  <c r="BC18" i="4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BC35" i="4" s="1"/>
  <c r="BC36" i="4" s="1"/>
  <c r="BC37" i="4" s="1"/>
  <c r="BC38" i="4" s="1"/>
  <c r="BC39" i="4" s="1"/>
  <c r="BC40" i="4" s="1"/>
  <c r="BC41" i="4" s="1"/>
  <c r="BC42" i="4" s="1"/>
  <c r="BC43" i="4" s="1"/>
  <c r="BC44" i="4" s="1"/>
  <c r="BC45" i="4" s="1"/>
  <c r="BC46" i="4" s="1"/>
  <c r="BC47" i="4" s="1"/>
  <c r="BC48" i="4" s="1"/>
  <c r="BC49" i="4" s="1"/>
  <c r="BC50" i="4" s="1"/>
  <c r="BC51" i="4" s="1"/>
  <c r="BC52" i="4" s="1"/>
  <c r="BC53" i="4" s="1"/>
  <c r="BC54" i="4" s="1"/>
  <c r="BC55" i="4" s="1"/>
  <c r="BC56" i="4" s="1"/>
  <c r="BA18" i="4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52" i="4" s="1"/>
  <c r="BA53" i="4" s="1"/>
  <c r="BA54" i="4" s="1"/>
  <c r="BA55" i="4" s="1"/>
  <c r="BA56" i="4" s="1"/>
  <c r="V12" i="6" l="1"/>
  <c r="T8" i="6" l="1"/>
  <c r="S8" i="6"/>
  <c r="R8" i="6"/>
  <c r="P8" i="6"/>
  <c r="Q7" i="6"/>
  <c r="R7" i="6"/>
  <c r="S7" i="6"/>
  <c r="T7" i="6"/>
  <c r="P7" i="6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3" i="1"/>
  <c r="V11" i="6" l="1"/>
  <c r="V7" i="6"/>
  <c r="V8" i="6"/>
  <c r="V10" i="6"/>
  <c r="Z30" i="4" l="1"/>
  <c r="Z53" i="4" s="1"/>
  <c r="Z76" i="4" s="1"/>
  <c r="Z99" i="4" s="1"/>
  <c r="AB30" i="4"/>
  <c r="AB53" i="4" s="1"/>
  <c r="AB76" i="4" s="1"/>
  <c r="AB99" i="4" s="1"/>
  <c r="AC30" i="4"/>
  <c r="AC53" i="4" s="1"/>
  <c r="AC76" i="4" s="1"/>
  <c r="AC99" i="4" s="1"/>
  <c r="AD30" i="4"/>
  <c r="AD53" i="4" s="1"/>
  <c r="AD76" i="4" s="1"/>
  <c r="AD99" i="4" s="1"/>
  <c r="Z31" i="4"/>
  <c r="Z54" i="4" s="1"/>
  <c r="Z77" i="4" s="1"/>
  <c r="Z100" i="4" s="1"/>
  <c r="AB31" i="4"/>
  <c r="AB54" i="4" s="1"/>
  <c r="AB77" i="4" s="1"/>
  <c r="AB100" i="4" s="1"/>
  <c r="AC31" i="4"/>
  <c r="AC54" i="4" s="1"/>
  <c r="AC77" i="4" s="1"/>
  <c r="AC100" i="4" s="1"/>
  <c r="AD31" i="4"/>
  <c r="AD54" i="4" s="1"/>
  <c r="AD77" i="4" s="1"/>
  <c r="AD100" i="4" s="1"/>
  <c r="Z32" i="4"/>
  <c r="Z55" i="4" s="1"/>
  <c r="Z78" i="4" s="1"/>
  <c r="Z101" i="4" s="1"/>
  <c r="AC32" i="4"/>
  <c r="AC55" i="4" s="1"/>
  <c r="AC78" i="4" s="1"/>
  <c r="AC101" i="4" s="1"/>
  <c r="AD32" i="4"/>
  <c r="AD55" i="4" s="1"/>
  <c r="AD78" i="4" s="1"/>
  <c r="AD101" i="4" s="1"/>
  <c r="Z33" i="4"/>
  <c r="Z56" i="4" s="1"/>
  <c r="Z79" i="4" s="1"/>
  <c r="Z102" i="4" s="1"/>
  <c r="AC33" i="4"/>
  <c r="AC56" i="4" s="1"/>
  <c r="AC79" i="4" s="1"/>
  <c r="AC102" i="4" s="1"/>
  <c r="AD33" i="4"/>
  <c r="AD56" i="4" s="1"/>
  <c r="AD79" i="4" s="1"/>
  <c r="AD102" i="4" s="1"/>
  <c r="Z34" i="4"/>
  <c r="Z57" i="4" s="1"/>
  <c r="Z80" i="4" s="1"/>
  <c r="Z103" i="4" s="1"/>
  <c r="AC34" i="4"/>
  <c r="AC57" i="4" s="1"/>
  <c r="AC80" i="4" s="1"/>
  <c r="AC103" i="4" s="1"/>
  <c r="AD34" i="4"/>
  <c r="AD57" i="4" s="1"/>
  <c r="AD80" i="4" s="1"/>
  <c r="AD103" i="4" s="1"/>
  <c r="Z35" i="4"/>
  <c r="Z58" i="4" s="1"/>
  <c r="Z81" i="4" s="1"/>
  <c r="Z104" i="4" s="1"/>
  <c r="AD35" i="4"/>
  <c r="AD58" i="4" s="1"/>
  <c r="AD81" i="4" s="1"/>
  <c r="AD104" i="4" s="1"/>
  <c r="Z36" i="4"/>
  <c r="Z59" i="4" s="1"/>
  <c r="Z82" i="4" s="1"/>
  <c r="Z105" i="4" s="1"/>
  <c r="AD36" i="4"/>
  <c r="AD59" i="4" s="1"/>
  <c r="AD82" i="4" s="1"/>
  <c r="AD105" i="4" s="1"/>
  <c r="Z37" i="4"/>
  <c r="Z60" i="4" s="1"/>
  <c r="Z83" i="4" s="1"/>
  <c r="Z106" i="4" s="1"/>
  <c r="AD37" i="4"/>
  <c r="AD60" i="4" s="1"/>
  <c r="AD83" i="4" s="1"/>
  <c r="AD106" i="4" s="1"/>
  <c r="Z38" i="4"/>
  <c r="Z61" i="4" s="1"/>
  <c r="Z84" i="4" s="1"/>
  <c r="Z107" i="4" s="1"/>
  <c r="AD38" i="4"/>
  <c r="AD61" i="4" s="1"/>
  <c r="AD84" i="4" s="1"/>
  <c r="AD107" i="4" s="1"/>
  <c r="AB29" i="4"/>
  <c r="AB52" i="4" s="1"/>
  <c r="AB75" i="4" s="1"/>
  <c r="AB98" i="4" s="1"/>
  <c r="AC29" i="4"/>
  <c r="AC52" i="4" s="1"/>
  <c r="AC75" i="4" s="1"/>
  <c r="AC98" i="4" s="1"/>
  <c r="AD29" i="4"/>
  <c r="AD52" i="4" s="1"/>
  <c r="AD75" i="4" s="1"/>
  <c r="AD98" i="4" s="1"/>
  <c r="Z29" i="4"/>
  <c r="Z52" i="4" s="1"/>
  <c r="Z75" i="4" s="1"/>
  <c r="Z98" i="4" s="1"/>
  <c r="P29" i="4"/>
  <c r="P52" i="4" s="1"/>
  <c r="P75" i="4" s="1"/>
  <c r="P98" i="4" s="1"/>
  <c r="Q29" i="4"/>
  <c r="Q52" i="4" s="1"/>
  <c r="Q75" i="4" s="1"/>
  <c r="Q98" i="4" s="1"/>
  <c r="R29" i="4"/>
  <c r="R52" i="4" s="1"/>
  <c r="R75" i="4" s="1"/>
  <c r="R98" i="4" s="1"/>
  <c r="S29" i="4"/>
  <c r="S52" i="4" s="1"/>
  <c r="S75" i="4" s="1"/>
  <c r="S98" i="4" s="1"/>
  <c r="O29" i="4"/>
  <c r="O52" i="4" s="1"/>
  <c r="O75" i="4" s="1"/>
  <c r="O98" i="4" s="1"/>
  <c r="P7" i="4"/>
  <c r="P8" i="4" s="1"/>
  <c r="Q7" i="4"/>
  <c r="Q30" i="4" s="1"/>
  <c r="Q53" i="4" s="1"/>
  <c r="Q76" i="4" s="1"/>
  <c r="Q99" i="4" s="1"/>
  <c r="R7" i="4"/>
  <c r="R30" i="4" s="1"/>
  <c r="R53" i="4" s="1"/>
  <c r="R76" i="4" s="1"/>
  <c r="R99" i="4" s="1"/>
  <c r="S7" i="4"/>
  <c r="S30" i="4" s="1"/>
  <c r="S53" i="4" s="1"/>
  <c r="S76" i="4" s="1"/>
  <c r="S99" i="4" s="1"/>
  <c r="O7" i="4"/>
  <c r="O8" i="4" s="1"/>
  <c r="C19" i="2"/>
  <c r="F23" i="2"/>
  <c r="F27" i="2"/>
  <c r="F28" i="2"/>
  <c r="F25" i="2"/>
  <c r="F22" i="2"/>
  <c r="F26" i="2"/>
  <c r="F24" i="2"/>
  <c r="C42" i="2" l="1"/>
  <c r="P30" i="4"/>
  <c r="P53" i="4" s="1"/>
  <c r="P76" i="4" s="1"/>
  <c r="P99" i="4" s="1"/>
  <c r="P9" i="4"/>
  <c r="P31" i="4"/>
  <c r="P54" i="4" s="1"/>
  <c r="P77" i="4" s="1"/>
  <c r="P100" i="4" s="1"/>
  <c r="S8" i="4"/>
  <c r="R8" i="4"/>
  <c r="Q8" i="4"/>
  <c r="O31" i="4"/>
  <c r="O54" i="4" s="1"/>
  <c r="O77" i="4" s="1"/>
  <c r="O100" i="4" s="1"/>
  <c r="O9" i="4"/>
  <c r="O30" i="4"/>
  <c r="O53" i="4" s="1"/>
  <c r="O76" i="4" s="1"/>
  <c r="O99" i="4" s="1"/>
  <c r="D5" i="4"/>
  <c r="E5" i="4"/>
  <c r="F5" i="4"/>
  <c r="G5" i="4"/>
  <c r="C5" i="4"/>
  <c r="C65" i="2" l="1"/>
  <c r="Q31" i="4"/>
  <c r="Q54" i="4" s="1"/>
  <c r="Q77" i="4" s="1"/>
  <c r="Q100" i="4" s="1"/>
  <c r="Q9" i="4"/>
  <c r="R31" i="4"/>
  <c r="R54" i="4" s="1"/>
  <c r="R77" i="4" s="1"/>
  <c r="R100" i="4" s="1"/>
  <c r="R9" i="4"/>
  <c r="S31" i="4"/>
  <c r="S54" i="4" s="1"/>
  <c r="S77" i="4" s="1"/>
  <c r="S100" i="4" s="1"/>
  <c r="S9" i="4"/>
  <c r="P10" i="4"/>
  <c r="P32" i="4"/>
  <c r="P55" i="4" s="1"/>
  <c r="P78" i="4" s="1"/>
  <c r="P101" i="4" s="1"/>
  <c r="O10" i="4"/>
  <c r="O32" i="4"/>
  <c r="O55" i="4" s="1"/>
  <c r="O78" i="4" s="1"/>
  <c r="O101" i="4" s="1"/>
  <c r="C88" i="2" l="1"/>
  <c r="P11" i="4"/>
  <c r="P33" i="4"/>
  <c r="P56" i="4" s="1"/>
  <c r="P79" i="4" s="1"/>
  <c r="P102" i="4" s="1"/>
  <c r="S10" i="4"/>
  <c r="S32" i="4"/>
  <c r="S55" i="4" s="1"/>
  <c r="S78" i="4" s="1"/>
  <c r="S101" i="4" s="1"/>
  <c r="R10" i="4"/>
  <c r="R32" i="4"/>
  <c r="R55" i="4" s="1"/>
  <c r="R78" i="4" s="1"/>
  <c r="R101" i="4" s="1"/>
  <c r="Q10" i="4"/>
  <c r="Q32" i="4"/>
  <c r="Q55" i="4" s="1"/>
  <c r="Q78" i="4" s="1"/>
  <c r="Q101" i="4" s="1"/>
  <c r="O11" i="4"/>
  <c r="O33" i="4"/>
  <c r="O56" i="4" s="1"/>
  <c r="O79" i="4" s="1"/>
  <c r="O102" i="4" s="1"/>
  <c r="C111" i="2" l="1"/>
  <c r="P12" i="4"/>
  <c r="P34" i="4"/>
  <c r="P57" i="4" s="1"/>
  <c r="P80" i="4" s="1"/>
  <c r="P103" i="4" s="1"/>
  <c r="Q11" i="4"/>
  <c r="Q33" i="4"/>
  <c r="Q56" i="4" s="1"/>
  <c r="Q79" i="4" s="1"/>
  <c r="Q102" i="4" s="1"/>
  <c r="R11" i="4"/>
  <c r="R33" i="4"/>
  <c r="R56" i="4" s="1"/>
  <c r="R79" i="4" s="1"/>
  <c r="R102" i="4" s="1"/>
  <c r="S11" i="4"/>
  <c r="S33" i="4"/>
  <c r="S56" i="4" s="1"/>
  <c r="S79" i="4" s="1"/>
  <c r="S102" i="4" s="1"/>
  <c r="O12" i="4"/>
  <c r="O34" i="4"/>
  <c r="O57" i="4" s="1"/>
  <c r="O80" i="4" s="1"/>
  <c r="O103" i="4" s="1"/>
  <c r="AO5" i="1"/>
  <c r="AP5" i="1"/>
  <c r="AQ5" i="1"/>
  <c r="AR5" i="1"/>
  <c r="AS5" i="1"/>
  <c r="AO6" i="1"/>
  <c r="AP6" i="1"/>
  <c r="AQ6" i="1"/>
  <c r="AR6" i="1"/>
  <c r="AS6" i="1"/>
  <c r="AO7" i="1"/>
  <c r="AP7" i="1"/>
  <c r="AQ7" i="1"/>
  <c r="AR7" i="1"/>
  <c r="AS7" i="1"/>
  <c r="AO8" i="1"/>
  <c r="AP8" i="1"/>
  <c r="AQ8" i="1"/>
  <c r="AR8" i="1"/>
  <c r="AS8" i="1"/>
  <c r="AO9" i="1"/>
  <c r="AP9" i="1"/>
  <c r="AQ9" i="1"/>
  <c r="AR9" i="1"/>
  <c r="AS9" i="1"/>
  <c r="AO10" i="1"/>
  <c r="AP10" i="1"/>
  <c r="AQ10" i="1"/>
  <c r="AR10" i="1"/>
  <c r="AS10" i="1"/>
  <c r="AO11" i="1"/>
  <c r="AP11" i="1"/>
  <c r="AQ11" i="1"/>
  <c r="AR11" i="1"/>
  <c r="AS11" i="1"/>
  <c r="AO12" i="1"/>
  <c r="AP12" i="1"/>
  <c r="AQ12" i="1"/>
  <c r="AR12" i="1"/>
  <c r="AS12" i="1"/>
  <c r="AO13" i="1"/>
  <c r="AP13" i="1"/>
  <c r="AQ13" i="1"/>
  <c r="AR13" i="1"/>
  <c r="AS13" i="1"/>
  <c r="AO14" i="1"/>
  <c r="AP14" i="1"/>
  <c r="AQ14" i="1"/>
  <c r="AR14" i="1"/>
  <c r="AS14" i="1"/>
  <c r="AO15" i="1"/>
  <c r="AP15" i="1"/>
  <c r="AQ15" i="1"/>
  <c r="AR15" i="1"/>
  <c r="AS15" i="1"/>
  <c r="AO16" i="1"/>
  <c r="AP16" i="1"/>
  <c r="AQ16" i="1"/>
  <c r="AR16" i="1"/>
  <c r="AS16" i="1"/>
  <c r="AO17" i="1"/>
  <c r="AP17" i="1"/>
  <c r="AQ17" i="1"/>
  <c r="AR17" i="1"/>
  <c r="AS17" i="1"/>
  <c r="AO18" i="1"/>
  <c r="AP18" i="1"/>
  <c r="AQ18" i="1"/>
  <c r="AR18" i="1"/>
  <c r="AS18" i="1"/>
  <c r="AO19" i="1"/>
  <c r="AP19" i="1"/>
  <c r="AQ19" i="1"/>
  <c r="AR19" i="1"/>
  <c r="AS19" i="1"/>
  <c r="AO20" i="1"/>
  <c r="AP20" i="1"/>
  <c r="AQ20" i="1"/>
  <c r="AR20" i="1"/>
  <c r="AS20" i="1"/>
  <c r="AO21" i="1"/>
  <c r="AP21" i="1"/>
  <c r="AQ21" i="1"/>
  <c r="AR21" i="1"/>
  <c r="AS21" i="1"/>
  <c r="AO22" i="1"/>
  <c r="AP22" i="1"/>
  <c r="AQ22" i="1"/>
  <c r="AR22" i="1"/>
  <c r="AS22" i="1"/>
  <c r="AO23" i="1"/>
  <c r="AP23" i="1"/>
  <c r="AQ23" i="1"/>
  <c r="AR23" i="1"/>
  <c r="AS23" i="1"/>
  <c r="AO24" i="1"/>
  <c r="AP24" i="1"/>
  <c r="AQ24" i="1"/>
  <c r="AR24" i="1"/>
  <c r="AS24" i="1"/>
  <c r="AO25" i="1"/>
  <c r="AP25" i="1"/>
  <c r="AQ25" i="1"/>
  <c r="AR25" i="1"/>
  <c r="AS25" i="1"/>
  <c r="AO26" i="1"/>
  <c r="AP26" i="1"/>
  <c r="AQ26" i="1"/>
  <c r="AR26" i="1"/>
  <c r="AS26" i="1"/>
  <c r="AO27" i="1"/>
  <c r="AP27" i="1"/>
  <c r="AQ27" i="1"/>
  <c r="AR27" i="1"/>
  <c r="AS27" i="1"/>
  <c r="AO28" i="1"/>
  <c r="AP28" i="1"/>
  <c r="AQ28" i="1"/>
  <c r="AR28" i="1"/>
  <c r="AS28" i="1"/>
  <c r="AO29" i="1"/>
  <c r="AP29" i="1"/>
  <c r="AQ29" i="1"/>
  <c r="AR29" i="1"/>
  <c r="AS29" i="1"/>
  <c r="AO30" i="1"/>
  <c r="AP30" i="1"/>
  <c r="AQ30" i="1"/>
  <c r="AR30" i="1"/>
  <c r="AS30" i="1"/>
  <c r="AO31" i="1"/>
  <c r="AP31" i="1"/>
  <c r="AQ31" i="1"/>
  <c r="AR31" i="1"/>
  <c r="AS31" i="1"/>
  <c r="AO32" i="1"/>
  <c r="AP32" i="1"/>
  <c r="AQ32" i="1"/>
  <c r="AR32" i="1"/>
  <c r="AS32" i="1"/>
  <c r="AO33" i="1"/>
  <c r="AP33" i="1"/>
  <c r="AQ33" i="1"/>
  <c r="AR33" i="1"/>
  <c r="AS33" i="1"/>
  <c r="AO34" i="1"/>
  <c r="AP34" i="1"/>
  <c r="AQ34" i="1"/>
  <c r="AR34" i="1"/>
  <c r="AS34" i="1"/>
  <c r="AO35" i="1"/>
  <c r="AP35" i="1"/>
  <c r="AQ35" i="1"/>
  <c r="AR35" i="1"/>
  <c r="AS35" i="1"/>
  <c r="AO36" i="1"/>
  <c r="AP36" i="1"/>
  <c r="AQ36" i="1"/>
  <c r="AR36" i="1"/>
  <c r="AS36" i="1"/>
  <c r="AO37" i="1"/>
  <c r="AP37" i="1"/>
  <c r="AQ37" i="1"/>
  <c r="AR37" i="1"/>
  <c r="AS37" i="1"/>
  <c r="AO38" i="1"/>
  <c r="AP38" i="1"/>
  <c r="AQ38" i="1"/>
  <c r="AR38" i="1"/>
  <c r="AS38" i="1"/>
  <c r="AO39" i="1"/>
  <c r="AP39" i="1"/>
  <c r="AQ39" i="1"/>
  <c r="AR39" i="1"/>
  <c r="AS39" i="1"/>
  <c r="AO40" i="1"/>
  <c r="AP40" i="1"/>
  <c r="AQ40" i="1"/>
  <c r="AR40" i="1"/>
  <c r="AS40" i="1"/>
  <c r="AO41" i="1"/>
  <c r="AP41" i="1"/>
  <c r="AQ41" i="1"/>
  <c r="AR41" i="1"/>
  <c r="AS41" i="1"/>
  <c r="AO42" i="1"/>
  <c r="AP42" i="1"/>
  <c r="AQ42" i="1"/>
  <c r="AR42" i="1"/>
  <c r="AS42" i="1"/>
  <c r="AO43" i="1"/>
  <c r="AP43" i="1"/>
  <c r="AQ43" i="1"/>
  <c r="AR43" i="1"/>
  <c r="AS43" i="1"/>
  <c r="AO44" i="1"/>
  <c r="AP44" i="1"/>
  <c r="AQ44" i="1"/>
  <c r="AR44" i="1"/>
  <c r="AS44" i="1"/>
  <c r="AO45" i="1"/>
  <c r="AP45" i="1"/>
  <c r="AQ45" i="1"/>
  <c r="AR45" i="1"/>
  <c r="AS45" i="1"/>
  <c r="AO46" i="1"/>
  <c r="AP46" i="1"/>
  <c r="AQ46" i="1"/>
  <c r="AR46" i="1"/>
  <c r="AS46" i="1"/>
  <c r="AO47" i="1"/>
  <c r="AP47" i="1"/>
  <c r="AQ47" i="1"/>
  <c r="AR47" i="1"/>
  <c r="AS47" i="1"/>
  <c r="AO48" i="1"/>
  <c r="AP48" i="1"/>
  <c r="AQ48" i="1"/>
  <c r="AR48" i="1"/>
  <c r="AS48" i="1"/>
  <c r="AO49" i="1"/>
  <c r="AP49" i="1"/>
  <c r="AQ49" i="1"/>
  <c r="AR49" i="1"/>
  <c r="AS49" i="1"/>
  <c r="AO50" i="1"/>
  <c r="AP50" i="1"/>
  <c r="AQ50" i="1"/>
  <c r="AR50" i="1"/>
  <c r="AS50" i="1"/>
  <c r="AO51" i="1"/>
  <c r="AP51" i="1"/>
  <c r="AQ51" i="1"/>
  <c r="AR51" i="1"/>
  <c r="AS51" i="1"/>
  <c r="AO52" i="1"/>
  <c r="AP52" i="1"/>
  <c r="AQ52" i="1"/>
  <c r="AR52" i="1"/>
  <c r="AS52" i="1"/>
  <c r="AO53" i="1"/>
  <c r="AP53" i="1"/>
  <c r="AQ53" i="1"/>
  <c r="AR53" i="1"/>
  <c r="AS53" i="1"/>
  <c r="AO54" i="1"/>
  <c r="AP54" i="1"/>
  <c r="AQ54" i="1"/>
  <c r="AR54" i="1"/>
  <c r="AS54" i="1"/>
  <c r="AO55" i="1"/>
  <c r="AP55" i="1"/>
  <c r="AQ55" i="1"/>
  <c r="AR55" i="1"/>
  <c r="AS55" i="1"/>
  <c r="AO56" i="1"/>
  <c r="AP56" i="1"/>
  <c r="AQ56" i="1"/>
  <c r="AR56" i="1"/>
  <c r="AS56" i="1"/>
  <c r="AO57" i="1"/>
  <c r="AP57" i="1"/>
  <c r="AQ57" i="1"/>
  <c r="AR57" i="1"/>
  <c r="AS57" i="1"/>
  <c r="AO58" i="1"/>
  <c r="AP58" i="1"/>
  <c r="AQ58" i="1"/>
  <c r="AR58" i="1"/>
  <c r="AS58" i="1"/>
  <c r="AO59" i="1"/>
  <c r="AP59" i="1"/>
  <c r="AQ59" i="1"/>
  <c r="AR59" i="1"/>
  <c r="AS59" i="1"/>
  <c r="AO60" i="1"/>
  <c r="AP60" i="1"/>
  <c r="AQ60" i="1"/>
  <c r="AR60" i="1"/>
  <c r="AS60" i="1"/>
  <c r="AO61" i="1"/>
  <c r="AP61" i="1"/>
  <c r="AQ61" i="1"/>
  <c r="AR61" i="1"/>
  <c r="AS61" i="1"/>
  <c r="AO62" i="1"/>
  <c r="AP62" i="1"/>
  <c r="AQ62" i="1"/>
  <c r="AR62" i="1"/>
  <c r="AS62" i="1"/>
  <c r="AO63" i="1"/>
  <c r="AP63" i="1"/>
  <c r="AQ63" i="1"/>
  <c r="AR63" i="1"/>
  <c r="AS63" i="1"/>
  <c r="AO64" i="1"/>
  <c r="AP64" i="1"/>
  <c r="AQ64" i="1"/>
  <c r="AR64" i="1"/>
  <c r="AS64" i="1"/>
  <c r="AO65" i="1"/>
  <c r="AP65" i="1"/>
  <c r="AQ65" i="1"/>
  <c r="AR65" i="1"/>
  <c r="AS65" i="1"/>
  <c r="AO66" i="1"/>
  <c r="AP66" i="1"/>
  <c r="AQ66" i="1"/>
  <c r="AR66" i="1"/>
  <c r="AS66" i="1"/>
  <c r="AO67" i="1"/>
  <c r="AP67" i="1"/>
  <c r="AQ67" i="1"/>
  <c r="AR67" i="1"/>
  <c r="AS67" i="1"/>
  <c r="AO68" i="1"/>
  <c r="AP68" i="1"/>
  <c r="AQ68" i="1"/>
  <c r="AR68" i="1"/>
  <c r="AS68" i="1"/>
  <c r="AO69" i="1"/>
  <c r="AP69" i="1"/>
  <c r="AQ69" i="1"/>
  <c r="AR69" i="1"/>
  <c r="AS69" i="1"/>
  <c r="AO70" i="1"/>
  <c r="AP70" i="1"/>
  <c r="AQ70" i="1"/>
  <c r="AR70" i="1"/>
  <c r="AS70" i="1"/>
  <c r="AO71" i="1"/>
  <c r="AP71" i="1"/>
  <c r="AQ71" i="1"/>
  <c r="AR71" i="1"/>
  <c r="AS71" i="1"/>
  <c r="AO72" i="1"/>
  <c r="AP72" i="1"/>
  <c r="AQ72" i="1"/>
  <c r="AR72" i="1"/>
  <c r="AS72" i="1"/>
  <c r="AO73" i="1"/>
  <c r="AP73" i="1"/>
  <c r="AQ73" i="1"/>
  <c r="AR73" i="1"/>
  <c r="AS73" i="1"/>
  <c r="AO74" i="1"/>
  <c r="AP74" i="1"/>
  <c r="AQ74" i="1"/>
  <c r="AR74" i="1"/>
  <c r="AS74" i="1"/>
  <c r="AO75" i="1"/>
  <c r="AP75" i="1"/>
  <c r="AQ75" i="1"/>
  <c r="AR75" i="1"/>
  <c r="AS75" i="1"/>
  <c r="AO76" i="1"/>
  <c r="AP76" i="1"/>
  <c r="AQ76" i="1"/>
  <c r="AR76" i="1"/>
  <c r="AS76" i="1"/>
  <c r="AO77" i="1"/>
  <c r="AP77" i="1"/>
  <c r="AQ77" i="1"/>
  <c r="AR77" i="1"/>
  <c r="AS77" i="1"/>
  <c r="AO78" i="1"/>
  <c r="AP78" i="1"/>
  <c r="AQ78" i="1"/>
  <c r="AR78" i="1"/>
  <c r="AS78" i="1"/>
  <c r="AO79" i="1"/>
  <c r="AP79" i="1"/>
  <c r="AQ79" i="1"/>
  <c r="AR79" i="1"/>
  <c r="AS79" i="1"/>
  <c r="AO80" i="1"/>
  <c r="AP80" i="1"/>
  <c r="AQ80" i="1"/>
  <c r="AR80" i="1"/>
  <c r="AS80" i="1"/>
  <c r="AO81" i="1"/>
  <c r="AP81" i="1"/>
  <c r="AQ81" i="1"/>
  <c r="AR81" i="1"/>
  <c r="AS81" i="1"/>
  <c r="AO82" i="1"/>
  <c r="AP82" i="1"/>
  <c r="AQ82" i="1"/>
  <c r="AR82" i="1"/>
  <c r="AS82" i="1"/>
  <c r="AO83" i="1"/>
  <c r="AP83" i="1"/>
  <c r="AQ83" i="1"/>
  <c r="AR83" i="1"/>
  <c r="AS83" i="1"/>
  <c r="AO84" i="1"/>
  <c r="AP84" i="1"/>
  <c r="AQ84" i="1"/>
  <c r="AR84" i="1"/>
  <c r="AS84" i="1"/>
  <c r="AO85" i="1"/>
  <c r="AP85" i="1"/>
  <c r="AQ85" i="1"/>
  <c r="AR85" i="1"/>
  <c r="AS85" i="1"/>
  <c r="AO86" i="1"/>
  <c r="AP86" i="1"/>
  <c r="AQ86" i="1"/>
  <c r="AR86" i="1"/>
  <c r="AS86" i="1"/>
  <c r="AO87" i="1"/>
  <c r="AP87" i="1"/>
  <c r="AQ87" i="1"/>
  <c r="AR87" i="1"/>
  <c r="AS87" i="1"/>
  <c r="AO88" i="1"/>
  <c r="AP88" i="1"/>
  <c r="AQ88" i="1"/>
  <c r="AR88" i="1"/>
  <c r="AS88" i="1"/>
  <c r="AO89" i="1"/>
  <c r="AP89" i="1"/>
  <c r="AQ89" i="1"/>
  <c r="AR89" i="1"/>
  <c r="AS89" i="1"/>
  <c r="AO90" i="1"/>
  <c r="AP90" i="1"/>
  <c r="AQ90" i="1"/>
  <c r="AR90" i="1"/>
  <c r="AS90" i="1"/>
  <c r="AO91" i="1"/>
  <c r="AP91" i="1"/>
  <c r="AQ91" i="1"/>
  <c r="AR91" i="1"/>
  <c r="AS91" i="1"/>
  <c r="AO92" i="1"/>
  <c r="AP92" i="1"/>
  <c r="AQ92" i="1"/>
  <c r="AR92" i="1"/>
  <c r="AS92" i="1"/>
  <c r="AO93" i="1"/>
  <c r="AP93" i="1"/>
  <c r="AQ93" i="1"/>
  <c r="AR93" i="1"/>
  <c r="AS93" i="1"/>
  <c r="AO94" i="1"/>
  <c r="AP94" i="1"/>
  <c r="AQ94" i="1"/>
  <c r="AR94" i="1"/>
  <c r="AS94" i="1"/>
  <c r="AO95" i="1"/>
  <c r="AP95" i="1"/>
  <c r="AQ95" i="1"/>
  <c r="AR95" i="1"/>
  <c r="AS95" i="1"/>
  <c r="AO96" i="1"/>
  <c r="AP96" i="1"/>
  <c r="AQ96" i="1"/>
  <c r="AR96" i="1"/>
  <c r="AS96" i="1"/>
  <c r="AO97" i="1"/>
  <c r="AP97" i="1"/>
  <c r="AQ97" i="1"/>
  <c r="AR97" i="1"/>
  <c r="AS97" i="1"/>
  <c r="AO98" i="1"/>
  <c r="AP98" i="1"/>
  <c r="AQ98" i="1"/>
  <c r="AR98" i="1"/>
  <c r="AS98" i="1"/>
  <c r="AO99" i="1"/>
  <c r="AP99" i="1"/>
  <c r="AQ99" i="1"/>
  <c r="AR99" i="1"/>
  <c r="AS99" i="1"/>
  <c r="AO100" i="1"/>
  <c r="AP100" i="1"/>
  <c r="AQ100" i="1"/>
  <c r="AR100" i="1"/>
  <c r="AS100" i="1"/>
  <c r="AO101" i="1"/>
  <c r="AP101" i="1"/>
  <c r="AQ101" i="1"/>
  <c r="AR101" i="1"/>
  <c r="AS101" i="1"/>
  <c r="AO102" i="1"/>
  <c r="AP102" i="1"/>
  <c r="AQ102" i="1"/>
  <c r="AR102" i="1"/>
  <c r="AS102" i="1"/>
  <c r="AO103" i="1"/>
  <c r="AP103" i="1"/>
  <c r="AQ103" i="1"/>
  <c r="AR103" i="1"/>
  <c r="AS103" i="1"/>
  <c r="AO104" i="1"/>
  <c r="AP104" i="1"/>
  <c r="AQ104" i="1"/>
  <c r="AR104" i="1"/>
  <c r="AS104" i="1"/>
  <c r="AO105" i="1"/>
  <c r="AP105" i="1"/>
  <c r="AQ105" i="1"/>
  <c r="AR105" i="1"/>
  <c r="AS105" i="1"/>
  <c r="AO106" i="1"/>
  <c r="AP106" i="1"/>
  <c r="AQ106" i="1"/>
  <c r="AR106" i="1"/>
  <c r="AS106" i="1"/>
  <c r="AO107" i="1"/>
  <c r="AP107" i="1"/>
  <c r="AQ107" i="1"/>
  <c r="AR107" i="1"/>
  <c r="AS107" i="1"/>
  <c r="AO108" i="1"/>
  <c r="AP108" i="1"/>
  <c r="AQ108" i="1"/>
  <c r="AR108" i="1"/>
  <c r="AS108" i="1"/>
  <c r="AO109" i="1"/>
  <c r="AP109" i="1"/>
  <c r="AQ109" i="1"/>
  <c r="AR109" i="1"/>
  <c r="AS109" i="1"/>
  <c r="AO110" i="1"/>
  <c r="AP110" i="1"/>
  <c r="AQ110" i="1"/>
  <c r="AR110" i="1"/>
  <c r="AS110" i="1"/>
  <c r="AO111" i="1"/>
  <c r="AP111" i="1"/>
  <c r="AQ111" i="1"/>
  <c r="AR111" i="1"/>
  <c r="AS111" i="1"/>
  <c r="AO112" i="1"/>
  <c r="AP112" i="1"/>
  <c r="AQ112" i="1"/>
  <c r="AR112" i="1"/>
  <c r="AS112" i="1"/>
  <c r="AO113" i="1"/>
  <c r="AP113" i="1"/>
  <c r="AQ113" i="1"/>
  <c r="AR113" i="1"/>
  <c r="AS113" i="1"/>
  <c r="AO114" i="1"/>
  <c r="AP114" i="1"/>
  <c r="AQ114" i="1"/>
  <c r="AR114" i="1"/>
  <c r="AS114" i="1"/>
  <c r="AO115" i="1"/>
  <c r="AP115" i="1"/>
  <c r="AQ115" i="1"/>
  <c r="AR115" i="1"/>
  <c r="AS115" i="1"/>
  <c r="AO116" i="1"/>
  <c r="AP116" i="1"/>
  <c r="AQ116" i="1"/>
  <c r="AR116" i="1"/>
  <c r="AS116" i="1"/>
  <c r="AO117" i="1"/>
  <c r="AP117" i="1"/>
  <c r="AQ117" i="1"/>
  <c r="AR117" i="1"/>
  <c r="AS117" i="1"/>
  <c r="AO118" i="1"/>
  <c r="AP118" i="1"/>
  <c r="AQ118" i="1"/>
  <c r="AR118" i="1"/>
  <c r="AS118" i="1"/>
  <c r="AO119" i="1"/>
  <c r="AP119" i="1"/>
  <c r="AQ119" i="1"/>
  <c r="AR119" i="1"/>
  <c r="AS119" i="1"/>
  <c r="AO120" i="1"/>
  <c r="AP120" i="1"/>
  <c r="AQ120" i="1"/>
  <c r="AR120" i="1"/>
  <c r="AS120" i="1"/>
  <c r="AO121" i="1"/>
  <c r="AP121" i="1"/>
  <c r="AQ121" i="1"/>
  <c r="AR121" i="1"/>
  <c r="AS121" i="1"/>
  <c r="AO122" i="1"/>
  <c r="AP122" i="1"/>
  <c r="AQ122" i="1"/>
  <c r="AR122" i="1"/>
  <c r="AS122" i="1"/>
  <c r="AO123" i="1"/>
  <c r="AP123" i="1"/>
  <c r="AQ123" i="1"/>
  <c r="AR123" i="1"/>
  <c r="AS123" i="1"/>
  <c r="AO124" i="1"/>
  <c r="AP124" i="1"/>
  <c r="AQ124" i="1"/>
  <c r="AR124" i="1"/>
  <c r="AS124" i="1"/>
  <c r="AO125" i="1"/>
  <c r="AP125" i="1"/>
  <c r="AQ125" i="1"/>
  <c r="AR125" i="1"/>
  <c r="AS125" i="1"/>
  <c r="AO126" i="1"/>
  <c r="AP126" i="1"/>
  <c r="AQ126" i="1"/>
  <c r="AR126" i="1"/>
  <c r="AS126" i="1"/>
  <c r="AO127" i="1"/>
  <c r="AP127" i="1"/>
  <c r="AQ127" i="1"/>
  <c r="AR127" i="1"/>
  <c r="AS127" i="1"/>
  <c r="AO128" i="1"/>
  <c r="AP128" i="1"/>
  <c r="AQ128" i="1"/>
  <c r="AR128" i="1"/>
  <c r="AS128" i="1"/>
  <c r="AO129" i="1"/>
  <c r="AP129" i="1"/>
  <c r="AQ129" i="1"/>
  <c r="AR129" i="1"/>
  <c r="AS129" i="1"/>
  <c r="AO130" i="1"/>
  <c r="AP130" i="1"/>
  <c r="AQ130" i="1"/>
  <c r="AR130" i="1"/>
  <c r="AS130" i="1"/>
  <c r="AO131" i="1"/>
  <c r="AP131" i="1"/>
  <c r="AQ131" i="1"/>
  <c r="AR131" i="1"/>
  <c r="AS131" i="1"/>
  <c r="AO132" i="1"/>
  <c r="AP132" i="1"/>
  <c r="AQ132" i="1"/>
  <c r="AR132" i="1"/>
  <c r="AS132" i="1"/>
  <c r="AO133" i="1"/>
  <c r="AP133" i="1"/>
  <c r="AQ133" i="1"/>
  <c r="AR133" i="1"/>
  <c r="AS133" i="1"/>
  <c r="AO134" i="1"/>
  <c r="AP134" i="1"/>
  <c r="AQ134" i="1"/>
  <c r="AR134" i="1"/>
  <c r="AS134" i="1"/>
  <c r="AO135" i="1"/>
  <c r="AP135" i="1"/>
  <c r="AQ135" i="1"/>
  <c r="AR135" i="1"/>
  <c r="AS135" i="1"/>
  <c r="AO136" i="1"/>
  <c r="AP136" i="1"/>
  <c r="AQ136" i="1"/>
  <c r="AR136" i="1"/>
  <c r="AS136" i="1"/>
  <c r="AO137" i="1"/>
  <c r="AP137" i="1"/>
  <c r="AQ137" i="1"/>
  <c r="AR137" i="1"/>
  <c r="AS137" i="1"/>
  <c r="AO138" i="1"/>
  <c r="AP138" i="1"/>
  <c r="AQ138" i="1"/>
  <c r="AR138" i="1"/>
  <c r="AS138" i="1"/>
  <c r="AO139" i="1"/>
  <c r="AP139" i="1"/>
  <c r="AQ139" i="1"/>
  <c r="AR139" i="1"/>
  <c r="AS139" i="1"/>
  <c r="AO140" i="1"/>
  <c r="AP140" i="1"/>
  <c r="AQ140" i="1"/>
  <c r="AR140" i="1"/>
  <c r="AS140" i="1"/>
  <c r="AO141" i="1"/>
  <c r="AP141" i="1"/>
  <c r="AQ141" i="1"/>
  <c r="AR141" i="1"/>
  <c r="AS141" i="1"/>
  <c r="AO142" i="1"/>
  <c r="AP142" i="1"/>
  <c r="AQ142" i="1"/>
  <c r="AR142" i="1"/>
  <c r="AS142" i="1"/>
  <c r="AO143" i="1"/>
  <c r="AP143" i="1"/>
  <c r="AQ143" i="1"/>
  <c r="AR143" i="1"/>
  <c r="AS143" i="1"/>
  <c r="AO144" i="1"/>
  <c r="AP144" i="1"/>
  <c r="AQ144" i="1"/>
  <c r="AR144" i="1"/>
  <c r="AS144" i="1"/>
  <c r="AO145" i="1"/>
  <c r="AP145" i="1"/>
  <c r="AQ145" i="1"/>
  <c r="AR145" i="1"/>
  <c r="AS145" i="1"/>
  <c r="AO146" i="1"/>
  <c r="AP146" i="1"/>
  <c r="AQ146" i="1"/>
  <c r="AR146" i="1"/>
  <c r="AS146" i="1"/>
  <c r="AO147" i="1"/>
  <c r="AP147" i="1"/>
  <c r="AQ147" i="1"/>
  <c r="AR147" i="1"/>
  <c r="AS147" i="1"/>
  <c r="AO148" i="1"/>
  <c r="AP148" i="1"/>
  <c r="AQ148" i="1"/>
  <c r="AR148" i="1"/>
  <c r="AS148" i="1"/>
  <c r="AO149" i="1"/>
  <c r="AP149" i="1"/>
  <c r="AQ149" i="1"/>
  <c r="AR149" i="1"/>
  <c r="AS149" i="1"/>
  <c r="AO150" i="1"/>
  <c r="AP150" i="1"/>
  <c r="AQ150" i="1"/>
  <c r="AR150" i="1"/>
  <c r="AS150" i="1"/>
  <c r="AO151" i="1"/>
  <c r="AP151" i="1"/>
  <c r="AQ151" i="1"/>
  <c r="AR151" i="1"/>
  <c r="AS151" i="1"/>
  <c r="AO152" i="1"/>
  <c r="AP152" i="1"/>
  <c r="AQ152" i="1"/>
  <c r="AR152" i="1"/>
  <c r="AS152" i="1"/>
  <c r="AO153" i="1"/>
  <c r="AP153" i="1"/>
  <c r="AQ153" i="1"/>
  <c r="AR153" i="1"/>
  <c r="AS153" i="1"/>
  <c r="AO154" i="1"/>
  <c r="AP154" i="1"/>
  <c r="AQ154" i="1"/>
  <c r="AR154" i="1"/>
  <c r="AS154" i="1"/>
  <c r="AO155" i="1"/>
  <c r="AP155" i="1"/>
  <c r="AQ155" i="1"/>
  <c r="AR155" i="1"/>
  <c r="AS155" i="1"/>
  <c r="AO156" i="1"/>
  <c r="AP156" i="1"/>
  <c r="AQ156" i="1"/>
  <c r="AR156" i="1"/>
  <c r="AS156" i="1"/>
  <c r="AO157" i="1"/>
  <c r="AP157" i="1"/>
  <c r="AQ157" i="1"/>
  <c r="AR157" i="1"/>
  <c r="AS157" i="1"/>
  <c r="AO158" i="1"/>
  <c r="AP158" i="1"/>
  <c r="AQ158" i="1"/>
  <c r="AR158" i="1"/>
  <c r="AS158" i="1"/>
  <c r="AO159" i="1"/>
  <c r="AP159" i="1"/>
  <c r="AQ159" i="1"/>
  <c r="AR159" i="1"/>
  <c r="AS159" i="1"/>
  <c r="AO160" i="1"/>
  <c r="AP160" i="1"/>
  <c r="AQ160" i="1"/>
  <c r="AR160" i="1"/>
  <c r="AS160" i="1"/>
  <c r="AO161" i="1"/>
  <c r="AP161" i="1"/>
  <c r="AQ161" i="1"/>
  <c r="AR161" i="1"/>
  <c r="AS161" i="1"/>
  <c r="AO162" i="1"/>
  <c r="AP162" i="1"/>
  <c r="AQ162" i="1"/>
  <c r="AR162" i="1"/>
  <c r="AS162" i="1"/>
  <c r="AO163" i="1"/>
  <c r="AP163" i="1"/>
  <c r="AQ163" i="1"/>
  <c r="AR163" i="1"/>
  <c r="AS163" i="1"/>
  <c r="AO164" i="1"/>
  <c r="AP164" i="1"/>
  <c r="AQ164" i="1"/>
  <c r="AR164" i="1"/>
  <c r="AS164" i="1"/>
  <c r="AO165" i="1"/>
  <c r="AP165" i="1"/>
  <c r="AQ165" i="1"/>
  <c r="AR165" i="1"/>
  <c r="AS165" i="1"/>
  <c r="AO166" i="1"/>
  <c r="AP166" i="1"/>
  <c r="AQ166" i="1"/>
  <c r="AR166" i="1"/>
  <c r="AS166" i="1"/>
  <c r="AO167" i="1"/>
  <c r="AP167" i="1"/>
  <c r="AQ167" i="1"/>
  <c r="AR167" i="1"/>
  <c r="AS167" i="1"/>
  <c r="AO168" i="1"/>
  <c r="AP168" i="1"/>
  <c r="AQ168" i="1"/>
  <c r="AR168" i="1"/>
  <c r="AS168" i="1"/>
  <c r="AO169" i="1"/>
  <c r="AP169" i="1"/>
  <c r="AQ169" i="1"/>
  <c r="AR169" i="1"/>
  <c r="AS169" i="1"/>
  <c r="AO170" i="1"/>
  <c r="AP170" i="1"/>
  <c r="AQ170" i="1"/>
  <c r="AR170" i="1"/>
  <c r="AS170" i="1"/>
  <c r="AO171" i="1"/>
  <c r="AP171" i="1"/>
  <c r="AQ171" i="1"/>
  <c r="AR171" i="1"/>
  <c r="AS171" i="1"/>
  <c r="AO172" i="1"/>
  <c r="AP172" i="1"/>
  <c r="AQ172" i="1"/>
  <c r="AR172" i="1"/>
  <c r="AS172" i="1"/>
  <c r="AO173" i="1"/>
  <c r="AP173" i="1"/>
  <c r="AQ173" i="1"/>
  <c r="AR173" i="1"/>
  <c r="AS173" i="1"/>
  <c r="AO174" i="1"/>
  <c r="AP174" i="1"/>
  <c r="AQ174" i="1"/>
  <c r="AR174" i="1"/>
  <c r="AS174" i="1"/>
  <c r="AO175" i="1"/>
  <c r="AP175" i="1"/>
  <c r="AQ175" i="1"/>
  <c r="AR175" i="1"/>
  <c r="AS175" i="1"/>
  <c r="AO176" i="1"/>
  <c r="AP176" i="1"/>
  <c r="AQ176" i="1"/>
  <c r="AR176" i="1"/>
  <c r="AS176" i="1"/>
  <c r="AO177" i="1"/>
  <c r="AP177" i="1"/>
  <c r="AQ177" i="1"/>
  <c r="AR177" i="1"/>
  <c r="AS177" i="1"/>
  <c r="AO178" i="1"/>
  <c r="AP178" i="1"/>
  <c r="AQ178" i="1"/>
  <c r="AR178" i="1"/>
  <c r="AS178" i="1"/>
  <c r="AO179" i="1"/>
  <c r="AP179" i="1"/>
  <c r="AQ179" i="1"/>
  <c r="AR179" i="1"/>
  <c r="AS179" i="1"/>
  <c r="AO180" i="1"/>
  <c r="AP180" i="1"/>
  <c r="AQ180" i="1"/>
  <c r="AR180" i="1"/>
  <c r="AS180" i="1"/>
  <c r="AO181" i="1"/>
  <c r="AP181" i="1"/>
  <c r="AQ181" i="1"/>
  <c r="AR181" i="1"/>
  <c r="AS181" i="1"/>
  <c r="AO182" i="1"/>
  <c r="AP182" i="1"/>
  <c r="AQ182" i="1"/>
  <c r="AR182" i="1"/>
  <c r="AS182" i="1"/>
  <c r="AO183" i="1"/>
  <c r="AP183" i="1"/>
  <c r="AQ183" i="1"/>
  <c r="AR183" i="1"/>
  <c r="AS183" i="1"/>
  <c r="AO184" i="1"/>
  <c r="AP184" i="1"/>
  <c r="AQ184" i="1"/>
  <c r="AR184" i="1"/>
  <c r="AS184" i="1"/>
  <c r="AO185" i="1"/>
  <c r="AP185" i="1"/>
  <c r="AQ185" i="1"/>
  <c r="AR185" i="1"/>
  <c r="AS185" i="1"/>
  <c r="AO186" i="1"/>
  <c r="AP186" i="1"/>
  <c r="AQ186" i="1"/>
  <c r="AR186" i="1"/>
  <c r="AS186" i="1"/>
  <c r="AO187" i="1"/>
  <c r="AP187" i="1"/>
  <c r="AQ187" i="1"/>
  <c r="AR187" i="1"/>
  <c r="AS187" i="1"/>
  <c r="AO188" i="1"/>
  <c r="AP188" i="1"/>
  <c r="AQ188" i="1"/>
  <c r="AR188" i="1"/>
  <c r="AS188" i="1"/>
  <c r="AO189" i="1"/>
  <c r="AP189" i="1"/>
  <c r="AQ189" i="1"/>
  <c r="AR189" i="1"/>
  <c r="AS189" i="1"/>
  <c r="AO190" i="1"/>
  <c r="AP190" i="1"/>
  <c r="AQ190" i="1"/>
  <c r="AR190" i="1"/>
  <c r="AS190" i="1"/>
  <c r="AO191" i="1"/>
  <c r="AP191" i="1"/>
  <c r="AQ191" i="1"/>
  <c r="AR191" i="1"/>
  <c r="AS191" i="1"/>
  <c r="AO192" i="1"/>
  <c r="AP192" i="1"/>
  <c r="AQ192" i="1"/>
  <c r="AR192" i="1"/>
  <c r="AS192" i="1"/>
  <c r="AO193" i="1"/>
  <c r="AP193" i="1"/>
  <c r="AQ193" i="1"/>
  <c r="AR193" i="1"/>
  <c r="AS193" i="1"/>
  <c r="AO194" i="1"/>
  <c r="AP194" i="1"/>
  <c r="AQ194" i="1"/>
  <c r="AR194" i="1"/>
  <c r="AS194" i="1"/>
  <c r="AO195" i="1"/>
  <c r="AP195" i="1"/>
  <c r="AQ195" i="1"/>
  <c r="AR195" i="1"/>
  <c r="AS195" i="1"/>
  <c r="AO196" i="1"/>
  <c r="AP196" i="1"/>
  <c r="AQ196" i="1"/>
  <c r="AR196" i="1"/>
  <c r="AS196" i="1"/>
  <c r="AO197" i="1"/>
  <c r="AP197" i="1"/>
  <c r="AQ197" i="1"/>
  <c r="AR197" i="1"/>
  <c r="AS197" i="1"/>
  <c r="AO198" i="1"/>
  <c r="AP198" i="1"/>
  <c r="AQ198" i="1"/>
  <c r="AR198" i="1"/>
  <c r="AS198" i="1"/>
  <c r="AO199" i="1"/>
  <c r="AP199" i="1"/>
  <c r="AQ199" i="1"/>
  <c r="AR199" i="1"/>
  <c r="AS199" i="1"/>
  <c r="AO200" i="1"/>
  <c r="AP200" i="1"/>
  <c r="AQ200" i="1"/>
  <c r="AR200" i="1"/>
  <c r="AS200" i="1"/>
  <c r="AO201" i="1"/>
  <c r="AP201" i="1"/>
  <c r="AQ201" i="1"/>
  <c r="AR201" i="1"/>
  <c r="AS201" i="1"/>
  <c r="AO202" i="1"/>
  <c r="AP202" i="1"/>
  <c r="AQ202" i="1"/>
  <c r="AR202" i="1"/>
  <c r="AS202" i="1"/>
  <c r="AO203" i="1"/>
  <c r="AP203" i="1"/>
  <c r="AQ203" i="1"/>
  <c r="AR203" i="1"/>
  <c r="AS203" i="1"/>
  <c r="AO204" i="1"/>
  <c r="AP204" i="1"/>
  <c r="AQ204" i="1"/>
  <c r="AR204" i="1"/>
  <c r="AS204" i="1"/>
  <c r="AO205" i="1"/>
  <c r="AP205" i="1"/>
  <c r="AQ205" i="1"/>
  <c r="AR205" i="1"/>
  <c r="AS205" i="1"/>
  <c r="AO206" i="1"/>
  <c r="AP206" i="1"/>
  <c r="AQ206" i="1"/>
  <c r="AR206" i="1"/>
  <c r="AS206" i="1"/>
  <c r="AO207" i="1"/>
  <c r="AP207" i="1"/>
  <c r="AQ207" i="1"/>
  <c r="AR207" i="1"/>
  <c r="AS207" i="1"/>
  <c r="AO208" i="1"/>
  <c r="AP208" i="1"/>
  <c r="AQ208" i="1"/>
  <c r="AR208" i="1"/>
  <c r="AS208" i="1"/>
  <c r="AO209" i="1"/>
  <c r="AP209" i="1"/>
  <c r="AQ209" i="1"/>
  <c r="AR209" i="1"/>
  <c r="AS209" i="1"/>
  <c r="AO210" i="1"/>
  <c r="AP210" i="1"/>
  <c r="AQ210" i="1"/>
  <c r="AR210" i="1"/>
  <c r="AS210" i="1"/>
  <c r="AO211" i="1"/>
  <c r="AP211" i="1"/>
  <c r="AQ211" i="1"/>
  <c r="AR211" i="1"/>
  <c r="AS211" i="1"/>
  <c r="AO212" i="1"/>
  <c r="AP212" i="1"/>
  <c r="AQ212" i="1"/>
  <c r="AR212" i="1"/>
  <c r="AS212" i="1"/>
  <c r="AO213" i="1"/>
  <c r="AP213" i="1"/>
  <c r="AQ213" i="1"/>
  <c r="AR213" i="1"/>
  <c r="AS213" i="1"/>
  <c r="AO214" i="1"/>
  <c r="AP214" i="1"/>
  <c r="AQ214" i="1"/>
  <c r="AR214" i="1"/>
  <c r="AS214" i="1"/>
  <c r="AO215" i="1"/>
  <c r="AP215" i="1"/>
  <c r="AQ215" i="1"/>
  <c r="AR215" i="1"/>
  <c r="AS215" i="1"/>
  <c r="AO216" i="1"/>
  <c r="AP216" i="1"/>
  <c r="AQ216" i="1"/>
  <c r="AR216" i="1"/>
  <c r="AS216" i="1"/>
  <c r="AO217" i="1"/>
  <c r="AP217" i="1"/>
  <c r="AQ217" i="1"/>
  <c r="AR217" i="1"/>
  <c r="AS217" i="1"/>
  <c r="AO218" i="1"/>
  <c r="AP218" i="1"/>
  <c r="AQ218" i="1"/>
  <c r="AR218" i="1"/>
  <c r="AS218" i="1"/>
  <c r="AO219" i="1"/>
  <c r="AP219" i="1"/>
  <c r="AQ219" i="1"/>
  <c r="AR219" i="1"/>
  <c r="AS219" i="1"/>
  <c r="AO220" i="1"/>
  <c r="AP220" i="1"/>
  <c r="AQ220" i="1"/>
  <c r="AR220" i="1"/>
  <c r="AS220" i="1"/>
  <c r="AO221" i="1"/>
  <c r="AP221" i="1"/>
  <c r="AQ221" i="1"/>
  <c r="AR221" i="1"/>
  <c r="AS221" i="1"/>
  <c r="AO222" i="1"/>
  <c r="AP222" i="1"/>
  <c r="AQ222" i="1"/>
  <c r="AR222" i="1"/>
  <c r="AS222" i="1"/>
  <c r="AO223" i="1"/>
  <c r="AP223" i="1"/>
  <c r="AQ223" i="1"/>
  <c r="AR223" i="1"/>
  <c r="AS223" i="1"/>
  <c r="AO224" i="1"/>
  <c r="AP224" i="1"/>
  <c r="AQ224" i="1"/>
  <c r="AR224" i="1"/>
  <c r="AS224" i="1"/>
  <c r="AO225" i="1"/>
  <c r="AP225" i="1"/>
  <c r="AQ225" i="1"/>
  <c r="AR225" i="1"/>
  <c r="AS225" i="1"/>
  <c r="AO226" i="1"/>
  <c r="AP226" i="1"/>
  <c r="AQ226" i="1"/>
  <c r="AR226" i="1"/>
  <c r="AS226" i="1"/>
  <c r="AO227" i="1"/>
  <c r="AP227" i="1"/>
  <c r="AQ227" i="1"/>
  <c r="AR227" i="1"/>
  <c r="AS227" i="1"/>
  <c r="AO228" i="1"/>
  <c r="AP228" i="1"/>
  <c r="AQ228" i="1"/>
  <c r="AR228" i="1"/>
  <c r="AS228" i="1"/>
  <c r="AO229" i="1"/>
  <c r="AP229" i="1"/>
  <c r="AQ229" i="1"/>
  <c r="AR229" i="1"/>
  <c r="AS229" i="1"/>
  <c r="AO230" i="1"/>
  <c r="AP230" i="1"/>
  <c r="AQ230" i="1"/>
  <c r="AR230" i="1"/>
  <c r="AS230" i="1"/>
  <c r="AO231" i="1"/>
  <c r="AP231" i="1"/>
  <c r="AQ231" i="1"/>
  <c r="AR231" i="1"/>
  <c r="AS231" i="1"/>
  <c r="AO232" i="1"/>
  <c r="AP232" i="1"/>
  <c r="AQ232" i="1"/>
  <c r="AR232" i="1"/>
  <c r="AS232" i="1"/>
  <c r="AO233" i="1"/>
  <c r="AP233" i="1"/>
  <c r="AQ233" i="1"/>
  <c r="AR233" i="1"/>
  <c r="AS233" i="1"/>
  <c r="AO234" i="1"/>
  <c r="AP234" i="1"/>
  <c r="AQ234" i="1"/>
  <c r="AR234" i="1"/>
  <c r="AS234" i="1"/>
  <c r="AO235" i="1"/>
  <c r="AP235" i="1"/>
  <c r="AQ235" i="1"/>
  <c r="AR235" i="1"/>
  <c r="AS235" i="1"/>
  <c r="AO236" i="1"/>
  <c r="AP236" i="1"/>
  <c r="AQ236" i="1"/>
  <c r="AR236" i="1"/>
  <c r="AS236" i="1"/>
  <c r="AO237" i="1"/>
  <c r="AP237" i="1"/>
  <c r="AQ237" i="1"/>
  <c r="AR237" i="1"/>
  <c r="AS237" i="1"/>
  <c r="AO238" i="1"/>
  <c r="AP238" i="1"/>
  <c r="AQ238" i="1"/>
  <c r="AR238" i="1"/>
  <c r="AS238" i="1"/>
  <c r="AO239" i="1"/>
  <c r="AP239" i="1"/>
  <c r="AQ239" i="1"/>
  <c r="AR239" i="1"/>
  <c r="AS239" i="1"/>
  <c r="AO240" i="1"/>
  <c r="AP240" i="1"/>
  <c r="AQ240" i="1"/>
  <c r="AR240" i="1"/>
  <c r="AS240" i="1"/>
  <c r="AO241" i="1"/>
  <c r="AP241" i="1"/>
  <c r="AQ241" i="1"/>
  <c r="AR241" i="1"/>
  <c r="AS241" i="1"/>
  <c r="AO242" i="1"/>
  <c r="AP242" i="1"/>
  <c r="AQ242" i="1"/>
  <c r="AR242" i="1"/>
  <c r="AS242" i="1"/>
  <c r="AO243" i="1"/>
  <c r="AP243" i="1"/>
  <c r="AQ243" i="1"/>
  <c r="AR243" i="1"/>
  <c r="AS243" i="1"/>
  <c r="AO244" i="1"/>
  <c r="AP244" i="1"/>
  <c r="AQ244" i="1"/>
  <c r="AR244" i="1"/>
  <c r="AS244" i="1"/>
  <c r="AO245" i="1"/>
  <c r="AP245" i="1"/>
  <c r="AQ245" i="1"/>
  <c r="AR245" i="1"/>
  <c r="AS245" i="1"/>
  <c r="AO246" i="1"/>
  <c r="AP246" i="1"/>
  <c r="AQ246" i="1"/>
  <c r="AR246" i="1"/>
  <c r="AS246" i="1"/>
  <c r="AO247" i="1"/>
  <c r="AP247" i="1"/>
  <c r="AQ247" i="1"/>
  <c r="AR247" i="1"/>
  <c r="AS247" i="1"/>
  <c r="AO248" i="1"/>
  <c r="AP248" i="1"/>
  <c r="AQ248" i="1"/>
  <c r="AR248" i="1"/>
  <c r="AS248" i="1"/>
  <c r="AO249" i="1"/>
  <c r="AP249" i="1"/>
  <c r="AQ249" i="1"/>
  <c r="AR249" i="1"/>
  <c r="AS249" i="1"/>
  <c r="AO250" i="1"/>
  <c r="AP250" i="1"/>
  <c r="AQ250" i="1"/>
  <c r="AR250" i="1"/>
  <c r="AS250" i="1"/>
  <c r="AO251" i="1"/>
  <c r="AP251" i="1"/>
  <c r="AQ251" i="1"/>
  <c r="AR251" i="1"/>
  <c r="AS251" i="1"/>
  <c r="AO252" i="1"/>
  <c r="AP252" i="1"/>
  <c r="AQ252" i="1"/>
  <c r="AR252" i="1"/>
  <c r="AS252" i="1"/>
  <c r="AO253" i="1"/>
  <c r="AP253" i="1"/>
  <c r="AQ253" i="1"/>
  <c r="AR253" i="1"/>
  <c r="AS253" i="1"/>
  <c r="AO254" i="1"/>
  <c r="AP254" i="1"/>
  <c r="AQ254" i="1"/>
  <c r="AR254" i="1"/>
  <c r="AS254" i="1"/>
  <c r="AO255" i="1"/>
  <c r="AP255" i="1"/>
  <c r="AQ255" i="1"/>
  <c r="AR255" i="1"/>
  <c r="AS255" i="1"/>
  <c r="AO256" i="1"/>
  <c r="AP256" i="1"/>
  <c r="AQ256" i="1"/>
  <c r="AR256" i="1"/>
  <c r="AS256" i="1"/>
  <c r="AO257" i="1"/>
  <c r="AP257" i="1"/>
  <c r="AQ257" i="1"/>
  <c r="AR257" i="1"/>
  <c r="AS257" i="1"/>
  <c r="AO258" i="1"/>
  <c r="AP258" i="1"/>
  <c r="AQ258" i="1"/>
  <c r="AR258" i="1"/>
  <c r="AS258" i="1"/>
  <c r="AO259" i="1"/>
  <c r="AP259" i="1"/>
  <c r="AQ259" i="1"/>
  <c r="AR259" i="1"/>
  <c r="AS259" i="1"/>
  <c r="AO260" i="1"/>
  <c r="AP260" i="1"/>
  <c r="AQ260" i="1"/>
  <c r="AR260" i="1"/>
  <c r="AS260" i="1"/>
  <c r="AO261" i="1"/>
  <c r="AP261" i="1"/>
  <c r="AQ261" i="1"/>
  <c r="AR261" i="1"/>
  <c r="AS261" i="1"/>
  <c r="AO262" i="1"/>
  <c r="AP262" i="1"/>
  <c r="AQ262" i="1"/>
  <c r="AR262" i="1"/>
  <c r="AS262" i="1"/>
  <c r="AO263" i="1"/>
  <c r="AP263" i="1"/>
  <c r="AQ263" i="1"/>
  <c r="AR263" i="1"/>
  <c r="AS263" i="1"/>
  <c r="AO264" i="1"/>
  <c r="AP264" i="1"/>
  <c r="AQ264" i="1"/>
  <c r="AR264" i="1"/>
  <c r="AS264" i="1"/>
  <c r="AO265" i="1"/>
  <c r="AP265" i="1"/>
  <c r="AQ265" i="1"/>
  <c r="AR265" i="1"/>
  <c r="AS265" i="1"/>
  <c r="AO266" i="1"/>
  <c r="AP266" i="1"/>
  <c r="AQ266" i="1"/>
  <c r="AR266" i="1"/>
  <c r="AS266" i="1"/>
  <c r="AO267" i="1"/>
  <c r="AP267" i="1"/>
  <c r="AQ267" i="1"/>
  <c r="AR267" i="1"/>
  <c r="AS267" i="1"/>
  <c r="AO268" i="1"/>
  <c r="AP268" i="1"/>
  <c r="AQ268" i="1"/>
  <c r="AR268" i="1"/>
  <c r="AS268" i="1"/>
  <c r="AO269" i="1"/>
  <c r="AP269" i="1"/>
  <c r="AQ269" i="1"/>
  <c r="AR269" i="1"/>
  <c r="AS269" i="1"/>
  <c r="AO270" i="1"/>
  <c r="AP270" i="1"/>
  <c r="AQ270" i="1"/>
  <c r="AR270" i="1"/>
  <c r="AS270" i="1"/>
  <c r="AO271" i="1"/>
  <c r="AP271" i="1"/>
  <c r="AQ271" i="1"/>
  <c r="AR271" i="1"/>
  <c r="AS271" i="1"/>
  <c r="AO272" i="1"/>
  <c r="AP272" i="1"/>
  <c r="AQ272" i="1"/>
  <c r="AR272" i="1"/>
  <c r="AS272" i="1"/>
  <c r="AO273" i="1"/>
  <c r="AP273" i="1"/>
  <c r="AQ273" i="1"/>
  <c r="AR273" i="1"/>
  <c r="AS273" i="1"/>
  <c r="AO274" i="1"/>
  <c r="AP274" i="1"/>
  <c r="AQ274" i="1"/>
  <c r="AR274" i="1"/>
  <c r="AS274" i="1"/>
  <c r="AO275" i="1"/>
  <c r="AP275" i="1"/>
  <c r="AQ275" i="1"/>
  <c r="AR275" i="1"/>
  <c r="AS275" i="1"/>
  <c r="AO276" i="1"/>
  <c r="AP276" i="1"/>
  <c r="AQ276" i="1"/>
  <c r="AR276" i="1"/>
  <c r="AS276" i="1"/>
  <c r="AO277" i="1"/>
  <c r="AP277" i="1"/>
  <c r="AQ277" i="1"/>
  <c r="AR277" i="1"/>
  <c r="AS277" i="1"/>
  <c r="AO278" i="1"/>
  <c r="AP278" i="1"/>
  <c r="AQ278" i="1"/>
  <c r="AR278" i="1"/>
  <c r="AS278" i="1"/>
  <c r="AO279" i="1"/>
  <c r="AP279" i="1"/>
  <c r="AQ279" i="1"/>
  <c r="AR279" i="1"/>
  <c r="AS279" i="1"/>
  <c r="AO280" i="1"/>
  <c r="AP280" i="1"/>
  <c r="AQ280" i="1"/>
  <c r="AR280" i="1"/>
  <c r="AS280" i="1"/>
  <c r="AO281" i="1"/>
  <c r="AP281" i="1"/>
  <c r="AQ281" i="1"/>
  <c r="AR281" i="1"/>
  <c r="AS281" i="1"/>
  <c r="AO282" i="1"/>
  <c r="AP282" i="1"/>
  <c r="AQ282" i="1"/>
  <c r="AR282" i="1"/>
  <c r="AS282" i="1"/>
  <c r="AO283" i="1"/>
  <c r="AP283" i="1"/>
  <c r="AQ283" i="1"/>
  <c r="AR283" i="1"/>
  <c r="AS283" i="1"/>
  <c r="AO284" i="1"/>
  <c r="AP284" i="1"/>
  <c r="AQ284" i="1"/>
  <c r="AR284" i="1"/>
  <c r="AS284" i="1"/>
  <c r="AO285" i="1"/>
  <c r="AP285" i="1"/>
  <c r="AQ285" i="1"/>
  <c r="AR285" i="1"/>
  <c r="AS285" i="1"/>
  <c r="AO286" i="1"/>
  <c r="AP286" i="1"/>
  <c r="AQ286" i="1"/>
  <c r="AR286" i="1"/>
  <c r="AS286" i="1"/>
  <c r="AO287" i="1"/>
  <c r="AP287" i="1"/>
  <c r="AQ287" i="1"/>
  <c r="AR287" i="1"/>
  <c r="AS287" i="1"/>
  <c r="AO288" i="1"/>
  <c r="AP288" i="1"/>
  <c r="AQ288" i="1"/>
  <c r="AR288" i="1"/>
  <c r="AS288" i="1"/>
  <c r="AO289" i="1"/>
  <c r="AP289" i="1"/>
  <c r="AQ289" i="1"/>
  <c r="AR289" i="1"/>
  <c r="AS289" i="1"/>
  <c r="AO290" i="1"/>
  <c r="AP290" i="1"/>
  <c r="AQ290" i="1"/>
  <c r="AR290" i="1"/>
  <c r="AS290" i="1"/>
  <c r="AO291" i="1"/>
  <c r="AP291" i="1"/>
  <c r="AQ291" i="1"/>
  <c r="AR291" i="1"/>
  <c r="AS291" i="1"/>
  <c r="AO292" i="1"/>
  <c r="AP292" i="1"/>
  <c r="AQ292" i="1"/>
  <c r="AR292" i="1"/>
  <c r="AS292" i="1"/>
  <c r="AO293" i="1"/>
  <c r="AP293" i="1"/>
  <c r="AQ293" i="1"/>
  <c r="AR293" i="1"/>
  <c r="AS293" i="1"/>
  <c r="AO294" i="1"/>
  <c r="AP294" i="1"/>
  <c r="AQ294" i="1"/>
  <c r="AR294" i="1"/>
  <c r="AS294" i="1"/>
  <c r="AO295" i="1"/>
  <c r="AP295" i="1"/>
  <c r="AQ295" i="1"/>
  <c r="AR295" i="1"/>
  <c r="AS295" i="1"/>
  <c r="AO296" i="1"/>
  <c r="AP296" i="1"/>
  <c r="AQ296" i="1"/>
  <c r="AR296" i="1"/>
  <c r="AS296" i="1"/>
  <c r="AO297" i="1"/>
  <c r="AP297" i="1"/>
  <c r="AQ297" i="1"/>
  <c r="AR297" i="1"/>
  <c r="AS297" i="1"/>
  <c r="AO298" i="1"/>
  <c r="AP298" i="1"/>
  <c r="AQ298" i="1"/>
  <c r="AR298" i="1"/>
  <c r="AS298" i="1"/>
  <c r="AO299" i="1"/>
  <c r="AP299" i="1"/>
  <c r="AQ299" i="1"/>
  <c r="AR299" i="1"/>
  <c r="AS299" i="1"/>
  <c r="AO300" i="1"/>
  <c r="AP300" i="1"/>
  <c r="AQ300" i="1"/>
  <c r="AR300" i="1"/>
  <c r="AS300" i="1"/>
  <c r="AO301" i="1"/>
  <c r="AP301" i="1"/>
  <c r="AQ301" i="1"/>
  <c r="AR301" i="1"/>
  <c r="AS301" i="1"/>
  <c r="AO302" i="1"/>
  <c r="AP302" i="1"/>
  <c r="AQ302" i="1"/>
  <c r="AR302" i="1"/>
  <c r="AS302" i="1"/>
  <c r="AO303" i="1"/>
  <c r="AP303" i="1"/>
  <c r="AQ303" i="1"/>
  <c r="AR303" i="1"/>
  <c r="AS303" i="1"/>
  <c r="AO304" i="1"/>
  <c r="AP304" i="1"/>
  <c r="AQ304" i="1"/>
  <c r="AR304" i="1"/>
  <c r="AS304" i="1"/>
  <c r="AO305" i="1"/>
  <c r="AP305" i="1"/>
  <c r="AQ305" i="1"/>
  <c r="AR305" i="1"/>
  <c r="AS305" i="1"/>
  <c r="AO306" i="1"/>
  <c r="AP306" i="1"/>
  <c r="AQ306" i="1"/>
  <c r="AR306" i="1"/>
  <c r="AS306" i="1"/>
  <c r="AO307" i="1"/>
  <c r="AP307" i="1"/>
  <c r="AQ307" i="1"/>
  <c r="AR307" i="1"/>
  <c r="AS307" i="1"/>
  <c r="AO308" i="1"/>
  <c r="AP308" i="1"/>
  <c r="AQ308" i="1"/>
  <c r="AR308" i="1"/>
  <c r="AS308" i="1"/>
  <c r="AO309" i="1"/>
  <c r="AP309" i="1"/>
  <c r="AQ309" i="1"/>
  <c r="AR309" i="1"/>
  <c r="AS309" i="1"/>
  <c r="AO310" i="1"/>
  <c r="AP310" i="1"/>
  <c r="AQ310" i="1"/>
  <c r="AR310" i="1"/>
  <c r="AS310" i="1"/>
  <c r="AO311" i="1"/>
  <c r="AP311" i="1"/>
  <c r="AQ311" i="1"/>
  <c r="AR311" i="1"/>
  <c r="AS311" i="1"/>
  <c r="AO312" i="1"/>
  <c r="AP312" i="1"/>
  <c r="AQ312" i="1"/>
  <c r="AR312" i="1"/>
  <c r="AS312" i="1"/>
  <c r="AO313" i="1"/>
  <c r="AP313" i="1"/>
  <c r="AQ313" i="1"/>
  <c r="AR313" i="1"/>
  <c r="AS313" i="1"/>
  <c r="AO314" i="1"/>
  <c r="AP314" i="1"/>
  <c r="AQ314" i="1"/>
  <c r="AR314" i="1"/>
  <c r="AS314" i="1"/>
  <c r="AO315" i="1"/>
  <c r="AP315" i="1"/>
  <c r="AQ315" i="1"/>
  <c r="AR315" i="1"/>
  <c r="AS315" i="1"/>
  <c r="AO316" i="1"/>
  <c r="AP316" i="1"/>
  <c r="AQ316" i="1"/>
  <c r="AR316" i="1"/>
  <c r="AS316" i="1"/>
  <c r="AO317" i="1"/>
  <c r="AP317" i="1"/>
  <c r="AQ317" i="1"/>
  <c r="AR317" i="1"/>
  <c r="AS317" i="1"/>
  <c r="AO318" i="1"/>
  <c r="AP318" i="1"/>
  <c r="AQ318" i="1"/>
  <c r="AR318" i="1"/>
  <c r="AS318" i="1"/>
  <c r="AO319" i="1"/>
  <c r="AP319" i="1"/>
  <c r="AQ319" i="1"/>
  <c r="AR319" i="1"/>
  <c r="AS319" i="1"/>
  <c r="AO320" i="1"/>
  <c r="AP320" i="1"/>
  <c r="AQ320" i="1"/>
  <c r="AR320" i="1"/>
  <c r="AS320" i="1"/>
  <c r="AO321" i="1"/>
  <c r="AP321" i="1"/>
  <c r="AQ321" i="1"/>
  <c r="AR321" i="1"/>
  <c r="AS321" i="1"/>
  <c r="AO322" i="1"/>
  <c r="AP322" i="1"/>
  <c r="AQ322" i="1"/>
  <c r="AR322" i="1"/>
  <c r="AS322" i="1"/>
  <c r="AO323" i="1"/>
  <c r="AP323" i="1"/>
  <c r="AQ323" i="1"/>
  <c r="AR323" i="1"/>
  <c r="AS323" i="1"/>
  <c r="AO324" i="1"/>
  <c r="AP324" i="1"/>
  <c r="AQ324" i="1"/>
  <c r="AR324" i="1"/>
  <c r="AS324" i="1"/>
  <c r="AO325" i="1"/>
  <c r="AP325" i="1"/>
  <c r="AQ325" i="1"/>
  <c r="AR325" i="1"/>
  <c r="AS325" i="1"/>
  <c r="AO326" i="1"/>
  <c r="AP326" i="1"/>
  <c r="AQ326" i="1"/>
  <c r="AR326" i="1"/>
  <c r="AS326" i="1"/>
  <c r="AO327" i="1"/>
  <c r="AP327" i="1"/>
  <c r="AQ327" i="1"/>
  <c r="AR327" i="1"/>
  <c r="AS327" i="1"/>
  <c r="AO328" i="1"/>
  <c r="AP328" i="1"/>
  <c r="AQ328" i="1"/>
  <c r="AR328" i="1"/>
  <c r="AS328" i="1"/>
  <c r="AO329" i="1"/>
  <c r="AP329" i="1"/>
  <c r="AQ329" i="1"/>
  <c r="AR329" i="1"/>
  <c r="AS329" i="1"/>
  <c r="AO330" i="1"/>
  <c r="AP330" i="1"/>
  <c r="AQ330" i="1"/>
  <c r="AR330" i="1"/>
  <c r="AS330" i="1"/>
  <c r="AO331" i="1"/>
  <c r="AP331" i="1"/>
  <c r="AQ331" i="1"/>
  <c r="AR331" i="1"/>
  <c r="AS331" i="1"/>
  <c r="AO332" i="1"/>
  <c r="AP332" i="1"/>
  <c r="AQ332" i="1"/>
  <c r="AR332" i="1"/>
  <c r="AS332" i="1"/>
  <c r="AO333" i="1"/>
  <c r="AP333" i="1"/>
  <c r="AQ333" i="1"/>
  <c r="AR333" i="1"/>
  <c r="AS333" i="1"/>
  <c r="AO334" i="1"/>
  <c r="AP334" i="1"/>
  <c r="AQ334" i="1"/>
  <c r="AR334" i="1"/>
  <c r="AS334" i="1"/>
  <c r="AO335" i="1"/>
  <c r="AP335" i="1"/>
  <c r="AQ335" i="1"/>
  <c r="AR335" i="1"/>
  <c r="AS335" i="1"/>
  <c r="AO336" i="1"/>
  <c r="AP336" i="1"/>
  <c r="AQ336" i="1"/>
  <c r="AR336" i="1"/>
  <c r="AS336" i="1"/>
  <c r="AO337" i="1"/>
  <c r="AP337" i="1"/>
  <c r="AQ337" i="1"/>
  <c r="AR337" i="1"/>
  <c r="AS337" i="1"/>
  <c r="AO338" i="1"/>
  <c r="AP338" i="1"/>
  <c r="AQ338" i="1"/>
  <c r="AR338" i="1"/>
  <c r="AS338" i="1"/>
  <c r="AO339" i="1"/>
  <c r="AP339" i="1"/>
  <c r="AQ339" i="1"/>
  <c r="AR339" i="1"/>
  <c r="AS339" i="1"/>
  <c r="AO340" i="1"/>
  <c r="AP340" i="1"/>
  <c r="AQ340" i="1"/>
  <c r="AR340" i="1"/>
  <c r="AS340" i="1"/>
  <c r="AO341" i="1"/>
  <c r="AP341" i="1"/>
  <c r="AQ341" i="1"/>
  <c r="AR341" i="1"/>
  <c r="AS341" i="1"/>
  <c r="AO342" i="1"/>
  <c r="AP342" i="1"/>
  <c r="AQ342" i="1"/>
  <c r="AR342" i="1"/>
  <c r="AS342" i="1"/>
  <c r="AO343" i="1"/>
  <c r="AP343" i="1"/>
  <c r="AQ343" i="1"/>
  <c r="AR343" i="1"/>
  <c r="AS343" i="1"/>
  <c r="AO344" i="1"/>
  <c r="AP344" i="1"/>
  <c r="AQ344" i="1"/>
  <c r="AR344" i="1"/>
  <c r="AS344" i="1"/>
  <c r="AO345" i="1"/>
  <c r="AP345" i="1"/>
  <c r="AQ345" i="1"/>
  <c r="AR345" i="1"/>
  <c r="AS345" i="1"/>
  <c r="AO346" i="1"/>
  <c r="AP346" i="1"/>
  <c r="AQ346" i="1"/>
  <c r="AR346" i="1"/>
  <c r="AS346" i="1"/>
  <c r="AO347" i="1"/>
  <c r="AP347" i="1"/>
  <c r="AQ347" i="1"/>
  <c r="AR347" i="1"/>
  <c r="AS347" i="1"/>
  <c r="AO348" i="1"/>
  <c r="AP348" i="1"/>
  <c r="AQ348" i="1"/>
  <c r="AR348" i="1"/>
  <c r="AS348" i="1"/>
  <c r="AO349" i="1"/>
  <c r="AP349" i="1"/>
  <c r="AQ349" i="1"/>
  <c r="AR349" i="1"/>
  <c r="AS349" i="1"/>
  <c r="AO350" i="1"/>
  <c r="AP350" i="1"/>
  <c r="AQ350" i="1"/>
  <c r="AR350" i="1"/>
  <c r="AS350" i="1"/>
  <c r="AO351" i="1"/>
  <c r="AP351" i="1"/>
  <c r="AQ351" i="1"/>
  <c r="AR351" i="1"/>
  <c r="AS351" i="1"/>
  <c r="AO352" i="1"/>
  <c r="AP352" i="1"/>
  <c r="AQ352" i="1"/>
  <c r="AR352" i="1"/>
  <c r="AS352" i="1"/>
  <c r="AO353" i="1"/>
  <c r="AP353" i="1"/>
  <c r="AQ353" i="1"/>
  <c r="AR353" i="1"/>
  <c r="AS353" i="1"/>
  <c r="AO354" i="1"/>
  <c r="AP354" i="1"/>
  <c r="AQ354" i="1"/>
  <c r="AR354" i="1"/>
  <c r="AS354" i="1"/>
  <c r="AO355" i="1"/>
  <c r="AP355" i="1"/>
  <c r="AQ355" i="1"/>
  <c r="AR355" i="1"/>
  <c r="AS355" i="1"/>
  <c r="AO356" i="1"/>
  <c r="AP356" i="1"/>
  <c r="AQ356" i="1"/>
  <c r="AR356" i="1"/>
  <c r="AS356" i="1"/>
  <c r="AO357" i="1"/>
  <c r="AP357" i="1"/>
  <c r="AQ357" i="1"/>
  <c r="AR357" i="1"/>
  <c r="AS357" i="1"/>
  <c r="AO358" i="1"/>
  <c r="AP358" i="1"/>
  <c r="AQ358" i="1"/>
  <c r="AR358" i="1"/>
  <c r="AS358" i="1"/>
  <c r="AO359" i="1"/>
  <c r="AP359" i="1"/>
  <c r="AQ359" i="1"/>
  <c r="AR359" i="1"/>
  <c r="AS359" i="1"/>
  <c r="AO360" i="1"/>
  <c r="AP360" i="1"/>
  <c r="AQ360" i="1"/>
  <c r="AR360" i="1"/>
  <c r="AS360" i="1"/>
  <c r="AO361" i="1"/>
  <c r="AP361" i="1"/>
  <c r="AQ361" i="1"/>
  <c r="AR361" i="1"/>
  <c r="AS361" i="1"/>
  <c r="AO362" i="1"/>
  <c r="AP362" i="1"/>
  <c r="AQ362" i="1"/>
  <c r="AR362" i="1"/>
  <c r="AS362" i="1"/>
  <c r="AO363" i="1"/>
  <c r="AP363" i="1"/>
  <c r="AQ363" i="1"/>
  <c r="AR363" i="1"/>
  <c r="AS363" i="1"/>
  <c r="AS4" i="1"/>
  <c r="AR4" i="1"/>
  <c r="AQ4" i="1"/>
  <c r="AP4" i="1"/>
  <c r="AO4" i="1"/>
  <c r="AH5" i="1"/>
  <c r="AI5" i="1"/>
  <c r="AJ5" i="1"/>
  <c r="AK5" i="1"/>
  <c r="AL5" i="1"/>
  <c r="AH6" i="1"/>
  <c r="AI6" i="1"/>
  <c r="AJ6" i="1"/>
  <c r="AK6" i="1"/>
  <c r="AL6" i="1"/>
  <c r="AH7" i="1"/>
  <c r="AI7" i="1"/>
  <c r="AJ7" i="1"/>
  <c r="AK7" i="1"/>
  <c r="AL7" i="1"/>
  <c r="AH8" i="1"/>
  <c r="AI8" i="1"/>
  <c r="AJ8" i="1"/>
  <c r="AK8" i="1"/>
  <c r="AL8" i="1"/>
  <c r="AH9" i="1"/>
  <c r="AI9" i="1"/>
  <c r="AJ9" i="1"/>
  <c r="AK9" i="1"/>
  <c r="AL9" i="1"/>
  <c r="AH10" i="1"/>
  <c r="AI10" i="1"/>
  <c r="AJ10" i="1"/>
  <c r="AK10" i="1"/>
  <c r="AL10" i="1"/>
  <c r="AH11" i="1"/>
  <c r="AI11" i="1"/>
  <c r="AJ11" i="1"/>
  <c r="AK11" i="1"/>
  <c r="AL11" i="1"/>
  <c r="AH12" i="1"/>
  <c r="AI12" i="1"/>
  <c r="AJ12" i="1"/>
  <c r="AK12" i="1"/>
  <c r="AL12" i="1"/>
  <c r="AH13" i="1"/>
  <c r="AI13" i="1"/>
  <c r="AJ13" i="1"/>
  <c r="AK13" i="1"/>
  <c r="AL13" i="1"/>
  <c r="AH14" i="1"/>
  <c r="AI14" i="1"/>
  <c r="AJ14" i="1"/>
  <c r="AK14" i="1"/>
  <c r="AL14" i="1"/>
  <c r="AH15" i="1"/>
  <c r="AI15" i="1"/>
  <c r="AJ15" i="1"/>
  <c r="AK15" i="1"/>
  <c r="AL15" i="1"/>
  <c r="AH16" i="1"/>
  <c r="AI16" i="1"/>
  <c r="AJ16" i="1"/>
  <c r="AK16" i="1"/>
  <c r="AL16" i="1"/>
  <c r="AH17" i="1"/>
  <c r="AI17" i="1"/>
  <c r="AJ17" i="1"/>
  <c r="AK17" i="1"/>
  <c r="AL17" i="1"/>
  <c r="AH18" i="1"/>
  <c r="AI18" i="1"/>
  <c r="AJ18" i="1"/>
  <c r="AK18" i="1"/>
  <c r="AL18" i="1"/>
  <c r="AH19" i="1"/>
  <c r="AI19" i="1"/>
  <c r="AJ19" i="1"/>
  <c r="AK19" i="1"/>
  <c r="AL19" i="1"/>
  <c r="AH20" i="1"/>
  <c r="AI20" i="1"/>
  <c r="AJ20" i="1"/>
  <c r="AK20" i="1"/>
  <c r="AL20" i="1"/>
  <c r="AH21" i="1"/>
  <c r="AI21" i="1"/>
  <c r="AJ21" i="1"/>
  <c r="AK21" i="1"/>
  <c r="AL21" i="1"/>
  <c r="AH22" i="1"/>
  <c r="AI22" i="1"/>
  <c r="AJ22" i="1"/>
  <c r="AK22" i="1"/>
  <c r="AL22" i="1"/>
  <c r="AH23" i="1"/>
  <c r="AI23" i="1"/>
  <c r="AJ23" i="1"/>
  <c r="AK23" i="1"/>
  <c r="AL23" i="1"/>
  <c r="AH24" i="1"/>
  <c r="AI24" i="1"/>
  <c r="AJ24" i="1"/>
  <c r="AK24" i="1"/>
  <c r="AL24" i="1"/>
  <c r="AH25" i="1"/>
  <c r="AI25" i="1"/>
  <c r="AJ25" i="1"/>
  <c r="AK25" i="1"/>
  <c r="AL25" i="1"/>
  <c r="AH26" i="1"/>
  <c r="AI26" i="1"/>
  <c r="AJ26" i="1"/>
  <c r="AK26" i="1"/>
  <c r="AL26" i="1"/>
  <c r="AH27" i="1"/>
  <c r="AI27" i="1"/>
  <c r="AJ27" i="1"/>
  <c r="AK27" i="1"/>
  <c r="AL27" i="1"/>
  <c r="AH28" i="1"/>
  <c r="AI28" i="1"/>
  <c r="AJ28" i="1"/>
  <c r="AK28" i="1"/>
  <c r="AL28" i="1"/>
  <c r="AH29" i="1"/>
  <c r="AI29" i="1"/>
  <c r="AJ29" i="1"/>
  <c r="AK29" i="1"/>
  <c r="AL29" i="1"/>
  <c r="AH30" i="1"/>
  <c r="AI30" i="1"/>
  <c r="AJ30" i="1"/>
  <c r="AK30" i="1"/>
  <c r="AL30" i="1"/>
  <c r="AH31" i="1"/>
  <c r="AI31" i="1"/>
  <c r="AJ31" i="1"/>
  <c r="AK31" i="1"/>
  <c r="AL31" i="1"/>
  <c r="AH32" i="1"/>
  <c r="AI32" i="1"/>
  <c r="AJ32" i="1"/>
  <c r="AK32" i="1"/>
  <c r="AL32" i="1"/>
  <c r="AH33" i="1"/>
  <c r="AI33" i="1"/>
  <c r="AJ33" i="1"/>
  <c r="AK33" i="1"/>
  <c r="AL33" i="1"/>
  <c r="AH34" i="1"/>
  <c r="AI34" i="1"/>
  <c r="AJ34" i="1"/>
  <c r="AK34" i="1"/>
  <c r="AL34" i="1"/>
  <c r="AH35" i="1"/>
  <c r="AI35" i="1"/>
  <c r="AJ35" i="1"/>
  <c r="AK35" i="1"/>
  <c r="AL35" i="1"/>
  <c r="AH36" i="1"/>
  <c r="AI36" i="1"/>
  <c r="AJ36" i="1"/>
  <c r="AK36" i="1"/>
  <c r="AL36" i="1"/>
  <c r="AH37" i="1"/>
  <c r="AI37" i="1"/>
  <c r="AJ37" i="1"/>
  <c r="AK37" i="1"/>
  <c r="AL37" i="1"/>
  <c r="AH38" i="1"/>
  <c r="AI38" i="1"/>
  <c r="AJ38" i="1"/>
  <c r="AK38" i="1"/>
  <c r="AL38" i="1"/>
  <c r="AH39" i="1"/>
  <c r="AI39" i="1"/>
  <c r="AJ39" i="1"/>
  <c r="AK39" i="1"/>
  <c r="AL39" i="1"/>
  <c r="AH40" i="1"/>
  <c r="AI40" i="1"/>
  <c r="AJ40" i="1"/>
  <c r="AK40" i="1"/>
  <c r="AL40" i="1"/>
  <c r="AH41" i="1"/>
  <c r="AI41" i="1"/>
  <c r="AJ41" i="1"/>
  <c r="AK41" i="1"/>
  <c r="AL41" i="1"/>
  <c r="AH42" i="1"/>
  <c r="AI42" i="1"/>
  <c r="AJ42" i="1"/>
  <c r="AK42" i="1"/>
  <c r="AL42" i="1"/>
  <c r="AH43" i="1"/>
  <c r="AI43" i="1"/>
  <c r="AJ43" i="1"/>
  <c r="AK43" i="1"/>
  <c r="AL43" i="1"/>
  <c r="AH44" i="1"/>
  <c r="AI44" i="1"/>
  <c r="AJ44" i="1"/>
  <c r="AK44" i="1"/>
  <c r="AL44" i="1"/>
  <c r="AH45" i="1"/>
  <c r="AI45" i="1"/>
  <c r="AJ45" i="1"/>
  <c r="AK45" i="1"/>
  <c r="AL45" i="1"/>
  <c r="AH46" i="1"/>
  <c r="AI46" i="1"/>
  <c r="AJ46" i="1"/>
  <c r="AK46" i="1"/>
  <c r="AL46" i="1"/>
  <c r="AH47" i="1"/>
  <c r="AI47" i="1"/>
  <c r="AJ47" i="1"/>
  <c r="AK47" i="1"/>
  <c r="AL47" i="1"/>
  <c r="AH48" i="1"/>
  <c r="AI48" i="1"/>
  <c r="AJ48" i="1"/>
  <c r="AK48" i="1"/>
  <c r="AL48" i="1"/>
  <c r="AH49" i="1"/>
  <c r="AI49" i="1"/>
  <c r="AJ49" i="1"/>
  <c r="AK49" i="1"/>
  <c r="AL49" i="1"/>
  <c r="AH50" i="1"/>
  <c r="AI50" i="1"/>
  <c r="AJ50" i="1"/>
  <c r="AK50" i="1"/>
  <c r="AL50" i="1"/>
  <c r="AH51" i="1"/>
  <c r="AI51" i="1"/>
  <c r="AJ51" i="1"/>
  <c r="AK51" i="1"/>
  <c r="AL51" i="1"/>
  <c r="AH52" i="1"/>
  <c r="AI52" i="1"/>
  <c r="AJ52" i="1"/>
  <c r="AK52" i="1"/>
  <c r="AL52" i="1"/>
  <c r="AH53" i="1"/>
  <c r="AI53" i="1"/>
  <c r="AJ53" i="1"/>
  <c r="AK53" i="1"/>
  <c r="AL53" i="1"/>
  <c r="AL4" i="1"/>
  <c r="AK4" i="1"/>
  <c r="AJ4" i="1"/>
  <c r="AI4" i="1"/>
  <c r="AH4" i="1"/>
  <c r="AA5" i="1"/>
  <c r="AB5" i="1"/>
  <c r="AC5" i="1"/>
  <c r="AD5" i="1"/>
  <c r="AE5" i="1"/>
  <c r="AA6" i="1"/>
  <c r="AB6" i="1"/>
  <c r="AC6" i="1"/>
  <c r="AD6" i="1"/>
  <c r="AE6" i="1"/>
  <c r="AA7" i="1"/>
  <c r="AB7" i="1"/>
  <c r="AC7" i="1"/>
  <c r="AD7" i="1"/>
  <c r="AE7" i="1"/>
  <c r="AA8" i="1"/>
  <c r="AB8" i="1"/>
  <c r="AC8" i="1"/>
  <c r="AD8" i="1"/>
  <c r="AE8" i="1"/>
  <c r="AA9" i="1"/>
  <c r="AB9" i="1"/>
  <c r="AC9" i="1"/>
  <c r="AD9" i="1"/>
  <c r="AE9" i="1"/>
  <c r="AA10" i="1"/>
  <c r="AB10" i="1"/>
  <c r="AC10" i="1"/>
  <c r="AD10" i="1"/>
  <c r="AE10" i="1"/>
  <c r="AA11" i="1"/>
  <c r="AB11" i="1"/>
  <c r="AC11" i="1"/>
  <c r="AD11" i="1"/>
  <c r="AE11" i="1"/>
  <c r="AA12" i="1"/>
  <c r="AB12" i="1"/>
  <c r="AC12" i="1"/>
  <c r="AD12" i="1"/>
  <c r="AE12" i="1"/>
  <c r="AA13" i="1"/>
  <c r="AB13" i="1"/>
  <c r="AC13" i="1"/>
  <c r="AD13" i="1"/>
  <c r="AE13" i="1"/>
  <c r="AA14" i="1"/>
  <c r="AB14" i="1"/>
  <c r="AC14" i="1"/>
  <c r="AD14" i="1"/>
  <c r="AE14" i="1"/>
  <c r="AA15" i="1"/>
  <c r="AB15" i="1"/>
  <c r="AC15" i="1"/>
  <c r="AD15" i="1"/>
  <c r="AE15" i="1"/>
  <c r="AA16" i="1"/>
  <c r="AB16" i="1"/>
  <c r="AC16" i="1"/>
  <c r="AD16" i="1"/>
  <c r="AE16" i="1"/>
  <c r="AA17" i="1"/>
  <c r="AB17" i="1"/>
  <c r="AC17" i="1"/>
  <c r="AD17" i="1"/>
  <c r="AE17" i="1"/>
  <c r="AA18" i="1"/>
  <c r="AB18" i="1"/>
  <c r="AC18" i="1"/>
  <c r="AD18" i="1"/>
  <c r="AE18" i="1"/>
  <c r="AA19" i="1"/>
  <c r="AB19" i="1"/>
  <c r="AC19" i="1"/>
  <c r="AD19" i="1"/>
  <c r="AE19" i="1"/>
  <c r="AA20" i="1"/>
  <c r="AB20" i="1"/>
  <c r="AC20" i="1"/>
  <c r="AD20" i="1"/>
  <c r="AE20" i="1"/>
  <c r="AA21" i="1"/>
  <c r="AB21" i="1"/>
  <c r="AC21" i="1"/>
  <c r="AD21" i="1"/>
  <c r="AE21" i="1"/>
  <c r="AA22" i="1"/>
  <c r="AB22" i="1"/>
  <c r="AC22" i="1"/>
  <c r="AD22" i="1"/>
  <c r="AE22" i="1"/>
  <c r="AA23" i="1"/>
  <c r="AB23" i="1"/>
  <c r="AC23" i="1"/>
  <c r="AD23" i="1"/>
  <c r="AE23" i="1"/>
  <c r="AA24" i="1"/>
  <c r="AB24" i="1"/>
  <c r="AC24" i="1"/>
  <c r="AD24" i="1"/>
  <c r="AE24" i="1"/>
  <c r="AA25" i="1"/>
  <c r="AB25" i="1"/>
  <c r="AC25" i="1"/>
  <c r="AD25" i="1"/>
  <c r="AE25" i="1"/>
  <c r="AA26" i="1"/>
  <c r="AB26" i="1"/>
  <c r="AC26" i="1"/>
  <c r="AD26" i="1"/>
  <c r="AE26" i="1"/>
  <c r="AA27" i="1"/>
  <c r="AB27" i="1"/>
  <c r="AC27" i="1"/>
  <c r="AD27" i="1"/>
  <c r="AE27" i="1"/>
  <c r="AA28" i="1"/>
  <c r="AB28" i="1"/>
  <c r="AC28" i="1"/>
  <c r="AD28" i="1"/>
  <c r="AE28" i="1"/>
  <c r="AA29" i="1"/>
  <c r="AB29" i="1"/>
  <c r="AC29" i="1"/>
  <c r="AD29" i="1"/>
  <c r="AE29" i="1"/>
  <c r="AA30" i="1"/>
  <c r="AB30" i="1"/>
  <c r="AC30" i="1"/>
  <c r="AD30" i="1"/>
  <c r="AE30" i="1"/>
  <c r="AA31" i="1"/>
  <c r="AB31" i="1"/>
  <c r="AC31" i="1"/>
  <c r="AD31" i="1"/>
  <c r="AE31" i="1"/>
  <c r="AA32" i="1"/>
  <c r="AB32" i="1"/>
  <c r="AC32" i="1"/>
  <c r="AD32" i="1"/>
  <c r="AE32" i="1"/>
  <c r="AA33" i="1"/>
  <c r="AB33" i="1"/>
  <c r="AC33" i="1"/>
  <c r="AD33" i="1"/>
  <c r="AE33" i="1"/>
  <c r="AA34" i="1"/>
  <c r="AB34" i="1"/>
  <c r="AC34" i="1"/>
  <c r="AD34" i="1"/>
  <c r="AE34" i="1"/>
  <c r="AA35" i="1"/>
  <c r="AB35" i="1"/>
  <c r="AC35" i="1"/>
  <c r="AD35" i="1"/>
  <c r="AE35" i="1"/>
  <c r="AA36" i="1"/>
  <c r="AB36" i="1"/>
  <c r="AC36" i="1"/>
  <c r="AD36" i="1"/>
  <c r="AE36" i="1"/>
  <c r="AA37" i="1"/>
  <c r="AB37" i="1"/>
  <c r="AC37" i="1"/>
  <c r="AD37" i="1"/>
  <c r="AE37" i="1"/>
  <c r="AA38" i="1"/>
  <c r="AB38" i="1"/>
  <c r="AC38" i="1"/>
  <c r="AD38" i="1"/>
  <c r="AE38" i="1"/>
  <c r="AA39" i="1"/>
  <c r="AB39" i="1"/>
  <c r="AC39" i="1"/>
  <c r="AD39" i="1"/>
  <c r="AE39" i="1"/>
  <c r="AA40" i="1"/>
  <c r="AB40" i="1"/>
  <c r="AC40" i="1"/>
  <c r="AD40" i="1"/>
  <c r="AE40" i="1"/>
  <c r="AA41" i="1"/>
  <c r="AB41" i="1"/>
  <c r="AC41" i="1"/>
  <c r="AD41" i="1"/>
  <c r="AE41" i="1"/>
  <c r="AA42" i="1"/>
  <c r="AB42" i="1"/>
  <c r="AC42" i="1"/>
  <c r="AD42" i="1"/>
  <c r="AE42" i="1"/>
  <c r="AA43" i="1"/>
  <c r="AB43" i="1"/>
  <c r="AC43" i="1"/>
  <c r="AD43" i="1"/>
  <c r="AE43" i="1"/>
  <c r="AA44" i="1"/>
  <c r="AB44" i="1"/>
  <c r="AC44" i="1"/>
  <c r="AD44" i="1"/>
  <c r="AE44" i="1"/>
  <c r="AA45" i="1"/>
  <c r="AB45" i="1"/>
  <c r="AC45" i="1"/>
  <c r="AD45" i="1"/>
  <c r="AE45" i="1"/>
  <c r="AA46" i="1"/>
  <c r="AB46" i="1"/>
  <c r="AC46" i="1"/>
  <c r="AD46" i="1"/>
  <c r="AE46" i="1"/>
  <c r="AA47" i="1"/>
  <c r="AB47" i="1"/>
  <c r="AC47" i="1"/>
  <c r="AD47" i="1"/>
  <c r="AE47" i="1"/>
  <c r="AA48" i="1"/>
  <c r="AB48" i="1"/>
  <c r="AC48" i="1"/>
  <c r="AD48" i="1"/>
  <c r="AE48" i="1"/>
  <c r="AA49" i="1"/>
  <c r="AB49" i="1"/>
  <c r="AC49" i="1"/>
  <c r="AD49" i="1"/>
  <c r="AE49" i="1"/>
  <c r="AA50" i="1"/>
  <c r="AB50" i="1"/>
  <c r="AC50" i="1"/>
  <c r="AD50" i="1"/>
  <c r="AE50" i="1"/>
  <c r="AA51" i="1"/>
  <c r="AB51" i="1"/>
  <c r="AC51" i="1"/>
  <c r="AD51" i="1"/>
  <c r="AE51" i="1"/>
  <c r="AA52" i="1"/>
  <c r="AB52" i="1"/>
  <c r="AC52" i="1"/>
  <c r="AD52" i="1"/>
  <c r="AE52" i="1"/>
  <c r="AA53" i="1"/>
  <c r="AB53" i="1"/>
  <c r="AC53" i="1"/>
  <c r="AD53" i="1"/>
  <c r="AE53" i="1"/>
  <c r="AE4" i="1"/>
  <c r="AD4" i="1"/>
  <c r="AC4" i="1"/>
  <c r="AB4" i="1"/>
  <c r="AA4" i="1"/>
  <c r="K105" i="4"/>
  <c r="E73" i="12"/>
  <c r="K106" i="4"/>
  <c r="E50" i="12"/>
  <c r="K52" i="4"/>
  <c r="E52" i="12"/>
  <c r="E11" i="12"/>
  <c r="K29" i="4"/>
  <c r="E94" i="12"/>
  <c r="E78" i="12"/>
  <c r="K31" i="4"/>
  <c r="K104" i="4"/>
  <c r="K7" i="4"/>
  <c r="K80" i="4"/>
  <c r="K12" i="4"/>
  <c r="E97" i="12"/>
  <c r="K55" i="4"/>
  <c r="E53" i="12"/>
  <c r="E33" i="12"/>
  <c r="K8" i="4"/>
  <c r="K81" i="4"/>
  <c r="K33" i="4"/>
  <c r="E93" i="12"/>
  <c r="K75" i="4"/>
  <c r="E31" i="12"/>
  <c r="K34" i="4"/>
  <c r="K53" i="4"/>
  <c r="E57" i="12"/>
  <c r="K83" i="4"/>
  <c r="E58" i="12"/>
  <c r="K57" i="4"/>
  <c r="K78" i="4"/>
  <c r="E56" i="12"/>
  <c r="E77" i="12"/>
  <c r="E72" i="12"/>
  <c r="K79" i="4"/>
  <c r="K56" i="4"/>
  <c r="E15" i="12"/>
  <c r="K10" i="4"/>
  <c r="K98" i="4"/>
  <c r="E34" i="12"/>
  <c r="E54" i="12"/>
  <c r="E98" i="12"/>
  <c r="E18" i="12"/>
  <c r="E75" i="12"/>
  <c r="E14" i="12"/>
  <c r="K76" i="4"/>
  <c r="E91" i="12"/>
  <c r="E71" i="12"/>
  <c r="E55" i="12"/>
  <c r="K60" i="4"/>
  <c r="K11" i="4"/>
  <c r="E92" i="12"/>
  <c r="K9" i="4"/>
  <c r="E36" i="12"/>
  <c r="E74" i="12"/>
  <c r="E90" i="12"/>
  <c r="E12" i="12"/>
  <c r="E37" i="12"/>
  <c r="K58" i="4"/>
  <c r="E35" i="12"/>
  <c r="K36" i="4"/>
  <c r="E30" i="12"/>
  <c r="E51" i="12"/>
  <c r="E10" i="12"/>
  <c r="E32" i="12"/>
  <c r="K32" i="4"/>
  <c r="K100" i="4"/>
  <c r="K13" i="4"/>
  <c r="K14" i="4"/>
  <c r="E38" i="12"/>
  <c r="K103" i="4"/>
  <c r="K101" i="4"/>
  <c r="E95" i="12"/>
  <c r="K59" i="4"/>
  <c r="K37" i="4"/>
  <c r="E13" i="12"/>
  <c r="K6" i="4"/>
  <c r="E16" i="12"/>
  <c r="K54" i="4"/>
  <c r="E76" i="12"/>
  <c r="K99" i="4"/>
  <c r="K77" i="4"/>
  <c r="E70" i="12"/>
  <c r="K35" i="4"/>
  <c r="K30" i="4"/>
  <c r="K102" i="4"/>
  <c r="E17" i="12"/>
  <c r="E96" i="12"/>
  <c r="K82" i="4"/>
  <c r="P26" i="17" l="1"/>
  <c r="P73" i="17"/>
  <c r="P87" i="17"/>
  <c r="P46" i="17"/>
  <c r="P68" i="17"/>
  <c r="P52" i="17"/>
  <c r="P9" i="17"/>
  <c r="P47" i="17"/>
  <c r="P65" i="17"/>
  <c r="P86" i="17"/>
  <c r="P91" i="17"/>
  <c r="P30" i="17"/>
  <c r="P5" i="17"/>
  <c r="P7" i="17"/>
  <c r="P31" i="17"/>
  <c r="P72" i="17"/>
  <c r="P89" i="17"/>
  <c r="P67" i="17"/>
  <c r="P33" i="17"/>
  <c r="P25" i="17"/>
  <c r="P10" i="17"/>
  <c r="P66" i="17"/>
  <c r="P28" i="17"/>
  <c r="P50" i="17"/>
  <c r="P88" i="17"/>
  <c r="P93" i="17"/>
  <c r="P92" i="17"/>
  <c r="P49" i="17"/>
  <c r="P11" i="17"/>
  <c r="P6" i="17"/>
  <c r="P8" i="17"/>
  <c r="P12" i="17"/>
  <c r="P71" i="17"/>
  <c r="P53" i="17"/>
  <c r="P70" i="17"/>
  <c r="P29" i="17"/>
  <c r="P13" i="17"/>
  <c r="P45" i="17"/>
  <c r="P32" i="17"/>
  <c r="P90" i="17"/>
  <c r="P27" i="17"/>
  <c r="P69" i="17"/>
  <c r="P85" i="17"/>
  <c r="P48" i="17"/>
  <c r="P51" i="17"/>
  <c r="AJ26" i="8"/>
  <c r="L26" i="8"/>
  <c r="L73" i="8"/>
  <c r="AJ73" i="8"/>
  <c r="L87" i="8"/>
  <c r="AJ87" i="8"/>
  <c r="AJ46" i="8"/>
  <c r="L46" i="8"/>
  <c r="AJ68" i="8"/>
  <c r="L68" i="8"/>
  <c r="AJ52" i="8"/>
  <c r="L52" i="8"/>
  <c r="L9" i="8"/>
  <c r="AJ9" i="8"/>
  <c r="L47" i="8"/>
  <c r="AJ47" i="8"/>
  <c r="L65" i="8"/>
  <c r="AJ65" i="8"/>
  <c r="L86" i="8"/>
  <c r="AJ86" i="8"/>
  <c r="L91" i="8"/>
  <c r="AJ91" i="8"/>
  <c r="AJ30" i="8"/>
  <c r="L30" i="8"/>
  <c r="AJ5" i="8"/>
  <c r="L5" i="8"/>
  <c r="AJ7" i="8"/>
  <c r="L7" i="8"/>
  <c r="L31" i="8"/>
  <c r="AJ31" i="8"/>
  <c r="AJ72" i="8"/>
  <c r="L72" i="8"/>
  <c r="L89" i="8"/>
  <c r="AJ89" i="8"/>
  <c r="AJ67" i="8"/>
  <c r="L67" i="8"/>
  <c r="L33" i="8"/>
  <c r="AJ33" i="8"/>
  <c r="L25" i="8"/>
  <c r="AJ25" i="8"/>
  <c r="AJ10" i="8"/>
  <c r="L10" i="8"/>
  <c r="AJ66" i="8"/>
  <c r="L66" i="8"/>
  <c r="AJ28" i="8"/>
  <c r="L28" i="8"/>
  <c r="AJ50" i="8"/>
  <c r="L50" i="8"/>
  <c r="AJ88" i="8"/>
  <c r="L88" i="8"/>
  <c r="L93" i="8"/>
  <c r="AJ93" i="8"/>
  <c r="AJ92" i="8"/>
  <c r="L92" i="8"/>
  <c r="L49" i="8"/>
  <c r="AJ49" i="8"/>
  <c r="AJ11" i="8"/>
  <c r="L11" i="8"/>
  <c r="AJ6" i="8"/>
  <c r="L6" i="8"/>
  <c r="L8" i="8"/>
  <c r="AJ8" i="8"/>
  <c r="AJ12" i="8"/>
  <c r="L12" i="8"/>
  <c r="L71" i="8"/>
  <c r="AJ71" i="8"/>
  <c r="L53" i="8"/>
  <c r="AJ53" i="8"/>
  <c r="L70" i="8"/>
  <c r="AJ70" i="8"/>
  <c r="L29" i="8"/>
  <c r="AJ29" i="8"/>
  <c r="L13" i="8"/>
  <c r="AJ13" i="8"/>
  <c r="L45" i="8"/>
  <c r="AJ45" i="8"/>
  <c r="AJ32" i="8"/>
  <c r="L32" i="8"/>
  <c r="L90" i="8"/>
  <c r="AJ90" i="8"/>
  <c r="AJ27" i="8"/>
  <c r="L27" i="8"/>
  <c r="L69" i="8"/>
  <c r="AJ69" i="8"/>
  <c r="L85" i="8"/>
  <c r="AJ85" i="8"/>
  <c r="AJ48" i="8"/>
  <c r="L48" i="8"/>
  <c r="L51" i="8"/>
  <c r="AJ51" i="8"/>
  <c r="W26" i="11"/>
  <c r="AK26" i="11" s="1"/>
  <c r="AK27" i="11" s="1"/>
  <c r="AK28" i="11" s="1"/>
  <c r="AK29" i="11" s="1"/>
  <c r="AK30" i="11" s="1"/>
  <c r="AK31" i="11" s="1"/>
  <c r="AK32" i="11" s="1"/>
  <c r="AK33" i="11" s="1"/>
  <c r="AK34" i="11" s="1"/>
  <c r="AK35" i="11" s="1"/>
  <c r="AK36" i="11" s="1"/>
  <c r="AK37" i="11" s="1"/>
  <c r="AK38" i="11" s="1"/>
  <c r="AK39" i="11" s="1"/>
  <c r="AK40" i="11" s="1"/>
  <c r="W73" i="11"/>
  <c r="W87" i="11"/>
  <c r="W46" i="11"/>
  <c r="W68" i="11"/>
  <c r="W52" i="11"/>
  <c r="W9" i="11"/>
  <c r="W47" i="11"/>
  <c r="W65" i="11"/>
  <c r="W86" i="11"/>
  <c r="W91" i="11"/>
  <c r="W30" i="11"/>
  <c r="W5" i="11"/>
  <c r="W7" i="11"/>
  <c r="W31" i="11"/>
  <c r="W72" i="11"/>
  <c r="W89" i="11"/>
  <c r="W67" i="11"/>
  <c r="W33" i="11"/>
  <c r="W25" i="11"/>
  <c r="W10" i="11"/>
  <c r="W66" i="11"/>
  <c r="W28" i="11"/>
  <c r="W50" i="11"/>
  <c r="W88" i="11"/>
  <c r="W93" i="11"/>
  <c r="W92" i="11"/>
  <c r="W49" i="11"/>
  <c r="W11" i="11"/>
  <c r="W6" i="11"/>
  <c r="AK6" i="11" s="1"/>
  <c r="AK7" i="11" s="1"/>
  <c r="AK8" i="11" s="1"/>
  <c r="AK9" i="11" s="1"/>
  <c r="AK10" i="11" s="1"/>
  <c r="AK11" i="11" s="1"/>
  <c r="W8" i="11"/>
  <c r="W12" i="11"/>
  <c r="W71" i="11"/>
  <c r="W53" i="11"/>
  <c r="W70" i="11"/>
  <c r="W29" i="11"/>
  <c r="W13" i="11"/>
  <c r="W45" i="11"/>
  <c r="W32" i="11"/>
  <c r="W90" i="11"/>
  <c r="W27" i="11"/>
  <c r="W69" i="11"/>
  <c r="W85" i="11"/>
  <c r="W48" i="11"/>
  <c r="W51" i="11"/>
  <c r="E65" i="10"/>
  <c r="E65" i="16"/>
  <c r="E72" i="10"/>
  <c r="E72" i="16"/>
  <c r="E13" i="10"/>
  <c r="E13" i="16"/>
  <c r="E10" i="16"/>
  <c r="E10" i="10"/>
  <c r="E88" i="10"/>
  <c r="E88" i="16"/>
  <c r="E49" i="10"/>
  <c r="E49" i="16"/>
  <c r="E12" i="10"/>
  <c r="E12" i="16"/>
  <c r="E48" i="10"/>
  <c r="E48" i="16"/>
  <c r="E68" i="10"/>
  <c r="E68" i="16"/>
  <c r="E86" i="10"/>
  <c r="E86" i="16"/>
  <c r="E25" i="10"/>
  <c r="E25" i="16"/>
  <c r="E11" i="10"/>
  <c r="E11" i="16"/>
  <c r="E45" i="10"/>
  <c r="E45" i="16"/>
  <c r="E26" i="10"/>
  <c r="E26" i="16"/>
  <c r="E52" i="10"/>
  <c r="E52" i="16"/>
  <c r="E5" i="16"/>
  <c r="E5" i="10"/>
  <c r="E66" i="10"/>
  <c r="E66" i="16"/>
  <c r="E6" i="16"/>
  <c r="E6" i="10"/>
  <c r="E71" i="10"/>
  <c r="E71" i="16"/>
  <c r="E32" i="10"/>
  <c r="E32" i="16"/>
  <c r="E73" i="10"/>
  <c r="E73" i="16"/>
  <c r="E9" i="10"/>
  <c r="E9" i="16"/>
  <c r="E7" i="10"/>
  <c r="E7" i="16"/>
  <c r="E67" i="10"/>
  <c r="E67" i="16"/>
  <c r="E28" i="10"/>
  <c r="E28" i="16"/>
  <c r="E93" i="10"/>
  <c r="E93" i="16"/>
  <c r="E53" i="10"/>
  <c r="E53" i="16"/>
  <c r="E90" i="10"/>
  <c r="E90" i="16"/>
  <c r="E87" i="10"/>
  <c r="E87" i="16"/>
  <c r="E47" i="10"/>
  <c r="E47" i="16"/>
  <c r="E33" i="10"/>
  <c r="E33" i="16"/>
  <c r="E8" i="10"/>
  <c r="E8" i="16"/>
  <c r="E70" i="10"/>
  <c r="E70" i="16"/>
  <c r="E27" i="10"/>
  <c r="E27" i="16"/>
  <c r="E91" i="10"/>
  <c r="E91" i="16"/>
  <c r="E89" i="10"/>
  <c r="E89" i="16"/>
  <c r="E50" i="10"/>
  <c r="E50" i="16"/>
  <c r="E69" i="10"/>
  <c r="E69" i="16"/>
  <c r="E51" i="10"/>
  <c r="E51" i="16"/>
  <c r="E46" i="10"/>
  <c r="E46" i="16"/>
  <c r="E30" i="10"/>
  <c r="E30" i="16"/>
  <c r="E31" i="10"/>
  <c r="E31" i="16"/>
  <c r="E92" i="10"/>
  <c r="E92" i="16"/>
  <c r="E29" i="10"/>
  <c r="E29" i="16"/>
  <c r="E85" i="10"/>
  <c r="E85" i="16"/>
  <c r="M29" i="14"/>
  <c r="E29" i="15"/>
  <c r="M29" i="13"/>
  <c r="E88" i="15"/>
  <c r="M88" i="13"/>
  <c r="M88" i="14"/>
  <c r="M89" i="14"/>
  <c r="E89" i="15"/>
  <c r="M89" i="13"/>
  <c r="E26" i="15"/>
  <c r="M26" i="13"/>
  <c r="M26" i="14"/>
  <c r="E90" i="15"/>
  <c r="M90" i="13"/>
  <c r="M90" i="14"/>
  <c r="E7" i="15"/>
  <c r="M7" i="13"/>
  <c r="M7" i="14"/>
  <c r="M8" i="13"/>
  <c r="E8" i="15"/>
  <c r="M8" i="14"/>
  <c r="M85" i="14"/>
  <c r="E85" i="15"/>
  <c r="M85" i="13"/>
  <c r="M9" i="14"/>
  <c r="E9" i="15"/>
  <c r="M9" i="13"/>
  <c r="E86" i="15"/>
  <c r="M86" i="13"/>
  <c r="M86" i="14"/>
  <c r="E52" i="15"/>
  <c r="M52" i="13"/>
  <c r="M52" i="14"/>
  <c r="E87" i="15"/>
  <c r="M87" i="13"/>
  <c r="M87" i="14"/>
  <c r="E70" i="15"/>
  <c r="M70" i="13"/>
  <c r="M70" i="14"/>
  <c r="E50" i="15"/>
  <c r="M50" i="13"/>
  <c r="M50" i="14"/>
  <c r="E30" i="15"/>
  <c r="M30" i="13"/>
  <c r="M30" i="14"/>
  <c r="M49" i="14"/>
  <c r="M49" i="13"/>
  <c r="E49" i="15"/>
  <c r="E6" i="15"/>
  <c r="M6" i="14"/>
  <c r="M6" i="13"/>
  <c r="E67" i="15"/>
  <c r="M67" i="13"/>
  <c r="M67" i="14"/>
  <c r="E47" i="15"/>
  <c r="M47" i="13"/>
  <c r="M47" i="14"/>
  <c r="E27" i="15"/>
  <c r="M27" i="13"/>
  <c r="M27" i="14"/>
  <c r="E31" i="15"/>
  <c r="M31" i="13"/>
  <c r="M31" i="14"/>
  <c r="E46" i="15"/>
  <c r="M46" i="13"/>
  <c r="M46" i="14"/>
  <c r="M65" i="14"/>
  <c r="M65" i="13"/>
  <c r="E65" i="15"/>
  <c r="M45" i="14"/>
  <c r="M45" i="13"/>
  <c r="E45" i="15"/>
  <c r="M25" i="14"/>
  <c r="E25" i="15"/>
  <c r="M25" i="13"/>
  <c r="M5" i="14"/>
  <c r="M5" i="13"/>
  <c r="E5" i="15"/>
  <c r="E71" i="15"/>
  <c r="M71" i="13"/>
  <c r="M71" i="14"/>
  <c r="E28" i="15"/>
  <c r="M28" i="13"/>
  <c r="M28" i="14"/>
  <c r="E68" i="15"/>
  <c r="M68" i="13"/>
  <c r="M68" i="14"/>
  <c r="E32" i="15"/>
  <c r="M32" i="13"/>
  <c r="M32" i="14"/>
  <c r="M93" i="14"/>
  <c r="E93" i="15"/>
  <c r="M93" i="13"/>
  <c r="E72" i="15"/>
  <c r="M72" i="13"/>
  <c r="M72" i="14"/>
  <c r="M12" i="13"/>
  <c r="E12" i="15"/>
  <c r="M12" i="14"/>
  <c r="M69" i="14"/>
  <c r="M69" i="13"/>
  <c r="E69" i="15"/>
  <c r="M13" i="14"/>
  <c r="E13" i="15"/>
  <c r="M13" i="13"/>
  <c r="E66" i="15"/>
  <c r="M66" i="13"/>
  <c r="M66" i="14"/>
  <c r="M73" i="14"/>
  <c r="E73" i="15"/>
  <c r="M73" i="13"/>
  <c r="M53" i="14"/>
  <c r="E53" i="15"/>
  <c r="M53" i="13"/>
  <c r="M33" i="14"/>
  <c r="E33" i="15"/>
  <c r="M33" i="13"/>
  <c r="E91" i="15"/>
  <c r="M91" i="13"/>
  <c r="M91" i="14"/>
  <c r="E51" i="15"/>
  <c r="M51" i="13"/>
  <c r="M51" i="14"/>
  <c r="E92" i="15"/>
  <c r="M92" i="13"/>
  <c r="M92" i="14"/>
  <c r="E10" i="15"/>
  <c r="M10" i="14"/>
  <c r="M10" i="13"/>
  <c r="E48" i="15"/>
  <c r="M48" i="13"/>
  <c r="M48" i="14"/>
  <c r="E11" i="15"/>
  <c r="M11" i="13"/>
  <c r="M11" i="14"/>
  <c r="R12" i="4"/>
  <c r="R34" i="4"/>
  <c r="R57" i="4" s="1"/>
  <c r="R80" i="4" s="1"/>
  <c r="R103" i="4" s="1"/>
  <c r="S12" i="4"/>
  <c r="S34" i="4"/>
  <c r="S57" i="4" s="1"/>
  <c r="S80" i="4" s="1"/>
  <c r="S103" i="4" s="1"/>
  <c r="Q12" i="4"/>
  <c r="Q34" i="4"/>
  <c r="Q57" i="4" s="1"/>
  <c r="Q80" i="4" s="1"/>
  <c r="Q103" i="4" s="1"/>
  <c r="P13" i="4"/>
  <c r="P35" i="4"/>
  <c r="P58" i="4" s="1"/>
  <c r="P81" i="4" s="1"/>
  <c r="P104" i="4" s="1"/>
  <c r="O13" i="4"/>
  <c r="O35" i="4"/>
  <c r="O58" i="4" s="1"/>
  <c r="O81" i="4" s="1"/>
  <c r="O104" i="4" s="1"/>
  <c r="E105" i="1"/>
  <c r="G106" i="1"/>
  <c r="D107" i="1"/>
  <c r="F108" i="1"/>
  <c r="D110" i="1"/>
  <c r="H111" i="1"/>
  <c r="G112" i="1"/>
  <c r="AF7" i="4"/>
  <c r="Z9" i="11" l="1"/>
  <c r="AK12" i="11"/>
  <c r="AK13" i="11" s="1"/>
  <c r="AK14" i="11" s="1"/>
  <c r="AK15" i="11" s="1"/>
  <c r="AK16" i="11" s="1"/>
  <c r="AK17" i="11" s="1"/>
  <c r="AK18" i="11" s="1"/>
  <c r="AK19" i="11" s="1"/>
  <c r="AK20" i="11" s="1"/>
  <c r="AK66" i="11"/>
  <c r="AK67" i="11" s="1"/>
  <c r="AK68" i="11" s="1"/>
  <c r="AK69" i="11" s="1"/>
  <c r="AK70" i="11" s="1"/>
  <c r="AK71" i="11" s="1"/>
  <c r="AK72" i="11" s="1"/>
  <c r="AK73" i="11" s="1"/>
  <c r="AK74" i="11" s="1"/>
  <c r="AK75" i="11" s="1"/>
  <c r="AK76" i="11" s="1"/>
  <c r="AK77" i="11" s="1"/>
  <c r="AK78" i="11" s="1"/>
  <c r="AK79" i="11" s="1"/>
  <c r="AK80" i="11" s="1"/>
  <c r="AK46" i="11"/>
  <c r="AK47" i="11" s="1"/>
  <c r="AK48" i="11" s="1"/>
  <c r="AK49" i="11" s="1"/>
  <c r="AK50" i="11" s="1"/>
  <c r="AK51" i="11" s="1"/>
  <c r="AK52" i="11" s="1"/>
  <c r="AK53" i="11" s="1"/>
  <c r="AK54" i="11" s="1"/>
  <c r="AK55" i="11" s="1"/>
  <c r="AK56" i="11" s="1"/>
  <c r="AK57" i="11" s="1"/>
  <c r="AK58" i="11" s="1"/>
  <c r="AK59" i="11" s="1"/>
  <c r="AK60" i="11" s="1"/>
  <c r="AK86" i="11"/>
  <c r="AK87" i="11" s="1"/>
  <c r="AK88" i="11" s="1"/>
  <c r="AK89" i="11" s="1"/>
  <c r="AK90" i="11" s="1"/>
  <c r="AK91" i="11" s="1"/>
  <c r="AK92" i="11" s="1"/>
  <c r="AK93" i="11" s="1"/>
  <c r="AK94" i="11" s="1"/>
  <c r="AK95" i="11" s="1"/>
  <c r="AK96" i="11" s="1"/>
  <c r="AK97" i="11" s="1"/>
  <c r="AK98" i="11" s="1"/>
  <c r="AK99" i="11" s="1"/>
  <c r="AK100" i="11" s="1"/>
  <c r="Y8" i="11"/>
  <c r="AC8" i="11"/>
  <c r="Z8" i="11"/>
  <c r="AA8" i="11"/>
  <c r="AB8" i="11"/>
  <c r="AA51" i="11"/>
  <c r="Z51" i="11"/>
  <c r="AC51" i="11"/>
  <c r="AB51" i="11"/>
  <c r="Y51" i="11"/>
  <c r="Z71" i="11"/>
  <c r="AB71" i="11"/>
  <c r="AC71" i="11"/>
  <c r="Y71" i="11"/>
  <c r="AA71" i="11"/>
  <c r="AB10" i="11"/>
  <c r="AC10" i="11"/>
  <c r="Y10" i="11"/>
  <c r="AA10" i="11"/>
  <c r="Z10" i="11"/>
  <c r="Y33" i="11"/>
  <c r="Z33" i="11"/>
  <c r="AA33" i="11"/>
  <c r="AC33" i="11"/>
  <c r="AB33" i="11"/>
  <c r="AB34" i="11"/>
  <c r="AC34" i="11"/>
  <c r="Z34" i="11"/>
  <c r="AA34" i="11"/>
  <c r="Y34" i="11"/>
  <c r="Y48" i="11"/>
  <c r="AB48" i="11"/>
  <c r="AC48" i="11"/>
  <c r="Z48" i="11"/>
  <c r="AA48" i="11"/>
  <c r="AB12" i="11"/>
  <c r="AA12" i="11"/>
  <c r="AC12" i="11"/>
  <c r="Z12" i="11"/>
  <c r="Y12" i="11"/>
  <c r="AC47" i="11"/>
  <c r="AB47" i="11"/>
  <c r="AA47" i="11"/>
  <c r="Y47" i="11"/>
  <c r="Z47" i="11"/>
  <c r="AC69" i="11"/>
  <c r="Y69" i="11"/>
  <c r="Z69" i="11"/>
  <c r="AA69" i="11"/>
  <c r="AB69" i="11"/>
  <c r="AI6" i="11"/>
  <c r="AI7" i="11" s="1"/>
  <c r="AJ6" i="11"/>
  <c r="Z6" i="11"/>
  <c r="Y6" i="11"/>
  <c r="AB6" i="11"/>
  <c r="AC6" i="11"/>
  <c r="AA6" i="11"/>
  <c r="AC67" i="11"/>
  <c r="AB67" i="11"/>
  <c r="AA67" i="11"/>
  <c r="Y67" i="11"/>
  <c r="Z67" i="11"/>
  <c r="AB52" i="11"/>
  <c r="AA52" i="11"/>
  <c r="AC52" i="11"/>
  <c r="Z52" i="11"/>
  <c r="Y52" i="11"/>
  <c r="AC27" i="11"/>
  <c r="AB27" i="11"/>
  <c r="AA27" i="11"/>
  <c r="Y27" i="11"/>
  <c r="Z27" i="11"/>
  <c r="AC11" i="11"/>
  <c r="AB11" i="11"/>
  <c r="Y11" i="11"/>
  <c r="Z11" i="11"/>
  <c r="AA11" i="11"/>
  <c r="AA89" i="11"/>
  <c r="Z89" i="11"/>
  <c r="AB89" i="11"/>
  <c r="Y89" i="11"/>
  <c r="AC89" i="11"/>
  <c r="Y68" i="11"/>
  <c r="AC68" i="11"/>
  <c r="Z68" i="11"/>
  <c r="AA68" i="11"/>
  <c r="AB68" i="11"/>
  <c r="AC90" i="11"/>
  <c r="AB90" i="11"/>
  <c r="Y90" i="11"/>
  <c r="Z90" i="11"/>
  <c r="AA90" i="11"/>
  <c r="AA49" i="11"/>
  <c r="AB49" i="11"/>
  <c r="Y49" i="11"/>
  <c r="Z49" i="11"/>
  <c r="AC49" i="11"/>
  <c r="Y72" i="11"/>
  <c r="AB72" i="11"/>
  <c r="AA72" i="11"/>
  <c r="AC72" i="11"/>
  <c r="Z72" i="11"/>
  <c r="AI46" i="11"/>
  <c r="AI47" i="11" s="1"/>
  <c r="AI48" i="11" s="1"/>
  <c r="AI49" i="11" s="1"/>
  <c r="AI50" i="11" s="1"/>
  <c r="AI51" i="11" s="1"/>
  <c r="AI52" i="11" s="1"/>
  <c r="AI53" i="11" s="1"/>
  <c r="AI54" i="11" s="1"/>
  <c r="AI55" i="11" s="1"/>
  <c r="AI56" i="11" s="1"/>
  <c r="AI57" i="11" s="1"/>
  <c r="AI58" i="11" s="1"/>
  <c r="AI59" i="11" s="1"/>
  <c r="AI60" i="11" s="1"/>
  <c r="AJ46" i="11"/>
  <c r="AJ47" i="11" s="1"/>
  <c r="AJ48" i="11" s="1"/>
  <c r="AJ49" i="11" s="1"/>
  <c r="AJ50" i="11" s="1"/>
  <c r="AJ51" i="11" s="1"/>
  <c r="AJ52" i="11" s="1"/>
  <c r="AJ53" i="11" s="1"/>
  <c r="AJ54" i="11" s="1"/>
  <c r="AJ55" i="11" s="1"/>
  <c r="AJ56" i="11" s="1"/>
  <c r="AJ57" i="11" s="1"/>
  <c r="AJ58" i="11" s="1"/>
  <c r="AJ59" i="11" s="1"/>
  <c r="AJ60" i="11" s="1"/>
  <c r="Y46" i="11"/>
  <c r="AA46" i="11"/>
  <c r="AB46" i="11"/>
  <c r="Z46" i="11"/>
  <c r="AC46" i="11"/>
  <c r="Y32" i="11"/>
  <c r="AB32" i="11"/>
  <c r="AA32" i="11"/>
  <c r="AC32" i="11"/>
  <c r="Z32" i="11"/>
  <c r="AA92" i="11"/>
  <c r="Z92" i="11"/>
  <c r="Y92" i="11"/>
  <c r="AB92" i="11"/>
  <c r="AC92" i="11"/>
  <c r="AB31" i="11"/>
  <c r="AC31" i="11"/>
  <c r="Y31" i="11"/>
  <c r="AA31" i="11"/>
  <c r="Z31" i="11"/>
  <c r="AA87" i="11"/>
  <c r="Y87" i="11"/>
  <c r="Z87" i="11"/>
  <c r="AC87" i="11"/>
  <c r="AB87" i="11"/>
  <c r="AA93" i="11"/>
  <c r="Z93" i="11"/>
  <c r="AC93" i="11"/>
  <c r="AB93" i="11"/>
  <c r="Y93" i="11"/>
  <c r="AA94" i="11"/>
  <c r="AB94" i="11"/>
  <c r="AC94" i="11"/>
  <c r="Y94" i="11"/>
  <c r="Z94" i="11"/>
  <c r="Z7" i="11"/>
  <c r="AC7" i="11"/>
  <c r="AB7" i="11"/>
  <c r="Y7" i="11"/>
  <c r="AA7" i="11"/>
  <c r="AA73" i="11"/>
  <c r="AC73" i="11"/>
  <c r="Z73" i="11"/>
  <c r="AB73" i="11"/>
  <c r="Y73" i="11"/>
  <c r="AA74" i="11"/>
  <c r="Z74" i="11"/>
  <c r="Y74" i="11"/>
  <c r="AB74" i="11"/>
  <c r="AC74" i="11"/>
  <c r="AA13" i="11"/>
  <c r="AC13" i="11"/>
  <c r="AB13" i="11"/>
  <c r="Y13" i="11"/>
  <c r="Z13" i="11"/>
  <c r="AB14" i="11"/>
  <c r="Y14" i="11"/>
  <c r="AC14" i="11"/>
  <c r="AA14" i="11"/>
  <c r="Z14" i="11"/>
  <c r="AB88" i="11"/>
  <c r="AC88" i="11"/>
  <c r="Y88" i="11"/>
  <c r="Z88" i="11"/>
  <c r="AA88" i="11"/>
  <c r="AJ26" i="11"/>
  <c r="AJ27" i="11" s="1"/>
  <c r="AJ28" i="11" s="1"/>
  <c r="AJ29" i="11" s="1"/>
  <c r="AJ30" i="11" s="1"/>
  <c r="AJ31" i="11" s="1"/>
  <c r="AJ32" i="11" s="1"/>
  <c r="AJ33" i="11" s="1"/>
  <c r="AJ34" i="11" s="1"/>
  <c r="AJ35" i="11" s="1"/>
  <c r="AJ36" i="11" s="1"/>
  <c r="AJ37" i="11" s="1"/>
  <c r="AJ38" i="11" s="1"/>
  <c r="AJ39" i="11" s="1"/>
  <c r="AJ40" i="11" s="1"/>
  <c r="AI26" i="11"/>
  <c r="AI27" i="11" s="1"/>
  <c r="AI28" i="11" s="1"/>
  <c r="AI29" i="11" s="1"/>
  <c r="AI30" i="11" s="1"/>
  <c r="AI31" i="11" s="1"/>
  <c r="AI32" i="11" s="1"/>
  <c r="AI33" i="11" s="1"/>
  <c r="AI34" i="11" s="1"/>
  <c r="AI35" i="11" s="1"/>
  <c r="AI36" i="11" s="1"/>
  <c r="AI37" i="11" s="1"/>
  <c r="AI38" i="11" s="1"/>
  <c r="AI39" i="11" s="1"/>
  <c r="AI40" i="11" s="1"/>
  <c r="Z26" i="11"/>
  <c r="Y26" i="11"/>
  <c r="AB26" i="11"/>
  <c r="AC26" i="11"/>
  <c r="AA26" i="11"/>
  <c r="Y29" i="11"/>
  <c r="Z29" i="11"/>
  <c r="AA29" i="11"/>
  <c r="AC29" i="11"/>
  <c r="AB29" i="11"/>
  <c r="AC50" i="11"/>
  <c r="AB50" i="11"/>
  <c r="Z50" i="11"/>
  <c r="Y50" i="11"/>
  <c r="AA50" i="11"/>
  <c r="AA30" i="11"/>
  <c r="AB30" i="11"/>
  <c r="AC30" i="11"/>
  <c r="Z30" i="11"/>
  <c r="Y30" i="11"/>
  <c r="AB70" i="11"/>
  <c r="AC70" i="11"/>
  <c r="Z70" i="11"/>
  <c r="Y70" i="11"/>
  <c r="AA70" i="11"/>
  <c r="AB28" i="11"/>
  <c r="AC28" i="11"/>
  <c r="AA28" i="11"/>
  <c r="Y28" i="11"/>
  <c r="Z28" i="11"/>
  <c r="AB91" i="11"/>
  <c r="AA91" i="11"/>
  <c r="Z91" i="11"/>
  <c r="Y91" i="11"/>
  <c r="AC91" i="11"/>
  <c r="AC9" i="11"/>
  <c r="Y9" i="11"/>
  <c r="AA9" i="11"/>
  <c r="AB9" i="11"/>
  <c r="AA53" i="11"/>
  <c r="Z53" i="11"/>
  <c r="Y53" i="11"/>
  <c r="AC53" i="11"/>
  <c r="AB53" i="11"/>
  <c r="AB54" i="11"/>
  <c r="Z54" i="11"/>
  <c r="AA54" i="11"/>
  <c r="AC54" i="11"/>
  <c r="Y54" i="11"/>
  <c r="AI66" i="11"/>
  <c r="AI67" i="11" s="1"/>
  <c r="AI68" i="11" s="1"/>
  <c r="AI69" i="11" s="1"/>
  <c r="AI70" i="11" s="1"/>
  <c r="AI71" i="11" s="1"/>
  <c r="AI72" i="11" s="1"/>
  <c r="AI73" i="11" s="1"/>
  <c r="AI74" i="11" s="1"/>
  <c r="AI75" i="11" s="1"/>
  <c r="AI76" i="11" s="1"/>
  <c r="AI77" i="11" s="1"/>
  <c r="AI78" i="11" s="1"/>
  <c r="AI79" i="11" s="1"/>
  <c r="AI80" i="11" s="1"/>
  <c r="AJ66" i="11"/>
  <c r="AJ67" i="11" s="1"/>
  <c r="AJ68" i="11" s="1"/>
  <c r="AJ69" i="11" s="1"/>
  <c r="AJ70" i="11" s="1"/>
  <c r="AJ71" i="11" s="1"/>
  <c r="AJ72" i="11" s="1"/>
  <c r="AJ73" i="11" s="1"/>
  <c r="AJ74" i="11" s="1"/>
  <c r="AJ75" i="11" s="1"/>
  <c r="AJ76" i="11" s="1"/>
  <c r="AJ77" i="11" s="1"/>
  <c r="AJ78" i="11" s="1"/>
  <c r="AJ79" i="11" s="1"/>
  <c r="AJ80" i="11" s="1"/>
  <c r="AA66" i="11"/>
  <c r="Z66" i="11"/>
  <c r="Y66" i="11"/>
  <c r="AB66" i="11"/>
  <c r="AC66" i="11"/>
  <c r="AI86" i="11"/>
  <c r="AI87" i="11" s="1"/>
  <c r="AI88" i="11" s="1"/>
  <c r="AI89" i="11" s="1"/>
  <c r="AI90" i="11" s="1"/>
  <c r="AI91" i="11" s="1"/>
  <c r="AI92" i="11" s="1"/>
  <c r="AI93" i="11" s="1"/>
  <c r="AI94" i="11" s="1"/>
  <c r="AI95" i="11" s="1"/>
  <c r="AI96" i="11" s="1"/>
  <c r="AI97" i="11" s="1"/>
  <c r="AI98" i="11" s="1"/>
  <c r="AI99" i="11" s="1"/>
  <c r="AI100" i="11" s="1"/>
  <c r="AJ86" i="11"/>
  <c r="AJ87" i="11" s="1"/>
  <c r="AJ88" i="11" s="1"/>
  <c r="AJ89" i="11" s="1"/>
  <c r="AJ90" i="11" s="1"/>
  <c r="AJ91" i="11" s="1"/>
  <c r="AJ92" i="11" s="1"/>
  <c r="AJ93" i="11" s="1"/>
  <c r="AJ94" i="11" s="1"/>
  <c r="AJ95" i="11" s="1"/>
  <c r="AJ96" i="11" s="1"/>
  <c r="AJ97" i="11" s="1"/>
  <c r="AJ98" i="11" s="1"/>
  <c r="AJ99" i="11" s="1"/>
  <c r="AJ100" i="11" s="1"/>
  <c r="AA86" i="11"/>
  <c r="Z86" i="11"/>
  <c r="Y86" i="11"/>
  <c r="AC86" i="11"/>
  <c r="AB86" i="11"/>
  <c r="P14" i="4"/>
  <c r="P36" i="4"/>
  <c r="P59" i="4" s="1"/>
  <c r="P82" i="4" s="1"/>
  <c r="P105" i="4" s="1"/>
  <c r="Q13" i="4"/>
  <c r="Q35" i="4"/>
  <c r="Q58" i="4" s="1"/>
  <c r="Q81" i="4" s="1"/>
  <c r="Q104" i="4" s="1"/>
  <c r="S13" i="4"/>
  <c r="S35" i="4"/>
  <c r="S58" i="4" s="1"/>
  <c r="S81" i="4" s="1"/>
  <c r="S104" i="4" s="1"/>
  <c r="R13" i="4"/>
  <c r="R35" i="4"/>
  <c r="R58" i="4" s="1"/>
  <c r="R81" i="4" s="1"/>
  <c r="R104" i="4" s="1"/>
  <c r="O14" i="4"/>
  <c r="O36" i="4"/>
  <c r="O59" i="4" s="1"/>
  <c r="O82" i="4" s="1"/>
  <c r="O105" i="4" s="1"/>
  <c r="F92" i="1"/>
  <c r="D56" i="1"/>
  <c r="E26" i="1"/>
  <c r="D67" i="1"/>
  <c r="H7" i="1"/>
  <c r="F97" i="1"/>
  <c r="D43" i="1"/>
  <c r="E102" i="1"/>
  <c r="G90" i="1"/>
  <c r="D84" i="1"/>
  <c r="D78" i="1"/>
  <c r="G66" i="1"/>
  <c r="D54" i="1"/>
  <c r="E42" i="1"/>
  <c r="F30" i="1"/>
  <c r="E24" i="1"/>
  <c r="G18" i="1"/>
  <c r="G12" i="1"/>
  <c r="D6" i="1"/>
  <c r="E86" i="1"/>
  <c r="F62" i="1"/>
  <c r="D38" i="1"/>
  <c r="F14" i="1"/>
  <c r="H36" i="1"/>
  <c r="E73" i="1"/>
  <c r="H13" i="1"/>
  <c r="F18" i="1"/>
  <c r="F67" i="1"/>
  <c r="D113" i="1"/>
  <c r="H101" i="1"/>
  <c r="E89" i="1"/>
  <c r="F77" i="1"/>
  <c r="F65" i="1"/>
  <c r="E59" i="1"/>
  <c r="G53" i="1"/>
  <c r="D41" i="1"/>
  <c r="H29" i="1"/>
  <c r="H23" i="1"/>
  <c r="F17" i="1"/>
  <c r="G5" i="1"/>
  <c r="E90" i="1"/>
  <c r="E74" i="1"/>
  <c r="G50" i="1"/>
  <c r="D32" i="1"/>
  <c r="E8" i="1"/>
  <c r="D97" i="1"/>
  <c r="H61" i="1"/>
  <c r="E43" i="1"/>
  <c r="E30" i="1"/>
  <c r="E100" i="1"/>
  <c r="D94" i="1"/>
  <c r="E88" i="1"/>
  <c r="H82" i="1"/>
  <c r="F76" i="1"/>
  <c r="D70" i="1"/>
  <c r="H64" i="1"/>
  <c r="E58" i="1"/>
  <c r="F52" i="1"/>
  <c r="F46" i="1"/>
  <c r="E40" i="1"/>
  <c r="G34" i="1"/>
  <c r="G28" i="1"/>
  <c r="D22" i="1"/>
  <c r="D16" i="1"/>
  <c r="E10" i="1"/>
  <c r="H98" i="1"/>
  <c r="G68" i="1"/>
  <c r="F44" i="1"/>
  <c r="H20" i="1"/>
  <c r="E19" i="1"/>
  <c r="D91" i="1"/>
  <c r="F49" i="1"/>
  <c r="D19" i="1"/>
  <c r="F78" i="1"/>
  <c r="F93" i="1"/>
  <c r="G87" i="1"/>
  <c r="D81" i="1"/>
  <c r="E75" i="1"/>
  <c r="G69" i="1"/>
  <c r="D51" i="1"/>
  <c r="H45" i="1"/>
  <c r="H39" i="1"/>
  <c r="F33" i="1"/>
  <c r="F111" i="1"/>
  <c r="F110" i="1"/>
  <c r="F109" i="1"/>
  <c r="E109" i="1"/>
  <c r="H109" i="1"/>
  <c r="H106" i="1"/>
  <c r="E106" i="1"/>
  <c r="G110" i="1"/>
  <c r="D106" i="1"/>
  <c r="H110" i="1"/>
  <c r="G108" i="1"/>
  <c r="G105" i="1"/>
  <c r="F106" i="1"/>
  <c r="L74" i="1"/>
  <c r="L75" i="1"/>
  <c r="L59" i="1"/>
  <c r="L43" i="1"/>
  <c r="M18" i="1"/>
  <c r="M78" i="1"/>
  <c r="K82" i="1"/>
  <c r="L90" i="1"/>
  <c r="E107" i="1"/>
  <c r="E111" i="1"/>
  <c r="H107" i="1"/>
  <c r="D111" i="1"/>
  <c r="M93" i="1"/>
  <c r="L89" i="1"/>
  <c r="M77" i="1"/>
  <c r="N69" i="1"/>
  <c r="G107" i="1"/>
  <c r="G111" i="1"/>
  <c r="K84" i="1"/>
  <c r="M76" i="1"/>
  <c r="E104" i="1"/>
  <c r="H104" i="1"/>
  <c r="H105" i="1"/>
  <c r="D105" i="1"/>
  <c r="E112" i="1"/>
  <c r="H112" i="1"/>
  <c r="F112" i="1"/>
  <c r="D108" i="1"/>
  <c r="E108" i="1"/>
  <c r="H108" i="1"/>
  <c r="G104" i="1"/>
  <c r="D104" i="1"/>
  <c r="F104" i="1"/>
  <c r="D112" i="1"/>
  <c r="F105" i="1"/>
  <c r="G109" i="1"/>
  <c r="D109" i="1"/>
  <c r="F67" i="2"/>
  <c r="F114" i="2"/>
  <c r="F49" i="2"/>
  <c r="AL66" i="11"/>
  <c r="AQ86" i="11"/>
  <c r="AQ46" i="11"/>
  <c r="AM46" i="11"/>
  <c r="AO86" i="11"/>
  <c r="AN86" i="11"/>
  <c r="AO46" i="11"/>
  <c r="AP6" i="11"/>
  <c r="AL86" i="11"/>
  <c r="AM6" i="11"/>
  <c r="AL26" i="11"/>
  <c r="AP26" i="11"/>
  <c r="AM66" i="11"/>
  <c r="AN6" i="11"/>
  <c r="AM26" i="11"/>
  <c r="AP86" i="11"/>
  <c r="AQ26" i="11"/>
  <c r="AN66" i="11"/>
  <c r="AN26" i="11"/>
  <c r="AQ66" i="11"/>
  <c r="AN46" i="11"/>
  <c r="AP66" i="11"/>
  <c r="AP46" i="11"/>
  <c r="AO26" i="11"/>
  <c r="AQ6" i="11"/>
  <c r="AO66" i="11"/>
  <c r="AM86" i="11"/>
  <c r="AL46" i="11"/>
  <c r="AL6" i="11"/>
  <c r="AO6" i="11"/>
  <c r="AJ7" i="11" l="1"/>
  <c r="AJ8" i="11" s="1"/>
  <c r="AJ9" i="11" s="1"/>
  <c r="AJ10" i="11" s="1"/>
  <c r="AJ11" i="11" s="1"/>
  <c r="AJ12" i="11" s="1"/>
  <c r="AJ13" i="11" s="1"/>
  <c r="AJ14" i="11" s="1"/>
  <c r="AJ15" i="11" s="1"/>
  <c r="AJ16" i="11" s="1"/>
  <c r="AJ17" i="11" s="1"/>
  <c r="AJ18" i="11" s="1"/>
  <c r="AJ19" i="11" s="1"/>
  <c r="AJ20" i="11" s="1"/>
  <c r="AI8" i="11"/>
  <c r="AI9" i="11" s="1"/>
  <c r="AI10" i="11" s="1"/>
  <c r="AI11" i="11" s="1"/>
  <c r="AI12" i="11" s="1"/>
  <c r="AI13" i="11" s="1"/>
  <c r="AI14" i="11" s="1"/>
  <c r="AI15" i="11" s="1"/>
  <c r="AI16" i="11" s="1"/>
  <c r="AI17" i="11" s="1"/>
  <c r="AI18" i="11" s="1"/>
  <c r="AI19" i="11" s="1"/>
  <c r="AI20" i="11" s="1"/>
  <c r="AE67" i="11"/>
  <c r="AE79" i="11"/>
  <c r="AE77" i="11"/>
  <c r="AE73" i="11"/>
  <c r="AE72" i="11"/>
  <c r="AE70" i="11"/>
  <c r="AE75" i="11"/>
  <c r="AE68" i="11"/>
  <c r="AE80" i="11"/>
  <c r="AE66" i="11"/>
  <c r="AE78" i="11"/>
  <c r="AE71" i="11"/>
  <c r="AE76" i="11"/>
  <c r="AE69" i="11"/>
  <c r="AE74" i="11"/>
  <c r="AF50" i="11"/>
  <c r="AF55" i="11"/>
  <c r="AF60" i="11"/>
  <c r="AF53" i="11"/>
  <c r="AF46" i="11"/>
  <c r="AF58" i="11"/>
  <c r="AF51" i="11"/>
  <c r="AF56" i="11"/>
  <c r="AF49" i="11"/>
  <c r="AF54" i="11"/>
  <c r="AF47" i="11"/>
  <c r="AF59" i="11"/>
  <c r="AF52" i="11"/>
  <c r="AF57" i="11"/>
  <c r="AF48" i="11"/>
  <c r="AD72" i="11"/>
  <c r="AD77" i="11"/>
  <c r="AD70" i="11"/>
  <c r="AD75" i="11"/>
  <c r="AD68" i="11"/>
  <c r="AD80" i="11"/>
  <c r="AD78" i="11"/>
  <c r="AD73" i="11"/>
  <c r="AD66" i="11"/>
  <c r="AD71" i="11"/>
  <c r="AD76" i="11"/>
  <c r="AD69" i="11"/>
  <c r="AD74" i="11"/>
  <c r="AD67" i="11"/>
  <c r="AD79" i="11"/>
  <c r="AH76" i="11"/>
  <c r="AH69" i="11"/>
  <c r="AH67" i="11"/>
  <c r="AH79" i="11"/>
  <c r="AH72" i="11"/>
  <c r="AH77" i="11"/>
  <c r="AH75" i="11"/>
  <c r="AH68" i="11"/>
  <c r="AH80" i="11"/>
  <c r="AH73" i="11"/>
  <c r="AH74" i="11"/>
  <c r="AH70" i="11"/>
  <c r="AH66" i="11"/>
  <c r="AH78" i="11"/>
  <c r="AH71" i="11"/>
  <c r="AH28" i="11"/>
  <c r="AH40" i="11"/>
  <c r="AH33" i="11"/>
  <c r="AH26" i="11"/>
  <c r="AH31" i="11"/>
  <c r="AH36" i="11"/>
  <c r="AH29" i="11"/>
  <c r="AH27" i="11"/>
  <c r="AH39" i="11"/>
  <c r="AH32" i="11"/>
  <c r="AH37" i="11"/>
  <c r="AH38" i="11"/>
  <c r="AH30" i="11"/>
  <c r="AH35" i="11"/>
  <c r="AH34" i="11"/>
  <c r="AG69" i="11"/>
  <c r="AG74" i="11"/>
  <c r="AG67" i="11"/>
  <c r="AG79" i="11"/>
  <c r="AG75" i="11"/>
  <c r="AG72" i="11"/>
  <c r="AG77" i="11"/>
  <c r="AG70" i="11"/>
  <c r="AG68" i="11"/>
  <c r="AG80" i="11"/>
  <c r="AG73" i="11"/>
  <c r="AG66" i="11"/>
  <c r="AG78" i="11"/>
  <c r="AG71" i="11"/>
  <c r="AG76" i="11"/>
  <c r="AG93" i="11"/>
  <c r="AG86" i="11"/>
  <c r="AG98" i="11"/>
  <c r="AG91" i="11"/>
  <c r="AG96" i="11"/>
  <c r="AG89" i="11"/>
  <c r="AG94" i="11"/>
  <c r="AG87" i="11"/>
  <c r="AG99" i="11"/>
  <c r="AG92" i="11"/>
  <c r="AG97" i="11"/>
  <c r="AG90" i="11"/>
  <c r="AG95" i="11"/>
  <c r="AG88" i="11"/>
  <c r="AG100" i="11"/>
  <c r="AD96" i="11"/>
  <c r="AD89" i="11"/>
  <c r="AD94" i="11"/>
  <c r="AD87" i="11"/>
  <c r="AD99" i="11"/>
  <c r="AD92" i="11"/>
  <c r="AD97" i="11"/>
  <c r="AD90" i="11"/>
  <c r="AD95" i="11"/>
  <c r="AD88" i="11"/>
  <c r="AD100" i="11"/>
  <c r="AD93" i="11"/>
  <c r="AD86" i="11"/>
  <c r="AD98" i="11"/>
  <c r="AD91" i="11"/>
  <c r="AD12" i="11"/>
  <c r="AD17" i="11"/>
  <c r="AD15" i="11"/>
  <c r="AD8" i="11"/>
  <c r="AD20" i="11"/>
  <c r="AD13" i="11"/>
  <c r="AD18" i="11"/>
  <c r="AD11" i="11"/>
  <c r="AD16" i="11"/>
  <c r="AD9" i="11"/>
  <c r="AD6" i="11"/>
  <c r="AD14" i="11"/>
  <c r="AD7" i="11"/>
  <c r="AD19" i="11"/>
  <c r="AD10" i="11"/>
  <c r="AH88" i="11"/>
  <c r="AH100" i="11"/>
  <c r="AH93" i="11"/>
  <c r="AH86" i="11"/>
  <c r="AH98" i="11"/>
  <c r="AH91" i="11"/>
  <c r="AH96" i="11"/>
  <c r="AH89" i="11"/>
  <c r="AH94" i="11"/>
  <c r="AH87" i="11"/>
  <c r="AH99" i="11"/>
  <c r="AH92" i="11"/>
  <c r="AH97" i="11"/>
  <c r="AH90" i="11"/>
  <c r="AH95" i="11"/>
  <c r="AD36" i="11"/>
  <c r="AD29" i="11"/>
  <c r="AD27" i="11"/>
  <c r="AD39" i="11"/>
  <c r="AD32" i="11"/>
  <c r="AD37" i="11"/>
  <c r="AD30" i="11"/>
  <c r="AD35" i="11"/>
  <c r="AD28" i="11"/>
  <c r="AD40" i="11"/>
  <c r="AD33" i="11"/>
  <c r="AD26" i="11"/>
  <c r="AD38" i="11"/>
  <c r="AD31" i="11"/>
  <c r="AD34" i="11"/>
  <c r="AG33" i="11"/>
  <c r="AG26" i="11"/>
  <c r="AG38" i="11"/>
  <c r="AG31" i="11"/>
  <c r="AG36" i="11"/>
  <c r="AG29" i="11"/>
  <c r="AG34" i="11"/>
  <c r="AG27" i="11"/>
  <c r="AG39" i="11"/>
  <c r="AG32" i="11"/>
  <c r="AG37" i="11"/>
  <c r="AG30" i="11"/>
  <c r="AG35" i="11"/>
  <c r="AG28" i="11"/>
  <c r="AG40" i="11"/>
  <c r="AE55" i="11"/>
  <c r="AE48" i="11"/>
  <c r="AE60" i="11"/>
  <c r="AE53" i="11"/>
  <c r="AE46" i="11"/>
  <c r="AE58" i="11"/>
  <c r="AE51" i="11"/>
  <c r="AE56" i="11"/>
  <c r="AE49" i="11"/>
  <c r="AE54" i="11"/>
  <c r="AE47" i="11"/>
  <c r="AE59" i="11"/>
  <c r="AE52" i="11"/>
  <c r="AE57" i="11"/>
  <c r="AE50" i="11"/>
  <c r="AG9" i="11"/>
  <c r="AG14" i="11"/>
  <c r="AG15" i="11"/>
  <c r="AG7" i="11"/>
  <c r="AG19" i="11"/>
  <c r="AG12" i="11"/>
  <c r="AG17" i="11"/>
  <c r="AG10" i="11"/>
  <c r="AG8" i="11"/>
  <c r="AG20" i="11"/>
  <c r="AG13" i="11"/>
  <c r="AG6" i="11"/>
  <c r="AG18" i="11"/>
  <c r="AG11" i="11"/>
  <c r="AG16" i="11"/>
  <c r="AF86" i="11"/>
  <c r="AF98" i="11"/>
  <c r="AF91" i="11"/>
  <c r="AF96" i="11"/>
  <c r="AF89" i="11"/>
  <c r="AF94" i="11"/>
  <c r="AF87" i="11"/>
  <c r="AF99" i="11"/>
  <c r="AF92" i="11"/>
  <c r="AF97" i="11"/>
  <c r="AF90" i="11"/>
  <c r="AF95" i="11"/>
  <c r="AF88" i="11"/>
  <c r="AF100" i="11"/>
  <c r="AF93" i="11"/>
  <c r="AH16" i="11"/>
  <c r="AH9" i="11"/>
  <c r="AH14" i="11"/>
  <c r="AH7" i="11"/>
  <c r="AH19" i="11"/>
  <c r="AH12" i="11"/>
  <c r="AH10" i="11"/>
  <c r="AH17" i="11"/>
  <c r="AH15" i="11"/>
  <c r="AH8" i="11"/>
  <c r="AH20" i="11"/>
  <c r="AH13" i="11"/>
  <c r="AH6" i="11"/>
  <c r="AH18" i="11"/>
  <c r="AH11" i="11"/>
  <c r="AF26" i="11"/>
  <c r="AF38" i="11"/>
  <c r="AF36" i="11"/>
  <c r="AF31" i="11"/>
  <c r="AF32" i="11"/>
  <c r="AF29" i="11"/>
  <c r="AF34" i="11"/>
  <c r="AF27" i="11"/>
  <c r="AF39" i="11"/>
  <c r="AF37" i="11"/>
  <c r="AF30" i="11"/>
  <c r="AF35" i="11"/>
  <c r="AF28" i="11"/>
  <c r="AF40" i="11"/>
  <c r="AF33" i="11"/>
  <c r="AD48" i="11"/>
  <c r="AD60" i="11"/>
  <c r="AD53" i="11"/>
  <c r="AD46" i="11"/>
  <c r="AD58" i="11"/>
  <c r="AD51" i="11"/>
  <c r="AD56" i="11"/>
  <c r="AD49" i="11"/>
  <c r="AD47" i="11"/>
  <c r="AD59" i="11"/>
  <c r="AD52" i="11"/>
  <c r="AD57" i="11"/>
  <c r="AD50" i="11"/>
  <c r="AD54" i="11"/>
  <c r="AD55" i="11"/>
  <c r="AF14" i="11"/>
  <c r="AF8" i="11"/>
  <c r="AF7" i="11"/>
  <c r="AF19" i="11"/>
  <c r="AF20" i="11"/>
  <c r="AF17" i="11"/>
  <c r="AF10" i="11"/>
  <c r="AF15" i="11"/>
  <c r="AF13" i="11"/>
  <c r="AF6" i="11"/>
  <c r="AF18" i="11"/>
  <c r="AF11" i="11"/>
  <c r="AF16" i="11"/>
  <c r="AF12" i="11"/>
  <c r="AF9" i="11"/>
  <c r="AE91" i="11"/>
  <c r="AE96" i="11"/>
  <c r="AE89" i="11"/>
  <c r="AE94" i="11"/>
  <c r="AE87" i="11"/>
  <c r="AE99" i="11"/>
  <c r="AE92" i="11"/>
  <c r="AE97" i="11"/>
  <c r="AE90" i="11"/>
  <c r="AE95" i="11"/>
  <c r="AE88" i="11"/>
  <c r="AE100" i="11"/>
  <c r="AE93" i="11"/>
  <c r="AE86" i="11"/>
  <c r="AE98" i="11"/>
  <c r="AE31" i="11"/>
  <c r="AE36" i="11"/>
  <c r="AE34" i="11"/>
  <c r="AE37" i="11"/>
  <c r="AE27" i="11"/>
  <c r="AE39" i="11"/>
  <c r="AE32" i="11"/>
  <c r="AE30" i="11"/>
  <c r="AE35" i="11"/>
  <c r="AE28" i="11"/>
  <c r="AE40" i="11"/>
  <c r="AE33" i="11"/>
  <c r="AE29" i="11"/>
  <c r="AE26" i="11"/>
  <c r="AE38" i="11"/>
  <c r="AH52" i="11"/>
  <c r="AH57" i="11"/>
  <c r="AH50" i="11"/>
  <c r="AH55" i="11"/>
  <c r="AH46" i="11"/>
  <c r="AH48" i="11"/>
  <c r="AH60" i="11"/>
  <c r="AH53" i="11"/>
  <c r="AH58" i="11"/>
  <c r="AH51" i="11"/>
  <c r="AH56" i="11"/>
  <c r="AH49" i="11"/>
  <c r="AH54" i="11"/>
  <c r="AH47" i="11"/>
  <c r="AH59" i="11"/>
  <c r="AE7" i="11"/>
  <c r="AE19" i="11"/>
  <c r="AE17" i="11"/>
  <c r="AE12" i="11"/>
  <c r="AE10" i="11"/>
  <c r="AE15" i="11"/>
  <c r="AE8" i="11"/>
  <c r="AE20" i="11"/>
  <c r="AE6" i="11"/>
  <c r="AE18" i="11"/>
  <c r="AE11" i="11"/>
  <c r="AE16" i="11"/>
  <c r="AE9" i="11"/>
  <c r="AE13" i="11"/>
  <c r="AE14" i="11"/>
  <c r="AF74" i="11"/>
  <c r="AF67" i="11"/>
  <c r="AF79" i="11"/>
  <c r="AF77" i="11"/>
  <c r="AF70" i="11"/>
  <c r="AF75" i="11"/>
  <c r="AF68" i="11"/>
  <c r="AF73" i="11"/>
  <c r="AF66" i="11"/>
  <c r="AF78" i="11"/>
  <c r="AF71" i="11"/>
  <c r="AF76" i="11"/>
  <c r="AF72" i="11"/>
  <c r="AF69" i="11"/>
  <c r="AF80" i="11"/>
  <c r="AG57" i="11"/>
  <c r="AG50" i="11"/>
  <c r="AG51" i="11"/>
  <c r="AG55" i="11"/>
  <c r="AG48" i="11"/>
  <c r="AG60" i="11"/>
  <c r="AG53" i="11"/>
  <c r="AG46" i="11"/>
  <c r="AG58" i="11"/>
  <c r="AG56" i="11"/>
  <c r="AG49" i="11"/>
  <c r="AG54" i="11"/>
  <c r="AG47" i="11"/>
  <c r="AG59" i="11"/>
  <c r="AG52" i="11"/>
  <c r="P15" i="4"/>
  <c r="P37" i="4"/>
  <c r="P60" i="4" s="1"/>
  <c r="P83" i="4" s="1"/>
  <c r="P106" i="4" s="1"/>
  <c r="R14" i="4"/>
  <c r="R36" i="4"/>
  <c r="R59" i="4" s="1"/>
  <c r="R82" i="4" s="1"/>
  <c r="R105" i="4" s="1"/>
  <c r="S14" i="4"/>
  <c r="S36" i="4"/>
  <c r="S59" i="4" s="1"/>
  <c r="S82" i="4" s="1"/>
  <c r="S105" i="4" s="1"/>
  <c r="Q14" i="4"/>
  <c r="Q36" i="4"/>
  <c r="Q59" i="4" s="1"/>
  <c r="Q82" i="4" s="1"/>
  <c r="Q105" i="4" s="1"/>
  <c r="O15" i="4"/>
  <c r="O37" i="4"/>
  <c r="O60" i="4" s="1"/>
  <c r="O83" i="4" s="1"/>
  <c r="O106" i="4" s="1"/>
  <c r="M12" i="4"/>
  <c r="M13" i="4"/>
  <c r="G84" i="1"/>
  <c r="H75" i="1"/>
  <c r="G81" i="1"/>
  <c r="D93" i="1"/>
  <c r="E56" i="1"/>
  <c r="D92" i="1"/>
  <c r="D61" i="1"/>
  <c r="D12" i="1"/>
  <c r="G24" i="1"/>
  <c r="H72" i="1"/>
  <c r="E39" i="1"/>
  <c r="E47" i="1"/>
  <c r="H53" i="1"/>
  <c r="F86" i="1"/>
  <c r="D66" i="1"/>
  <c r="F5" i="1"/>
  <c r="F34" i="1"/>
  <c r="G42" i="1"/>
  <c r="G85" i="1"/>
  <c r="E11" i="1"/>
  <c r="F31" i="1"/>
  <c r="H71" i="1"/>
  <c r="H14" i="1"/>
  <c r="E5" i="1"/>
  <c r="E18" i="1"/>
  <c r="E65" i="1"/>
  <c r="G93" i="1"/>
  <c r="G73" i="1"/>
  <c r="D53" i="1"/>
  <c r="H56" i="1"/>
  <c r="G64" i="1"/>
  <c r="E76" i="1"/>
  <c r="F84" i="1"/>
  <c r="F96" i="1"/>
  <c r="G19" i="1"/>
  <c r="E81" i="1"/>
  <c r="F41" i="1"/>
  <c r="E93" i="1"/>
  <c r="F53" i="1"/>
  <c r="E29" i="1"/>
  <c r="H9" i="1"/>
  <c r="D8" i="1"/>
  <c r="F16" i="1"/>
  <c r="G20" i="1"/>
  <c r="E28" i="1"/>
  <c r="H32" i="1"/>
  <c r="D40" i="1"/>
  <c r="F48" i="1"/>
  <c r="F56" i="1"/>
  <c r="D72" i="1"/>
  <c r="D96" i="1"/>
  <c r="F28" i="1"/>
  <c r="H87" i="1"/>
  <c r="D59" i="1"/>
  <c r="E35" i="1"/>
  <c r="G11" i="1"/>
  <c r="E95" i="1"/>
  <c r="H67" i="1"/>
  <c r="F43" i="1"/>
  <c r="D15" i="1"/>
  <c r="F95" i="1"/>
  <c r="E71" i="1"/>
  <c r="G47" i="1"/>
  <c r="H19" i="1"/>
  <c r="H10" i="1"/>
  <c r="E41" i="1"/>
  <c r="F102" i="1"/>
  <c r="E82" i="1"/>
  <c r="G62" i="1"/>
  <c r="F42" i="1"/>
  <c r="E22" i="1"/>
  <c r="H6" i="1"/>
  <c r="F37" i="1"/>
  <c r="F75" i="1"/>
  <c r="F66" i="1"/>
  <c r="H30" i="1"/>
  <c r="G4" i="1"/>
  <c r="F74" i="1"/>
  <c r="E34" i="1"/>
  <c r="G9" i="1"/>
  <c r="H85" i="1"/>
  <c r="H73" i="1"/>
  <c r="E15" i="1"/>
  <c r="H35" i="1"/>
  <c r="G63" i="1"/>
  <c r="D79" i="1"/>
  <c r="G95" i="1"/>
  <c r="G44" i="1"/>
  <c r="D45" i="1"/>
  <c r="G82" i="1"/>
  <c r="F12" i="1"/>
  <c r="D4" i="1"/>
  <c r="H113" i="1"/>
  <c r="D49" i="1"/>
  <c r="F29" i="1"/>
  <c r="F20" i="1"/>
  <c r="G56" i="1"/>
  <c r="H84" i="1"/>
  <c r="D63" i="1"/>
  <c r="G23" i="1"/>
  <c r="D23" i="1"/>
  <c r="G46" i="1"/>
  <c r="D57" i="1"/>
  <c r="H55" i="1"/>
  <c r="F69" i="1"/>
  <c r="G6" i="1"/>
  <c r="E49" i="1"/>
  <c r="F89" i="1"/>
  <c r="D69" i="1"/>
  <c r="G49" i="1"/>
  <c r="H100" i="1"/>
  <c r="D48" i="1"/>
  <c r="F60" i="1"/>
  <c r="H68" i="1"/>
  <c r="D76" i="1"/>
  <c r="D88" i="1"/>
  <c r="H96" i="1"/>
  <c r="E99" i="1"/>
  <c r="E113" i="1"/>
  <c r="F73" i="1"/>
  <c r="E33" i="1"/>
  <c r="D85" i="1"/>
  <c r="H49" i="1"/>
  <c r="H25" i="1"/>
  <c r="D5" i="1"/>
  <c r="F8" i="1"/>
  <c r="G16" i="1"/>
  <c r="E20" i="1"/>
  <c r="H28" i="1"/>
  <c r="D36" i="1"/>
  <c r="F40" i="1"/>
  <c r="E48" i="1"/>
  <c r="H60" i="1"/>
  <c r="G72" i="1"/>
  <c r="G96" i="1"/>
  <c r="H83" i="1"/>
  <c r="D55" i="1"/>
  <c r="E31" i="1"/>
  <c r="G7" i="1"/>
  <c r="E91" i="1"/>
  <c r="H63" i="1"/>
  <c r="F39" i="1"/>
  <c r="D11" i="1"/>
  <c r="F91" i="1"/>
  <c r="E67" i="1"/>
  <c r="G43" i="1"/>
  <c r="H15" i="1"/>
  <c r="L19" i="1"/>
  <c r="F90" i="1"/>
  <c r="D33" i="1"/>
  <c r="E98" i="1"/>
  <c r="H78" i="1"/>
  <c r="F58" i="1"/>
  <c r="E38" i="1"/>
  <c r="H22" i="1"/>
  <c r="D101" i="1"/>
  <c r="H33" i="1"/>
  <c r="G59" i="1"/>
  <c r="D98" i="1"/>
  <c r="H62" i="1"/>
  <c r="G22" i="1"/>
  <c r="E66" i="1"/>
  <c r="D30" i="1"/>
  <c r="D9" i="1"/>
  <c r="G29" i="1"/>
  <c r="E97" i="1"/>
  <c r="F15" i="1"/>
  <c r="D35" i="1"/>
  <c r="F63" i="1"/>
  <c r="H79" i="1"/>
  <c r="H95" i="1"/>
  <c r="D100" i="1"/>
  <c r="H4" i="1"/>
  <c r="H90" i="1"/>
  <c r="H57" i="1"/>
  <c r="H40" i="1"/>
  <c r="H99" i="1"/>
  <c r="E9" i="1"/>
  <c r="E53" i="1"/>
  <c r="G74" i="1"/>
  <c r="F38" i="1"/>
  <c r="D58" i="1"/>
  <c r="E85" i="1"/>
  <c r="G65" i="1"/>
  <c r="F45" i="1"/>
  <c r="G92" i="1"/>
  <c r="G48" i="1"/>
  <c r="G60" i="1"/>
  <c r="D68" i="1"/>
  <c r="F80" i="1"/>
  <c r="G88" i="1"/>
  <c r="E96" i="1"/>
  <c r="E83" i="1"/>
  <c r="H69" i="1"/>
  <c r="E17" i="1"/>
  <c r="F81" i="1"/>
  <c r="G41" i="1"/>
  <c r="D21" i="1"/>
  <c r="G8" i="1"/>
  <c r="E16" i="1"/>
  <c r="H24" i="1"/>
  <c r="D28" i="1"/>
  <c r="F36" i="1"/>
  <c r="G40" i="1"/>
  <c r="H48" i="1"/>
  <c r="D60" i="1"/>
  <c r="D80" i="1"/>
  <c r="D103" i="1"/>
  <c r="E79" i="1"/>
  <c r="H51" i="1"/>
  <c r="F27" i="1"/>
  <c r="E87" i="1"/>
  <c r="H59" i="1"/>
  <c r="F35" i="1"/>
  <c r="D7" i="1"/>
  <c r="F87" i="1"/>
  <c r="E63" i="1"/>
  <c r="G39" i="1"/>
  <c r="H11" i="1"/>
  <c r="H74" i="1"/>
  <c r="D89" i="1"/>
  <c r="F25" i="1"/>
  <c r="F4" i="1"/>
  <c r="H94" i="1"/>
  <c r="D74" i="1"/>
  <c r="E54" i="1"/>
  <c r="H38" i="1"/>
  <c r="D18" i="1"/>
  <c r="H89" i="1"/>
  <c r="G25" i="1"/>
  <c r="D39" i="1"/>
  <c r="F94" i="1"/>
  <c r="G54" i="1"/>
  <c r="E14" i="1"/>
  <c r="G98" i="1"/>
  <c r="D62" i="1"/>
  <c r="F22" i="1"/>
  <c r="F21" i="1"/>
  <c r="H37" i="1"/>
  <c r="H5" i="1"/>
  <c r="G45" i="1"/>
  <c r="H27" i="1"/>
  <c r="D47" i="1"/>
  <c r="D83" i="1"/>
  <c r="G99" i="1"/>
  <c r="E110" i="1"/>
  <c r="E62" i="1"/>
  <c r="G94" i="1"/>
  <c r="D82" i="1"/>
  <c r="H46" i="1"/>
  <c r="G77" i="1"/>
  <c r="F64" i="1"/>
  <c r="H76" i="1"/>
  <c r="G89" i="1"/>
  <c r="E13" i="1"/>
  <c r="D44" i="1"/>
  <c r="D71" i="1"/>
  <c r="E103" i="1"/>
  <c r="G102" i="1"/>
  <c r="E6" i="1"/>
  <c r="G91" i="1"/>
  <c r="F9" i="1"/>
  <c r="G103" i="1"/>
  <c r="G38" i="1"/>
  <c r="D87" i="1"/>
  <c r="H34" i="1"/>
  <c r="G113" i="1"/>
  <c r="E101" i="1"/>
  <c r="H81" i="1"/>
  <c r="F61" i="1"/>
  <c r="E45" i="1"/>
  <c r="E84" i="1"/>
  <c r="H52" i="1"/>
  <c r="E60" i="1"/>
  <c r="F72" i="1"/>
  <c r="H80" i="1"/>
  <c r="H92" i="1"/>
  <c r="G100" i="1"/>
  <c r="G67" i="1"/>
  <c r="F101" i="1"/>
  <c r="G61" i="1"/>
  <c r="F113" i="1"/>
  <c r="D73" i="1"/>
  <c r="D37" i="1"/>
  <c r="G17" i="1"/>
  <c r="E12" i="1"/>
  <c r="H16" i="1"/>
  <c r="D24" i="1"/>
  <c r="F32" i="1"/>
  <c r="G36" i="1"/>
  <c r="E44" i="1"/>
  <c r="E52" i="1"/>
  <c r="F68" i="1"/>
  <c r="G80" i="1"/>
  <c r="D99" i="1"/>
  <c r="G75" i="1"/>
  <c r="H47" i="1"/>
  <c r="F23" i="1"/>
  <c r="F79" i="1"/>
  <c r="E55" i="1"/>
  <c r="G31" i="1"/>
  <c r="G83" i="1"/>
  <c r="F59" i="1"/>
  <c r="D31" i="1"/>
  <c r="E7" i="1"/>
  <c r="H58" i="1"/>
  <c r="H77" i="1"/>
  <c r="H21" i="1"/>
  <c r="D90" i="1"/>
  <c r="E70" i="1"/>
  <c r="H54" i="1"/>
  <c r="D34" i="1"/>
  <c r="G14" i="1"/>
  <c r="E77" i="1"/>
  <c r="E21" i="1"/>
  <c r="E23" i="1"/>
  <c r="H86" i="1"/>
  <c r="E46" i="1"/>
  <c r="D10" i="1"/>
  <c r="E94" i="1"/>
  <c r="F54" i="1"/>
  <c r="H18" i="1"/>
  <c r="G21" i="1"/>
  <c r="E37" i="1"/>
  <c r="F57" i="1"/>
  <c r="D17" i="1"/>
  <c r="E27" i="1"/>
  <c r="F47" i="1"/>
  <c r="F83" i="1"/>
  <c r="F99" i="1"/>
  <c r="E50" i="1"/>
  <c r="D102" i="1"/>
  <c r="H17" i="1"/>
  <c r="D46" i="1"/>
  <c r="G58" i="1"/>
  <c r="F70" i="1"/>
  <c r="H102" i="1"/>
  <c r="G35" i="1"/>
  <c r="G101" i="1"/>
  <c r="H8" i="1"/>
  <c r="E32" i="1"/>
  <c r="F88" i="1"/>
  <c r="H91" i="1"/>
  <c r="G15" i="1"/>
  <c r="F51" i="1"/>
  <c r="H26" i="1"/>
  <c r="F26" i="1"/>
  <c r="F82" i="1"/>
  <c r="D25" i="1"/>
  <c r="D29" i="1"/>
  <c r="G97" i="1"/>
  <c r="H97" i="1"/>
  <c r="D77" i="1"/>
  <c r="E61" i="1"/>
  <c r="H41" i="1"/>
  <c r="D52" i="1"/>
  <c r="D64" i="1"/>
  <c r="E72" i="1"/>
  <c r="E80" i="1"/>
  <c r="E92" i="1"/>
  <c r="F100" i="1"/>
  <c r="G51" i="1"/>
  <c r="H93" i="1"/>
  <c r="E57" i="1"/>
  <c r="E69" i="1"/>
  <c r="G33" i="1"/>
  <c r="F13" i="1"/>
  <c r="H12" i="1"/>
  <c r="D20" i="1"/>
  <c r="F24" i="1"/>
  <c r="G32" i="1"/>
  <c r="E36" i="1"/>
  <c r="H44" i="1"/>
  <c r="G52" i="1"/>
  <c r="E68" i="1"/>
  <c r="H88" i="1"/>
  <c r="E64" i="1"/>
  <c r="D95" i="1"/>
  <c r="G71" i="1"/>
  <c r="H43" i="1"/>
  <c r="F19" i="1"/>
  <c r="H103" i="1"/>
  <c r="D75" i="1"/>
  <c r="E51" i="1"/>
  <c r="G27" i="1"/>
  <c r="G79" i="1"/>
  <c r="F55" i="1"/>
  <c r="D27" i="1"/>
  <c r="H42" i="1"/>
  <c r="D65" i="1"/>
  <c r="G13" i="1"/>
  <c r="G86" i="1"/>
  <c r="H70" i="1"/>
  <c r="D50" i="1"/>
  <c r="G30" i="1"/>
  <c r="F10" i="1"/>
  <c r="H65" i="1"/>
  <c r="D13" i="1"/>
  <c r="F107" i="1"/>
  <c r="F7" i="1"/>
  <c r="G78" i="1"/>
  <c r="D42" i="1"/>
  <c r="D86" i="1"/>
  <c r="H50" i="1"/>
  <c r="G10" i="1"/>
  <c r="E25" i="1"/>
  <c r="G37" i="1"/>
  <c r="G57" i="1"/>
  <c r="F85" i="1"/>
  <c r="F11" i="1"/>
  <c r="H31" i="1"/>
  <c r="G55" i="1"/>
  <c r="F71" i="1"/>
  <c r="F103" i="1"/>
  <c r="F98" i="1"/>
  <c r="E4" i="1"/>
  <c r="D14" i="1"/>
  <c r="F50" i="1"/>
  <c r="G26" i="1"/>
  <c r="D26" i="1"/>
  <c r="G70" i="1"/>
  <c r="G76" i="1"/>
  <c r="E78" i="1"/>
  <c r="F6" i="1"/>
  <c r="H66" i="1"/>
  <c r="O46" i="1"/>
  <c r="K46" i="1"/>
  <c r="K79" i="1"/>
  <c r="O37" i="1"/>
  <c r="O14" i="1"/>
  <c r="N70" i="1"/>
  <c r="N54" i="1"/>
  <c r="N44" i="1"/>
  <c r="M70" i="1"/>
  <c r="K39" i="1"/>
  <c r="O36" i="1"/>
  <c r="N46" i="1"/>
  <c r="O110" i="1"/>
  <c r="M108" i="1"/>
  <c r="O35" i="1"/>
  <c r="L5" i="1"/>
  <c r="L78" i="1"/>
  <c r="K14" i="1"/>
  <c r="M98" i="1"/>
  <c r="N45" i="1"/>
  <c r="N99" i="1"/>
  <c r="M50" i="1"/>
  <c r="K30" i="1"/>
  <c r="O38" i="1"/>
  <c r="M12" i="1"/>
  <c r="M31" i="1"/>
  <c r="K17" i="1"/>
  <c r="L110" i="1"/>
  <c r="M38" i="1"/>
  <c r="M15" i="1"/>
  <c r="N95" i="1"/>
  <c r="M44" i="1"/>
  <c r="K16" i="1"/>
  <c r="N63" i="1"/>
  <c r="M34" i="1"/>
  <c r="L25" i="1"/>
  <c r="N29" i="1"/>
  <c r="K83" i="1"/>
  <c r="O23" i="1"/>
  <c r="K58" i="1"/>
  <c r="L27" i="1"/>
  <c r="O39" i="1"/>
  <c r="O90" i="1"/>
  <c r="N59" i="1"/>
  <c r="O34" i="1"/>
  <c r="M47" i="1"/>
  <c r="M109" i="1"/>
  <c r="M58" i="1"/>
  <c r="L106" i="1"/>
  <c r="N87" i="1"/>
  <c r="K51" i="1"/>
  <c r="L4" i="1"/>
  <c r="O22" i="1"/>
  <c r="K57" i="1"/>
  <c r="M111" i="1"/>
  <c r="L6" i="1"/>
  <c r="M63" i="1"/>
  <c r="M6" i="1"/>
  <c r="K47" i="1"/>
  <c r="O31" i="1"/>
  <c r="M11" i="1"/>
  <c r="M71" i="1"/>
  <c r="M103" i="1"/>
  <c r="O30" i="1"/>
  <c r="N58" i="1"/>
  <c r="O21" i="1"/>
  <c r="O74" i="1"/>
  <c r="N38" i="1"/>
  <c r="N55" i="1"/>
  <c r="K4" i="1"/>
  <c r="O62" i="1"/>
  <c r="N103" i="1"/>
  <c r="M86" i="1"/>
  <c r="K10" i="1"/>
  <c r="L98" i="1"/>
  <c r="L42" i="1"/>
  <c r="N105" i="1"/>
  <c r="L105" i="1"/>
  <c r="M67" i="1"/>
  <c r="O109" i="1"/>
  <c r="N10" i="1"/>
  <c r="M92" i="1"/>
  <c r="M107" i="1"/>
  <c r="N13" i="1"/>
  <c r="L26" i="1"/>
  <c r="L41" i="1"/>
  <c r="N110" i="1"/>
  <c r="O111" i="1"/>
  <c r="K43" i="1"/>
  <c r="O106" i="1"/>
  <c r="M26" i="1"/>
  <c r="N91" i="1"/>
  <c r="K98" i="1"/>
  <c r="L38" i="1"/>
  <c r="K102" i="1"/>
  <c r="L24" i="1"/>
  <c r="L23" i="1"/>
  <c r="N86" i="1"/>
  <c r="K91" i="1"/>
  <c r="K66" i="1"/>
  <c r="N112" i="1"/>
  <c r="K90" i="1"/>
  <c r="L22" i="1"/>
  <c r="L88" i="1"/>
  <c r="N108" i="1"/>
  <c r="K56" i="1"/>
  <c r="O78" i="1"/>
  <c r="O54" i="1"/>
  <c r="N14" i="1"/>
  <c r="K101" i="1"/>
  <c r="O18" i="1"/>
  <c r="M110" i="1"/>
  <c r="K26" i="1"/>
  <c r="K67" i="1"/>
  <c r="K34" i="1"/>
  <c r="N30" i="1"/>
  <c r="L11" i="1"/>
  <c r="K35" i="1"/>
  <c r="O55" i="1"/>
  <c r="O79" i="1"/>
  <c r="M99" i="1"/>
  <c r="O86" i="1"/>
  <c r="K42" i="1"/>
  <c r="K87" i="1"/>
  <c r="K106" i="1"/>
  <c r="M22" i="1"/>
  <c r="O5" i="1"/>
  <c r="O53" i="1"/>
  <c r="M54" i="1"/>
  <c r="M21" i="1"/>
  <c r="K25" i="1"/>
  <c r="N37" i="1"/>
  <c r="L53" i="1"/>
  <c r="K94" i="1"/>
  <c r="K70" i="1"/>
  <c r="K89" i="1"/>
  <c r="L40" i="1"/>
  <c r="M75" i="1"/>
  <c r="M7" i="1"/>
  <c r="M94" i="1"/>
  <c r="M66" i="1"/>
  <c r="L15" i="1"/>
  <c r="O101" i="1"/>
  <c r="L73" i="1"/>
  <c r="M85" i="1"/>
  <c r="L97" i="1"/>
  <c r="L82" i="1"/>
  <c r="L58" i="1"/>
  <c r="M82" i="1"/>
  <c r="K45" i="1"/>
  <c r="N12" i="1"/>
  <c r="K78" i="1"/>
  <c r="K54" i="1"/>
  <c r="O70" i="1"/>
  <c r="L70" i="1"/>
  <c r="L30" i="1"/>
  <c r="N25" i="1"/>
  <c r="K107" i="1"/>
  <c r="O95" i="1"/>
  <c r="O71" i="1"/>
  <c r="L54" i="1"/>
  <c r="K19" i="1"/>
  <c r="K18" i="1"/>
  <c r="O7" i="1"/>
  <c r="O6" i="1"/>
  <c r="O66" i="1"/>
  <c r="O65" i="1"/>
  <c r="N26" i="1"/>
  <c r="N68" i="1"/>
  <c r="N90" i="1"/>
  <c r="K86" i="1"/>
  <c r="K38" i="1"/>
  <c r="L14" i="1"/>
  <c r="K41" i="1"/>
  <c r="K97" i="1"/>
  <c r="K100" i="1"/>
  <c r="O27" i="1"/>
  <c r="K33" i="1"/>
  <c r="L9" i="1"/>
  <c r="L10" i="1"/>
  <c r="M83" i="1"/>
  <c r="M10" i="1"/>
  <c r="N22" i="1"/>
  <c r="N106" i="1"/>
  <c r="L8" i="1"/>
  <c r="N4" i="1"/>
  <c r="N5" i="1"/>
  <c r="M5" i="1"/>
  <c r="M4" i="1"/>
  <c r="N81" i="1"/>
  <c r="O113" i="1"/>
  <c r="L101" i="1"/>
  <c r="M89" i="1"/>
  <c r="N77" i="1"/>
  <c r="M61" i="1"/>
  <c r="N49" i="1"/>
  <c r="K112" i="1"/>
  <c r="L84" i="1"/>
  <c r="N48" i="1"/>
  <c r="O56" i="1"/>
  <c r="K64" i="1"/>
  <c r="K68" i="1"/>
  <c r="L76" i="1"/>
  <c r="L80" i="1"/>
  <c r="N88" i="1"/>
  <c r="M96" i="1"/>
  <c r="M100" i="1"/>
  <c r="L108" i="1"/>
  <c r="L112" i="1"/>
  <c r="L99" i="1"/>
  <c r="N35" i="1"/>
  <c r="M101" i="1"/>
  <c r="M73" i="1"/>
  <c r="K49" i="1"/>
  <c r="N101" i="1"/>
  <c r="K73" i="1"/>
  <c r="O49" i="1"/>
  <c r="M29" i="1"/>
  <c r="N17" i="1"/>
  <c r="K5" i="1"/>
  <c r="K8" i="1"/>
  <c r="O12" i="1"/>
  <c r="L16" i="1"/>
  <c r="N20" i="1"/>
  <c r="M24" i="1"/>
  <c r="K28" i="1"/>
  <c r="O32" i="1"/>
  <c r="L36" i="1"/>
  <c r="N40" i="1"/>
  <c r="M48" i="1"/>
  <c r="N52" i="1"/>
  <c r="K60" i="1"/>
  <c r="K72" i="1"/>
  <c r="O88" i="1"/>
  <c r="K103" i="1"/>
  <c r="O87" i="1"/>
  <c r="N71" i="1"/>
  <c r="O51" i="1"/>
  <c r="L35" i="1"/>
  <c r="M19" i="1"/>
  <c r="N102" i="1"/>
  <c r="K50" i="1"/>
  <c r="O89" i="1"/>
  <c r="K111" i="1"/>
  <c r="L95" i="1"/>
  <c r="K75" i="1"/>
  <c r="O59" i="1"/>
  <c r="M43" i="1"/>
  <c r="N27" i="1"/>
  <c r="K7" i="1"/>
  <c r="L107" i="1"/>
  <c r="M87" i="1"/>
  <c r="L71" i="1"/>
  <c r="M55" i="1"/>
  <c r="N39" i="1"/>
  <c r="O19" i="1"/>
  <c r="L109" i="1"/>
  <c r="M97" i="1"/>
  <c r="L37" i="1"/>
  <c r="K29" i="1"/>
  <c r="M106" i="1"/>
  <c r="M90" i="1"/>
  <c r="N66" i="1"/>
  <c r="M62" i="1"/>
  <c r="O42" i="1"/>
  <c r="O77" i="1"/>
  <c r="K65" i="1"/>
  <c r="L65" i="1"/>
  <c r="K109" i="1"/>
  <c r="O97" i="1"/>
  <c r="L85" i="1"/>
  <c r="N73" i="1"/>
  <c r="L61" i="1"/>
  <c r="M45" i="1"/>
  <c r="M104" i="1"/>
  <c r="O52" i="1"/>
  <c r="M60" i="1"/>
  <c r="M64" i="1"/>
  <c r="M72" i="1"/>
  <c r="K76" i="1"/>
  <c r="N84" i="1"/>
  <c r="O92" i="1"/>
  <c r="O96" i="1"/>
  <c r="K104" i="1"/>
  <c r="K108" i="1"/>
  <c r="L83" i="1"/>
  <c r="N19" i="1"/>
  <c r="O93" i="1"/>
  <c r="O69" i="1"/>
  <c r="M41" i="1"/>
  <c r="L93" i="1"/>
  <c r="L69" i="1"/>
  <c r="N41" i="1"/>
  <c r="L29" i="1"/>
  <c r="M13" i="1"/>
  <c r="M8" i="1"/>
  <c r="K12" i="1"/>
  <c r="O16" i="1"/>
  <c r="L20" i="1"/>
  <c r="N24" i="1"/>
  <c r="M32" i="1"/>
  <c r="K36" i="1"/>
  <c r="O40" i="1"/>
  <c r="L44" i="1"/>
  <c r="L48" i="1"/>
  <c r="N56" i="1"/>
  <c r="M68" i="1"/>
  <c r="N72" i="1"/>
  <c r="M88" i="1"/>
  <c r="O84" i="1"/>
  <c r="L100" i="1"/>
  <c r="K99" i="1"/>
  <c r="O83" i="1"/>
  <c r="K63" i="1"/>
  <c r="O47" i="1"/>
  <c r="L31" i="1"/>
  <c r="N15" i="1"/>
  <c r="K74" i="1"/>
  <c r="O33" i="1"/>
  <c r="N21" i="1"/>
  <c r="N53" i="1"/>
  <c r="O107" i="1"/>
  <c r="L91" i="1"/>
  <c r="K71" i="1"/>
  <c r="L55" i="1"/>
  <c r="M39" i="1"/>
  <c r="N23" i="1"/>
  <c r="L94" i="1"/>
  <c r="M74" i="1"/>
  <c r="N42" i="1"/>
  <c r="L103" i="1"/>
  <c r="N83" i="1"/>
  <c r="L67" i="1"/>
  <c r="M51" i="1"/>
  <c r="K31" i="1"/>
  <c r="O15" i="1"/>
  <c r="N74" i="1"/>
  <c r="N57" i="1"/>
  <c r="K32" i="1"/>
  <c r="N113" i="1"/>
  <c r="L49" i="1"/>
  <c r="N109" i="1"/>
  <c r="K93" i="1"/>
  <c r="O81" i="1"/>
  <c r="K69" i="1"/>
  <c r="O57" i="1"/>
  <c r="L45" i="1"/>
  <c r="O100" i="1"/>
  <c r="K52" i="1"/>
  <c r="N60" i="1"/>
  <c r="N64" i="1"/>
  <c r="L72" i="1"/>
  <c r="M80" i="1"/>
  <c r="M84" i="1"/>
  <c r="L92" i="1"/>
  <c r="L96" i="1"/>
  <c r="N104" i="1"/>
  <c r="M112" i="1"/>
  <c r="N67" i="1"/>
  <c r="L113" i="1"/>
  <c r="N89" i="1"/>
  <c r="N61" i="1"/>
  <c r="L33" i="1"/>
  <c r="M113" i="1"/>
  <c r="K85" i="1"/>
  <c r="K61" i="1"/>
  <c r="K37" i="1"/>
  <c r="O25" i="1"/>
  <c r="L13" i="1"/>
  <c r="N8" i="1"/>
  <c r="M16" i="1"/>
  <c r="K20" i="1"/>
  <c r="O24" i="1"/>
  <c r="L28" i="1"/>
  <c r="N32" i="1"/>
  <c r="M36" i="1"/>
  <c r="K40" i="1"/>
  <c r="O44" i="1"/>
  <c r="O48" i="1"/>
  <c r="M56" i="1"/>
  <c r="L68" i="1"/>
  <c r="K80" i="1"/>
  <c r="K96" i="1"/>
  <c r="O104" i="1"/>
  <c r="M28" i="1"/>
  <c r="N28" i="1"/>
  <c r="N111" i="1"/>
  <c r="K95" i="1"/>
  <c r="L79" i="1"/>
  <c r="K59" i="1"/>
  <c r="O43" i="1"/>
  <c r="M27" i="1"/>
  <c r="N11" i="1"/>
  <c r="O94" i="1"/>
  <c r="M37" i="1"/>
  <c r="O20" i="1"/>
  <c r="M17" i="1"/>
  <c r="M33" i="1"/>
  <c r="M49" i="1"/>
  <c r="M65" i="1"/>
  <c r="O103" i="1"/>
  <c r="L87" i="1"/>
  <c r="O67" i="1"/>
  <c r="L51" i="1"/>
  <c r="M35" i="1"/>
  <c r="K15" i="1"/>
  <c r="K62" i="1"/>
  <c r="M57" i="1"/>
  <c r="M9" i="1"/>
  <c r="M95" i="1"/>
  <c r="N79" i="1"/>
  <c r="L63" i="1"/>
  <c r="N47" i="1"/>
  <c r="K27" i="1"/>
  <c r="O11" i="1"/>
  <c r="L62" i="1"/>
  <c r="M69" i="1"/>
  <c r="K110" i="1"/>
  <c r="O98" i="1"/>
  <c r="O82" i="1"/>
  <c r="N50" i="1"/>
  <c r="M46" i="1"/>
  <c r="M25" i="1"/>
  <c r="M52" i="1"/>
  <c r="N97" i="1"/>
  <c r="M105" i="1"/>
  <c r="N93" i="1"/>
  <c r="K77" i="1"/>
  <c r="N65" i="1"/>
  <c r="K53" i="1"/>
  <c r="O41" i="1"/>
  <c r="N92" i="1"/>
  <c r="K48" i="1"/>
  <c r="L56" i="1"/>
  <c r="L60" i="1"/>
  <c r="O68" i="1"/>
  <c r="O76" i="1"/>
  <c r="O80" i="1"/>
  <c r="K88" i="1"/>
  <c r="K92" i="1"/>
  <c r="N100" i="1"/>
  <c r="O108" i="1"/>
  <c r="O112" i="1"/>
  <c r="N51" i="1"/>
  <c r="K105" i="1"/>
  <c r="L81" i="1"/>
  <c r="L57" i="1"/>
  <c r="L17" i="1"/>
  <c r="O105" i="1"/>
  <c r="M81" i="1"/>
  <c r="M53" i="1"/>
  <c r="N33" i="1"/>
  <c r="K21" i="1"/>
  <c r="O9" i="1"/>
  <c r="O8" i="1"/>
  <c r="L12" i="1"/>
  <c r="N16" i="1"/>
  <c r="M20" i="1"/>
  <c r="K24" i="1"/>
  <c r="O28" i="1"/>
  <c r="L32" i="1"/>
  <c r="N36" i="1"/>
  <c r="M40" i="1"/>
  <c r="K44" i="1"/>
  <c r="L52" i="1"/>
  <c r="O60" i="1"/>
  <c r="O72" i="1"/>
  <c r="N80" i="1"/>
  <c r="N96" i="1"/>
  <c r="L104" i="1"/>
  <c r="L64" i="1"/>
  <c r="N107" i="1"/>
  <c r="O91" i="1"/>
  <c r="N75" i="1"/>
  <c r="K55" i="1"/>
  <c r="L39" i="1"/>
  <c r="M23" i="1"/>
  <c r="N7" i="1"/>
  <c r="M102" i="1"/>
  <c r="N62" i="1"/>
  <c r="M42" i="1"/>
  <c r="L77" i="1"/>
  <c r="L21" i="1"/>
  <c r="K13" i="1"/>
  <c r="K9" i="1"/>
  <c r="O13" i="1"/>
  <c r="O29" i="1"/>
  <c r="O45" i="1"/>
  <c r="O61" i="1"/>
  <c r="K81" i="1"/>
  <c r="O85" i="1"/>
  <c r="K113" i="1"/>
  <c r="O99" i="1"/>
  <c r="M79" i="1"/>
  <c r="O63" i="1"/>
  <c r="L47" i="1"/>
  <c r="N31" i="1"/>
  <c r="K11" i="1"/>
  <c r="N98" i="1"/>
  <c r="N82" i="1"/>
  <c r="L66" i="1"/>
  <c r="L50" i="1"/>
  <c r="O50" i="1"/>
  <c r="L34" i="1"/>
  <c r="L18" i="1"/>
  <c r="O73" i="1"/>
  <c r="N76" i="1"/>
  <c r="L111" i="1"/>
  <c r="M91" i="1"/>
  <c r="O75" i="1"/>
  <c r="M59" i="1"/>
  <c r="N43" i="1"/>
  <c r="K23" i="1"/>
  <c r="L7" i="1"/>
  <c r="N94" i="1"/>
  <c r="N78" i="1"/>
  <c r="L46" i="1"/>
  <c r="N85" i="1"/>
  <c r="O17" i="1"/>
  <c r="N9" i="1"/>
  <c r="L102" i="1"/>
  <c r="L86" i="1"/>
  <c r="O58" i="1"/>
  <c r="N34" i="1"/>
  <c r="M30" i="1"/>
  <c r="O26" i="1"/>
  <c r="K22" i="1"/>
  <c r="N18" i="1"/>
  <c r="M14" i="1"/>
  <c r="O10" i="1"/>
  <c r="K6" i="1"/>
  <c r="F97" i="2"/>
  <c r="F70" i="2"/>
  <c r="F92" i="2"/>
  <c r="F90" i="2"/>
  <c r="F112" i="2"/>
  <c r="F42" i="2"/>
  <c r="F82" i="12"/>
  <c r="D49" i="2"/>
  <c r="AL7" i="11"/>
  <c r="D23" i="2"/>
  <c r="F20" i="12"/>
  <c r="D73" i="2"/>
  <c r="AM7" i="11"/>
  <c r="D112" i="2"/>
  <c r="F84" i="12"/>
  <c r="D123" i="2"/>
  <c r="AL87" i="11"/>
  <c r="F97" i="12"/>
  <c r="D47" i="2"/>
  <c r="F101" i="12"/>
  <c r="AG12" i="4"/>
  <c r="D115" i="2"/>
  <c r="D44" i="2"/>
  <c r="D76" i="2"/>
  <c r="F96" i="12"/>
  <c r="D34" i="2"/>
  <c r="D77" i="2"/>
  <c r="D67" i="2"/>
  <c r="F33" i="12"/>
  <c r="F73" i="12"/>
  <c r="F72" i="12"/>
  <c r="F74" i="12"/>
  <c r="F14" i="12"/>
  <c r="D45" i="2"/>
  <c r="D121" i="2"/>
  <c r="F16" i="12"/>
  <c r="D68" i="2"/>
  <c r="F13" i="12"/>
  <c r="F80" i="12"/>
  <c r="F19" i="12"/>
  <c r="F77" i="12"/>
  <c r="D70" i="2"/>
  <c r="AO27" i="11"/>
  <c r="D28" i="2"/>
  <c r="F100" i="12"/>
  <c r="F32" i="12"/>
  <c r="AP7" i="11"/>
  <c r="F18" i="12"/>
  <c r="D74" i="2"/>
  <c r="F11" i="12"/>
  <c r="F76" i="12"/>
  <c r="AF13" i="4"/>
  <c r="F63" i="12"/>
  <c r="D116" i="2"/>
  <c r="D27" i="2"/>
  <c r="F41" i="12"/>
  <c r="AQ47" i="11"/>
  <c r="AQ67" i="11"/>
  <c r="D42" i="2"/>
  <c r="D100" i="2"/>
  <c r="D96" i="2"/>
  <c r="AN67" i="11"/>
  <c r="D114" i="2"/>
  <c r="F92" i="12"/>
  <c r="D52" i="2"/>
  <c r="F60" i="12"/>
  <c r="AQ87" i="11"/>
  <c r="F45" i="12"/>
  <c r="F94" i="12"/>
  <c r="D69" i="2"/>
  <c r="AO67" i="11"/>
  <c r="AE13" i="4"/>
  <c r="F64" i="12"/>
  <c r="D56" i="2"/>
  <c r="D54" i="2"/>
  <c r="F12" i="12"/>
  <c r="F85" i="12"/>
  <c r="D113" i="2"/>
  <c r="F36" i="12"/>
  <c r="D43" i="2"/>
  <c r="F34" i="12"/>
  <c r="D53" i="2"/>
  <c r="AM67" i="11"/>
  <c r="F24" i="12"/>
  <c r="F99" i="12"/>
  <c r="D120" i="2"/>
  <c r="AL27" i="11"/>
  <c r="F90" i="12"/>
  <c r="F39" i="12"/>
  <c r="AP87" i="11"/>
  <c r="F91" i="12"/>
  <c r="F98" i="12"/>
  <c r="AO7" i="11"/>
  <c r="D124" i="2"/>
  <c r="AO87" i="11"/>
  <c r="D20" i="2"/>
  <c r="AL67" i="11"/>
  <c r="AH12" i="4"/>
  <c r="D80" i="2"/>
  <c r="D30" i="2"/>
  <c r="F95" i="12"/>
  <c r="D21" i="2"/>
  <c r="F44" i="12"/>
  <c r="D95" i="2"/>
  <c r="D102" i="2"/>
  <c r="D122" i="2"/>
  <c r="AI13" i="4"/>
  <c r="D117" i="2"/>
  <c r="AF12" i="4"/>
  <c r="D55" i="2"/>
  <c r="F59" i="12"/>
  <c r="D51" i="2"/>
  <c r="D88" i="2"/>
  <c r="AQ7" i="11"/>
  <c r="F104" i="12"/>
  <c r="F83" i="12"/>
  <c r="D32" i="2"/>
  <c r="AP47" i="11"/>
  <c r="D126" i="2"/>
  <c r="D26" i="2"/>
  <c r="F56" i="12"/>
  <c r="D31" i="2"/>
  <c r="AM47" i="11"/>
  <c r="AN47" i="11"/>
  <c r="AM27" i="11"/>
  <c r="F21" i="12"/>
  <c r="F62" i="12"/>
  <c r="AP27" i="11"/>
  <c r="D92" i="2"/>
  <c r="F55" i="12"/>
  <c r="AE12" i="4"/>
  <c r="F25" i="12"/>
  <c r="F42" i="12"/>
  <c r="D125" i="2"/>
  <c r="F103" i="12"/>
  <c r="F37" i="12"/>
  <c r="F61" i="12"/>
  <c r="F57" i="12"/>
  <c r="D57" i="2"/>
  <c r="F43" i="12"/>
  <c r="D72" i="2"/>
  <c r="F81" i="12"/>
  <c r="D97" i="2"/>
  <c r="F52" i="12"/>
  <c r="AN27" i="11"/>
  <c r="D50" i="2"/>
  <c r="D89" i="2"/>
  <c r="D29" i="2"/>
  <c r="AQ27" i="11"/>
  <c r="D71" i="2"/>
  <c r="F22" i="12"/>
  <c r="AH13" i="4"/>
  <c r="AO47" i="11"/>
  <c r="F79" i="12"/>
  <c r="F65" i="12"/>
  <c r="F105" i="12"/>
  <c r="F31" i="12"/>
  <c r="V99" i="20"/>
  <c r="D75" i="2"/>
  <c r="D46" i="2"/>
  <c r="F17" i="12"/>
  <c r="W114" i="20"/>
  <c r="V164" i="20"/>
  <c r="V144" i="20"/>
  <c r="T38" i="20"/>
  <c r="T87" i="20"/>
  <c r="T43" i="20"/>
  <c r="T96" i="20"/>
  <c r="D90" i="2"/>
  <c r="D103" i="2"/>
  <c r="D94" i="2"/>
  <c r="F75" i="12"/>
  <c r="AG13" i="4"/>
  <c r="D22" i="2"/>
  <c r="W98" i="20"/>
  <c r="V131" i="20"/>
  <c r="T88" i="20"/>
  <c r="AN7" i="11"/>
  <c r="F93" i="12"/>
  <c r="F54" i="12"/>
  <c r="V134" i="20"/>
  <c r="V122" i="20"/>
  <c r="V139" i="20"/>
  <c r="T113" i="20"/>
  <c r="D101" i="2"/>
  <c r="D119" i="2"/>
  <c r="F71" i="12"/>
  <c r="F10" i="12"/>
  <c r="F51" i="12"/>
  <c r="D79" i="2"/>
  <c r="D48" i="2"/>
  <c r="AM87" i="11"/>
  <c r="D118" i="2"/>
  <c r="D25" i="2"/>
  <c r="D19" i="2"/>
  <c r="D111" i="2"/>
  <c r="D98" i="2"/>
  <c r="D33" i="2"/>
  <c r="F102" i="12"/>
  <c r="AL47" i="11"/>
  <c r="D78" i="2"/>
  <c r="F50" i="12"/>
  <c r="F38" i="12"/>
  <c r="U93" i="20" s="1"/>
  <c r="F30" i="12"/>
  <c r="V130" i="20"/>
  <c r="V128" i="20"/>
  <c r="AP67" i="11"/>
  <c r="F40" i="12"/>
  <c r="D91" i="2"/>
  <c r="D93" i="2"/>
  <c r="F58" i="12"/>
  <c r="U142" i="20"/>
  <c r="V121" i="20"/>
  <c r="D65" i="2"/>
  <c r="F78" i="12"/>
  <c r="V161" i="20"/>
  <c r="V113" i="20"/>
  <c r="V145" i="20"/>
  <c r="W105" i="20"/>
  <c r="X65" i="20"/>
  <c r="V93" i="20"/>
  <c r="V142" i="20"/>
  <c r="V150" i="20"/>
  <c r="W48" i="20"/>
  <c r="V162" i="20"/>
  <c r="V96" i="20"/>
  <c r="T20" i="20"/>
  <c r="T45" i="20"/>
  <c r="T121" i="20"/>
  <c r="T112" i="20"/>
  <c r="T36" i="20"/>
  <c r="T103" i="20"/>
  <c r="T41" i="20"/>
  <c r="T108" i="20"/>
  <c r="AN87" i="11"/>
  <c r="D24" i="2"/>
  <c r="D66" i="2"/>
  <c r="F15" i="12"/>
  <c r="V141" i="20"/>
  <c r="U144" i="20"/>
  <c r="W45" i="20"/>
  <c r="T11" i="20"/>
  <c r="T7" i="20"/>
  <c r="F53" i="12"/>
  <c r="V71" i="20" s="1"/>
  <c r="F23" i="12"/>
  <c r="F35" i="12"/>
  <c r="F70" i="12"/>
  <c r="D99" i="2"/>
  <c r="AI12" i="4"/>
  <c r="U106" i="20"/>
  <c r="X156" i="20"/>
  <c r="W75" i="20"/>
  <c r="T73" i="20"/>
  <c r="T26" i="20"/>
  <c r="T81" i="20"/>
  <c r="W9" i="20"/>
  <c r="W47" i="20"/>
  <c r="W10" i="20"/>
  <c r="X88" i="20"/>
  <c r="X92" i="20"/>
  <c r="X148" i="20"/>
  <c r="X147" i="20"/>
  <c r="X150" i="20"/>
  <c r="X132" i="20"/>
  <c r="X144" i="20"/>
  <c r="U79" i="20"/>
  <c r="U29" i="20"/>
  <c r="U148" i="20"/>
  <c r="U25" i="20"/>
  <c r="U14" i="20"/>
  <c r="U104" i="20"/>
  <c r="U152" i="20"/>
  <c r="U76" i="20"/>
  <c r="U123" i="20"/>
  <c r="U158" i="20"/>
  <c r="U74" i="20"/>
  <c r="U27" i="20"/>
  <c r="U97" i="20"/>
  <c r="U54" i="20"/>
  <c r="V153" i="20"/>
  <c r="V107" i="20"/>
  <c r="V10" i="20"/>
  <c r="V66" i="20"/>
  <c r="V55" i="20"/>
  <c r="V149" i="20"/>
  <c r="V125" i="20"/>
  <c r="V151" i="20"/>
  <c r="V36" i="20"/>
  <c r="V85" i="20"/>
  <c r="V73" i="20"/>
  <c r="V12" i="20"/>
  <c r="V137" i="20"/>
  <c r="V156" i="20"/>
  <c r="V105" i="20"/>
  <c r="V52" i="20"/>
  <c r="V33" i="20"/>
  <c r="V13" i="20"/>
  <c r="V65" i="20"/>
  <c r="V123" i="20"/>
  <c r="V5" i="20"/>
  <c r="V64" i="20"/>
  <c r="V53" i="20"/>
  <c r="V57" i="20"/>
  <c r="V56" i="20"/>
  <c r="V124" i="20"/>
  <c r="V15" i="20"/>
  <c r="V148" i="20"/>
  <c r="V19" i="20"/>
  <c r="V116" i="20"/>
  <c r="V90" i="20"/>
  <c r="V67" i="20"/>
  <c r="V20" i="20"/>
  <c r="V129" i="20"/>
  <c r="V163" i="20"/>
  <c r="V84" i="20"/>
  <c r="V79" i="20"/>
  <c r="V30" i="20"/>
  <c r="V135" i="20"/>
  <c r="V68" i="20"/>
  <c r="V101" i="20"/>
  <c r="V92" i="20"/>
  <c r="V98" i="20"/>
  <c r="V27" i="20"/>
  <c r="V31" i="20"/>
  <c r="V48" i="20"/>
  <c r="V18" i="20"/>
  <c r="V112" i="20"/>
  <c r="V111" i="20"/>
  <c r="V104" i="20"/>
  <c r="V44" i="20"/>
  <c r="V80" i="20"/>
  <c r="V46" i="20"/>
  <c r="V138" i="20"/>
  <c r="V11" i="20"/>
  <c r="V133" i="20"/>
  <c r="V158" i="20"/>
  <c r="V108" i="20"/>
  <c r="V32" i="20"/>
  <c r="V154" i="20"/>
  <c r="V140" i="20"/>
  <c r="V94" i="20"/>
  <c r="V155" i="20"/>
  <c r="V136" i="20"/>
  <c r="V132" i="20"/>
  <c r="V119" i="20"/>
  <c r="V117" i="20"/>
  <c r="V74" i="20"/>
  <c r="V28" i="20"/>
  <c r="V127" i="20"/>
  <c r="V83" i="20"/>
  <c r="V14" i="20"/>
  <c r="V49" i="20"/>
  <c r="V69" i="20"/>
  <c r="V54" i="20"/>
  <c r="V95" i="20"/>
  <c r="V126" i="20"/>
  <c r="V146" i="20"/>
  <c r="V110" i="20"/>
  <c r="V120" i="20"/>
  <c r="V37" i="20"/>
  <c r="V86" i="20"/>
  <c r="V152" i="20"/>
  <c r="V118" i="20"/>
  <c r="V97" i="20"/>
  <c r="V159" i="20"/>
  <c r="V9" i="20"/>
  <c r="V143" i="20"/>
  <c r="V160" i="20"/>
  <c r="V89" i="20"/>
  <c r="V91" i="20"/>
  <c r="V72" i="20"/>
  <c r="V43" i="20"/>
  <c r="V34" i="20"/>
  <c r="V81" i="20"/>
  <c r="V157" i="20"/>
  <c r="V59" i="20"/>
  <c r="V39" i="20"/>
  <c r="V51" i="20"/>
  <c r="V147" i="20"/>
  <c r="V35" i="20"/>
  <c r="W161" i="20"/>
  <c r="W132" i="20"/>
  <c r="W134" i="20"/>
  <c r="W143" i="20"/>
  <c r="T70" i="20"/>
  <c r="T92" i="20"/>
  <c r="T79" i="20"/>
  <c r="T76" i="20"/>
  <c r="T6" i="20"/>
  <c r="T31" i="20"/>
  <c r="T140" i="20"/>
  <c r="T150" i="20"/>
  <c r="T47" i="20"/>
  <c r="T78" i="20"/>
  <c r="T48" i="20"/>
  <c r="T85" i="20"/>
  <c r="T126" i="20"/>
  <c r="T95" i="20"/>
  <c r="T63" i="20"/>
  <c r="T30" i="20"/>
  <c r="T146" i="20"/>
  <c r="T71" i="20"/>
  <c r="T105" i="20"/>
  <c r="T163" i="20"/>
  <c r="T119" i="20"/>
  <c r="T159" i="20"/>
  <c r="T104" i="20"/>
  <c r="T110" i="20"/>
  <c r="T137" i="20"/>
  <c r="T155" i="20"/>
  <c r="T145" i="20"/>
  <c r="T82" i="20"/>
  <c r="T23" i="20"/>
  <c r="T160" i="20"/>
  <c r="T157" i="20"/>
  <c r="T51" i="20"/>
  <c r="T22" i="20"/>
  <c r="T21" i="20"/>
  <c r="T42" i="20"/>
  <c r="T143" i="20"/>
  <c r="T9" i="20"/>
  <c r="T61" i="20"/>
  <c r="T12" i="20"/>
  <c r="T102" i="20"/>
  <c r="T62" i="20"/>
  <c r="T15" i="20"/>
  <c r="T106" i="20"/>
  <c r="T101" i="20"/>
  <c r="T89" i="20"/>
  <c r="T149" i="20"/>
  <c r="T65" i="20"/>
  <c r="T77" i="20"/>
  <c r="T32" i="20"/>
  <c r="T93" i="20"/>
  <c r="T39" i="20"/>
  <c r="T83" i="20"/>
  <c r="T19" i="20"/>
  <c r="T13" i="20"/>
  <c r="T142" i="20"/>
  <c r="T130" i="20"/>
  <c r="T90" i="20"/>
  <c r="T67" i="20"/>
  <c r="T28" i="20"/>
  <c r="T114" i="20"/>
  <c r="T54" i="20"/>
  <c r="T40" i="20"/>
  <c r="T84" i="20"/>
  <c r="T14" i="20"/>
  <c r="T5" i="20"/>
  <c r="T97" i="20"/>
  <c r="T162" i="20"/>
  <c r="T117" i="20"/>
  <c r="T107" i="20"/>
  <c r="T98" i="20"/>
  <c r="T27" i="20"/>
  <c r="T120" i="20"/>
  <c r="T86" i="20"/>
  <c r="T111" i="20"/>
  <c r="T46" i="20"/>
  <c r="T35" i="20"/>
  <c r="T109" i="20"/>
  <c r="T100" i="20"/>
  <c r="T33" i="20"/>
  <c r="T34" i="20"/>
  <c r="T158" i="20"/>
  <c r="T115" i="20"/>
  <c r="T17" i="20"/>
  <c r="T99" i="20"/>
  <c r="T125" i="20"/>
  <c r="T116" i="20"/>
  <c r="T118" i="20"/>
  <c r="T16" i="20"/>
  <c r="T59" i="20"/>
  <c r="T80" i="20"/>
  <c r="T124" i="20"/>
  <c r="T44" i="20"/>
  <c r="T18" i="20"/>
  <c r="T139" i="20"/>
  <c r="T91" i="20"/>
  <c r="T123" i="20"/>
  <c r="T94" i="20"/>
  <c r="T154" i="20"/>
  <c r="T72" i="20"/>
  <c r="T151" i="20"/>
  <c r="T53" i="20"/>
  <c r="T37" i="20"/>
  <c r="T24" i="20"/>
  <c r="T25" i="20"/>
  <c r="T141" i="20"/>
  <c r="T56" i="20"/>
  <c r="W74" i="20"/>
  <c r="W68" i="20"/>
  <c r="X18" i="20"/>
  <c r="X13" i="20"/>
  <c r="X59" i="20"/>
  <c r="X10" i="20"/>
  <c r="X23" i="20"/>
  <c r="W16" i="20"/>
  <c r="W22" i="20"/>
  <c r="W43" i="20"/>
  <c r="W8" i="20"/>
  <c r="T29" i="20"/>
  <c r="T10" i="20"/>
  <c r="T8" i="20"/>
  <c r="V88" i="20"/>
  <c r="V82" i="20"/>
  <c r="V87" i="20"/>
  <c r="T52" i="20"/>
  <c r="T60" i="20"/>
  <c r="T66" i="20"/>
  <c r="T69" i="20"/>
  <c r="T58" i="20"/>
  <c r="T64" i="20"/>
  <c r="T55" i="20"/>
  <c r="T75" i="20"/>
  <c r="T50" i="20"/>
  <c r="T74" i="20"/>
  <c r="T57" i="20"/>
  <c r="V70" i="20"/>
  <c r="V17" i="20"/>
  <c r="V50" i="20"/>
  <c r="V45" i="20"/>
  <c r="V62" i="20"/>
  <c r="V40" i="20"/>
  <c r="V29" i="20"/>
  <c r="V26" i="20"/>
  <c r="V76" i="20"/>
  <c r="V78" i="20"/>
  <c r="V63" i="20"/>
  <c r="V22" i="20"/>
  <c r="V61" i="20"/>
  <c r="V75" i="20"/>
  <c r="V38" i="20"/>
  <c r="V6" i="20"/>
  <c r="V24" i="20"/>
  <c r="V8" i="20"/>
  <c r="V41" i="20"/>
  <c r="V42" i="20"/>
  <c r="V58" i="20"/>
  <c r="T129" i="20"/>
  <c r="T127" i="20"/>
  <c r="T133" i="20"/>
  <c r="T122" i="20"/>
  <c r="T131" i="20"/>
  <c r="T135" i="20"/>
  <c r="T138" i="20"/>
  <c r="T144" i="20"/>
  <c r="T132" i="20"/>
  <c r="T134" i="20"/>
  <c r="T153" i="20"/>
  <c r="T156" i="20"/>
  <c r="T152" i="20"/>
  <c r="T164" i="20"/>
  <c r="U68" i="20"/>
  <c r="U67" i="20"/>
  <c r="T68" i="20"/>
  <c r="T49" i="20"/>
  <c r="T147" i="20"/>
  <c r="T136" i="20"/>
  <c r="T128" i="20"/>
  <c r="T161" i="20"/>
  <c r="T148" i="20"/>
  <c r="Q40" i="17" l="1"/>
  <c r="Q91" i="17"/>
  <c r="Q65" i="17"/>
  <c r="Q87" i="17"/>
  <c r="Q66" i="17"/>
  <c r="Q13" i="17"/>
  <c r="Q57" i="17"/>
  <c r="Q26" i="17"/>
  <c r="Q72" i="17"/>
  <c r="Q78" i="17"/>
  <c r="Q70" i="17"/>
  <c r="Q76" i="17"/>
  <c r="Q97" i="17"/>
  <c r="Q90" i="17"/>
  <c r="Q53" i="17"/>
  <c r="Q45" i="17"/>
  <c r="Q16" i="17"/>
  <c r="Q98" i="17"/>
  <c r="Q95" i="17"/>
  <c r="Q5" i="17"/>
  <c r="Q73" i="17"/>
  <c r="Q51" i="17"/>
  <c r="Q10" i="17"/>
  <c r="Q67" i="17"/>
  <c r="Q92" i="17"/>
  <c r="Q93" i="17"/>
  <c r="Q88" i="17"/>
  <c r="Q33" i="17"/>
  <c r="Q54" i="17"/>
  <c r="Q28" i="17"/>
  <c r="Q37" i="17"/>
  <c r="Q47" i="17"/>
  <c r="Q55" i="17"/>
  <c r="Q86" i="17"/>
  <c r="Q49" i="17"/>
  <c r="Q99" i="17"/>
  <c r="Q15" i="17"/>
  <c r="Q39" i="17"/>
  <c r="Q14" i="17"/>
  <c r="Q71" i="17"/>
  <c r="Q20" i="17"/>
  <c r="Q100" i="17"/>
  <c r="Q27" i="17"/>
  <c r="Q74" i="17"/>
  <c r="Q77" i="17"/>
  <c r="Q94" i="17"/>
  <c r="Q50" i="17"/>
  <c r="Q34" i="17"/>
  <c r="Q6" i="17"/>
  <c r="Q19" i="17"/>
  <c r="Q31" i="17"/>
  <c r="Q48" i="17"/>
  <c r="Q52" i="17"/>
  <c r="Q18" i="17"/>
  <c r="Q17" i="17"/>
  <c r="Q9" i="17"/>
  <c r="Q96" i="17"/>
  <c r="Q29" i="17"/>
  <c r="Q12" i="17"/>
  <c r="Q58" i="17"/>
  <c r="Q80" i="17"/>
  <c r="Q25" i="17"/>
  <c r="Q68" i="17"/>
  <c r="Q69" i="17"/>
  <c r="Q89" i="17"/>
  <c r="Q30" i="17"/>
  <c r="Q46" i="17"/>
  <c r="Q38" i="17"/>
  <c r="Q75" i="17"/>
  <c r="Q8" i="17"/>
  <c r="Q79" i="17"/>
  <c r="Q59" i="17"/>
  <c r="Q11" i="17"/>
  <c r="Q36" i="17"/>
  <c r="Q60" i="17"/>
  <c r="Q56" i="17"/>
  <c r="Q35" i="17"/>
  <c r="Q32" i="17"/>
  <c r="Q85" i="17"/>
  <c r="Q7" i="17"/>
  <c r="AK40" i="8"/>
  <c r="M40" i="8"/>
  <c r="AK91" i="8"/>
  <c r="M91" i="8"/>
  <c r="M65" i="8"/>
  <c r="AK65" i="8"/>
  <c r="AK87" i="8"/>
  <c r="M87" i="8"/>
  <c r="AK66" i="8"/>
  <c r="M66" i="8"/>
  <c r="M13" i="8"/>
  <c r="AK13" i="8"/>
  <c r="M57" i="8"/>
  <c r="AK57" i="8"/>
  <c r="AK26" i="8"/>
  <c r="M26" i="8"/>
  <c r="AK72" i="8"/>
  <c r="M72" i="8"/>
  <c r="AK78" i="8"/>
  <c r="M78" i="8"/>
  <c r="AK70" i="8"/>
  <c r="M70" i="8"/>
  <c r="AK76" i="8"/>
  <c r="M76" i="8"/>
  <c r="M97" i="8"/>
  <c r="AK97" i="8"/>
  <c r="AK90" i="8"/>
  <c r="M90" i="8"/>
  <c r="M53" i="8"/>
  <c r="AK53" i="8"/>
  <c r="M45" i="8"/>
  <c r="AK45" i="8"/>
  <c r="AK16" i="8"/>
  <c r="M16" i="8"/>
  <c r="AK98" i="8"/>
  <c r="M98" i="8"/>
  <c r="AK95" i="8"/>
  <c r="M95" i="8"/>
  <c r="M5" i="8"/>
  <c r="AK5" i="8"/>
  <c r="M73" i="8"/>
  <c r="AK73" i="8"/>
  <c r="AK51" i="8"/>
  <c r="M51" i="8"/>
  <c r="AK10" i="8"/>
  <c r="M10" i="8"/>
  <c r="M67" i="8"/>
  <c r="AK67" i="8"/>
  <c r="AK92" i="8"/>
  <c r="M92" i="8"/>
  <c r="M93" i="8"/>
  <c r="AK93" i="8"/>
  <c r="AK88" i="8"/>
  <c r="M88" i="8"/>
  <c r="M33" i="8"/>
  <c r="AK33" i="8"/>
  <c r="AK54" i="8"/>
  <c r="M54" i="8"/>
  <c r="AK28" i="8"/>
  <c r="M28" i="8"/>
  <c r="M37" i="8"/>
  <c r="AK37" i="8"/>
  <c r="AK47" i="8"/>
  <c r="M47" i="8"/>
  <c r="AK55" i="8"/>
  <c r="M55" i="8"/>
  <c r="AK86" i="8"/>
  <c r="M86" i="8"/>
  <c r="M49" i="8"/>
  <c r="AK49" i="8"/>
  <c r="AK99" i="8"/>
  <c r="M99" i="8"/>
  <c r="AK15" i="8"/>
  <c r="M15" i="8"/>
  <c r="M39" i="8"/>
  <c r="AK39" i="8"/>
  <c r="AK14" i="8"/>
  <c r="M14" i="8"/>
  <c r="M71" i="8"/>
  <c r="AK71" i="8"/>
  <c r="M20" i="8"/>
  <c r="AK20" i="8"/>
  <c r="AK100" i="8"/>
  <c r="M100" i="8"/>
  <c r="AK27" i="8"/>
  <c r="M27" i="8"/>
  <c r="AK74" i="8"/>
  <c r="M74" i="8"/>
  <c r="M77" i="8"/>
  <c r="AK77" i="8"/>
  <c r="AK94" i="8"/>
  <c r="M94" i="8"/>
  <c r="AK50" i="8"/>
  <c r="M50" i="8"/>
  <c r="AK34" i="8"/>
  <c r="M34" i="8"/>
  <c r="AK6" i="8"/>
  <c r="M6" i="8"/>
  <c r="AK19" i="8"/>
  <c r="M19" i="8"/>
  <c r="AK31" i="8"/>
  <c r="M31" i="8"/>
  <c r="AK48" i="8"/>
  <c r="M48" i="8"/>
  <c r="AK52" i="8"/>
  <c r="M52" i="8"/>
  <c r="AK18" i="8"/>
  <c r="M18" i="8"/>
  <c r="AK17" i="8"/>
  <c r="M17" i="8"/>
  <c r="M9" i="8"/>
  <c r="AK9" i="8"/>
  <c r="AK96" i="8"/>
  <c r="M96" i="8"/>
  <c r="M29" i="8"/>
  <c r="AK29" i="8"/>
  <c r="M12" i="8"/>
  <c r="AK12" i="8"/>
  <c r="AK58" i="8"/>
  <c r="M58" i="8"/>
  <c r="AK80" i="8"/>
  <c r="M80" i="8"/>
  <c r="M25" i="8"/>
  <c r="AK25" i="8"/>
  <c r="AK68" i="8"/>
  <c r="M68" i="8"/>
  <c r="M69" i="8"/>
  <c r="AK69" i="8"/>
  <c r="M89" i="8"/>
  <c r="AK89" i="8"/>
  <c r="AK30" i="8"/>
  <c r="M30" i="8"/>
  <c r="AK46" i="8"/>
  <c r="M46" i="8"/>
  <c r="AK38" i="8"/>
  <c r="M38" i="8"/>
  <c r="M75" i="8"/>
  <c r="AK75" i="8"/>
  <c r="M8" i="8"/>
  <c r="AK8" i="8"/>
  <c r="M79" i="8"/>
  <c r="AK79" i="8"/>
  <c r="AK59" i="8"/>
  <c r="M59" i="8"/>
  <c r="AK11" i="8"/>
  <c r="M11" i="8"/>
  <c r="AK36" i="8"/>
  <c r="M36" i="8"/>
  <c r="AK60" i="8"/>
  <c r="M60" i="8"/>
  <c r="AK56" i="8"/>
  <c r="M56" i="8"/>
  <c r="AK35" i="8"/>
  <c r="M35" i="8"/>
  <c r="AK32" i="8"/>
  <c r="M32" i="8"/>
  <c r="M85" i="8"/>
  <c r="AK85" i="8"/>
  <c r="AK7" i="8"/>
  <c r="M7" i="8"/>
  <c r="X40" i="11"/>
  <c r="X91" i="11"/>
  <c r="X65" i="11"/>
  <c r="X87" i="11"/>
  <c r="X66" i="11"/>
  <c r="X13" i="11"/>
  <c r="X57" i="11"/>
  <c r="X26" i="11"/>
  <c r="X72" i="11"/>
  <c r="X78" i="11"/>
  <c r="X70" i="11"/>
  <c r="X76" i="11"/>
  <c r="X97" i="11"/>
  <c r="X90" i="11"/>
  <c r="X53" i="11"/>
  <c r="X45" i="11"/>
  <c r="X16" i="11"/>
  <c r="X98" i="11"/>
  <c r="X95" i="11"/>
  <c r="X5" i="11"/>
  <c r="X73" i="11"/>
  <c r="X51" i="11"/>
  <c r="X10" i="11"/>
  <c r="X67" i="11"/>
  <c r="X92" i="11"/>
  <c r="X93" i="11"/>
  <c r="X88" i="11"/>
  <c r="X33" i="11"/>
  <c r="X54" i="11"/>
  <c r="X28" i="11"/>
  <c r="X37" i="11"/>
  <c r="X47" i="11"/>
  <c r="X55" i="11"/>
  <c r="X86" i="11"/>
  <c r="X49" i="11"/>
  <c r="X99" i="11"/>
  <c r="X15" i="11"/>
  <c r="X39" i="11"/>
  <c r="X14" i="11"/>
  <c r="X71" i="11"/>
  <c r="X20" i="11"/>
  <c r="X100" i="11"/>
  <c r="X27" i="11"/>
  <c r="X74" i="11"/>
  <c r="X77" i="11"/>
  <c r="X94" i="11"/>
  <c r="X50" i="11"/>
  <c r="X34" i="11"/>
  <c r="X6" i="11"/>
  <c r="X19" i="11"/>
  <c r="X31" i="11"/>
  <c r="X48" i="11"/>
  <c r="X52" i="11"/>
  <c r="X18" i="11"/>
  <c r="X17" i="11"/>
  <c r="X9" i="11"/>
  <c r="X96" i="11"/>
  <c r="X29" i="11"/>
  <c r="X12" i="11"/>
  <c r="X58" i="11"/>
  <c r="X80" i="11"/>
  <c r="X25" i="11"/>
  <c r="X68" i="11"/>
  <c r="X69" i="11"/>
  <c r="X89" i="11"/>
  <c r="X30" i="11"/>
  <c r="X46" i="11"/>
  <c r="X38" i="11"/>
  <c r="X75" i="11"/>
  <c r="X8" i="11"/>
  <c r="X79" i="11"/>
  <c r="X59" i="11"/>
  <c r="X11" i="11"/>
  <c r="X36" i="11"/>
  <c r="X60" i="11"/>
  <c r="X56" i="11"/>
  <c r="X35" i="11"/>
  <c r="X32" i="11"/>
  <c r="X85" i="11"/>
  <c r="X7" i="11"/>
  <c r="F89" i="10"/>
  <c r="F89" i="16"/>
  <c r="F30" i="10"/>
  <c r="F30" i="16"/>
  <c r="F38" i="10"/>
  <c r="F38" i="16"/>
  <c r="F36" i="10"/>
  <c r="F36" i="16"/>
  <c r="F26" i="10"/>
  <c r="F26" i="16"/>
  <c r="F92" i="10"/>
  <c r="F92" i="16"/>
  <c r="F55" i="10"/>
  <c r="F55" i="16"/>
  <c r="F93" i="16"/>
  <c r="F93" i="10"/>
  <c r="F6" i="10"/>
  <c r="F6" i="16"/>
  <c r="F66" i="10"/>
  <c r="F66" i="16"/>
  <c r="F100" i="10"/>
  <c r="F100" i="16"/>
  <c r="F34" i="16"/>
  <c r="F34" i="10"/>
  <c r="F40" i="10"/>
  <c r="F40" i="16"/>
  <c r="F75" i="10"/>
  <c r="F75" i="16"/>
  <c r="F5" i="10"/>
  <c r="F5" i="16"/>
  <c r="F88" i="10"/>
  <c r="F88" i="16"/>
  <c r="F27" i="16"/>
  <c r="F27" i="10"/>
  <c r="F19" i="10"/>
  <c r="F19" i="16"/>
  <c r="F25" i="10"/>
  <c r="F25" i="16"/>
  <c r="F90" i="10"/>
  <c r="F90" i="16"/>
  <c r="F99" i="10"/>
  <c r="F99" i="16"/>
  <c r="F13" i="10"/>
  <c r="F13" i="16"/>
  <c r="F60" i="10"/>
  <c r="F60" i="16"/>
  <c r="F31" i="10"/>
  <c r="F31" i="16"/>
  <c r="F91" i="10"/>
  <c r="F91" i="16"/>
  <c r="F56" i="10"/>
  <c r="F56" i="16"/>
  <c r="F50" i="10"/>
  <c r="F50" i="16"/>
  <c r="F86" i="16"/>
  <c r="F86" i="10"/>
  <c r="F33" i="10"/>
  <c r="F33" i="16"/>
  <c r="F46" i="10"/>
  <c r="F46" i="16"/>
  <c r="F57" i="10"/>
  <c r="F57" i="16"/>
  <c r="F73" i="10"/>
  <c r="F73" i="16"/>
  <c r="F49" i="16"/>
  <c r="F49" i="10"/>
  <c r="F15" i="10"/>
  <c r="F15" i="16"/>
  <c r="F74" i="10"/>
  <c r="F74" i="16"/>
  <c r="F72" i="10"/>
  <c r="F72" i="16"/>
  <c r="F53" i="10"/>
  <c r="F53" i="16"/>
  <c r="F54" i="10"/>
  <c r="F54" i="16"/>
  <c r="F39" i="10"/>
  <c r="F39" i="16"/>
  <c r="F77" i="10"/>
  <c r="F77" i="16"/>
  <c r="F65" i="10"/>
  <c r="F65" i="16"/>
  <c r="F8" i="10"/>
  <c r="F8" i="16"/>
  <c r="F45" i="10"/>
  <c r="F45" i="16"/>
  <c r="F48" i="16"/>
  <c r="F48" i="10"/>
  <c r="F29" i="16"/>
  <c r="F29" i="10"/>
  <c r="F68" i="10"/>
  <c r="F68" i="16"/>
  <c r="F35" i="10"/>
  <c r="F35" i="16"/>
  <c r="F16" i="10"/>
  <c r="F16" i="16"/>
  <c r="F94" i="10"/>
  <c r="F94" i="16"/>
  <c r="F52" i="10"/>
  <c r="F52" i="16"/>
  <c r="F12" i="10"/>
  <c r="F12" i="16"/>
  <c r="F69" i="16"/>
  <c r="F69" i="10"/>
  <c r="F59" i="10"/>
  <c r="F59" i="16"/>
  <c r="F32" i="10"/>
  <c r="F32" i="16"/>
  <c r="F78" i="10"/>
  <c r="F78" i="16"/>
  <c r="F28" i="16"/>
  <c r="F28" i="10"/>
  <c r="F14" i="10"/>
  <c r="F14" i="16"/>
  <c r="F18" i="10"/>
  <c r="F18" i="16"/>
  <c r="F79" i="10"/>
  <c r="F79" i="16"/>
  <c r="F85" i="10"/>
  <c r="F85" i="16"/>
  <c r="F70" i="10"/>
  <c r="F70" i="16"/>
  <c r="F98" i="10"/>
  <c r="F98" i="16"/>
  <c r="F51" i="16"/>
  <c r="F51" i="10"/>
  <c r="F37" i="16"/>
  <c r="F37" i="10"/>
  <c r="F71" i="10"/>
  <c r="F71" i="16"/>
  <c r="F17" i="10"/>
  <c r="F17" i="16"/>
  <c r="F58" i="10"/>
  <c r="F58" i="16"/>
  <c r="F11" i="10"/>
  <c r="F11" i="16"/>
  <c r="F7" i="10"/>
  <c r="F7" i="16"/>
  <c r="F76" i="10"/>
  <c r="F76" i="16"/>
  <c r="F10" i="10"/>
  <c r="F10" i="16"/>
  <c r="F47" i="10"/>
  <c r="F47" i="16"/>
  <c r="F9" i="10"/>
  <c r="F9" i="16"/>
  <c r="F87" i="10"/>
  <c r="F87" i="16"/>
  <c r="F97" i="10"/>
  <c r="F97" i="16"/>
  <c r="F95" i="10"/>
  <c r="F95" i="16"/>
  <c r="F67" i="10"/>
  <c r="F67" i="16"/>
  <c r="F20" i="10"/>
  <c r="F20" i="16"/>
  <c r="F96" i="10"/>
  <c r="F96" i="16"/>
  <c r="F80" i="10"/>
  <c r="F80" i="16"/>
  <c r="F38" i="15"/>
  <c r="N38" i="13"/>
  <c r="N38" i="14"/>
  <c r="N25" i="14"/>
  <c r="F25" i="15"/>
  <c r="N25" i="13"/>
  <c r="F79" i="15"/>
  <c r="N79" i="13"/>
  <c r="N79" i="14"/>
  <c r="N16" i="13"/>
  <c r="N16" i="14"/>
  <c r="F16" i="15"/>
  <c r="F87" i="15"/>
  <c r="N87" i="13"/>
  <c r="N87" i="14"/>
  <c r="F36" i="15"/>
  <c r="N36" i="13"/>
  <c r="N36" i="14"/>
  <c r="F40" i="15"/>
  <c r="N40" i="13"/>
  <c r="N40" i="14"/>
  <c r="N86" i="14"/>
  <c r="F86" i="15"/>
  <c r="N86" i="13"/>
  <c r="F26" i="15"/>
  <c r="N26" i="13"/>
  <c r="N26" i="14"/>
  <c r="N8" i="13"/>
  <c r="N8" i="14"/>
  <c r="F8" i="15"/>
  <c r="F45" i="15"/>
  <c r="N45" i="13"/>
  <c r="N45" i="14"/>
  <c r="F94" i="15"/>
  <c r="N94" i="13"/>
  <c r="N94" i="14"/>
  <c r="N85" i="14"/>
  <c r="F85" i="15"/>
  <c r="N85" i="13"/>
  <c r="F75" i="15"/>
  <c r="N75" i="13"/>
  <c r="N75" i="14"/>
  <c r="N90" i="14"/>
  <c r="F90" i="15"/>
  <c r="N90" i="13"/>
  <c r="F52" i="15"/>
  <c r="N52" i="13"/>
  <c r="N52" i="14"/>
  <c r="F70" i="15"/>
  <c r="N70" i="13"/>
  <c r="N70" i="14"/>
  <c r="N7" i="13"/>
  <c r="F7" i="15"/>
  <c r="N7" i="14"/>
  <c r="N97" i="14"/>
  <c r="F97" i="15"/>
  <c r="N97" i="13"/>
  <c r="F92" i="15"/>
  <c r="N92" i="13"/>
  <c r="N92" i="14"/>
  <c r="F46" i="15"/>
  <c r="N46" i="13"/>
  <c r="N46" i="14"/>
  <c r="F72" i="15"/>
  <c r="N72" i="13"/>
  <c r="N72" i="14"/>
  <c r="N12" i="13"/>
  <c r="N12" i="14"/>
  <c r="F12" i="15"/>
  <c r="N98" i="14"/>
  <c r="F98" i="15"/>
  <c r="N98" i="13"/>
  <c r="N89" i="14"/>
  <c r="F89" i="15"/>
  <c r="N89" i="13"/>
  <c r="F55" i="15"/>
  <c r="N55" i="13"/>
  <c r="N55" i="14"/>
  <c r="N33" i="14"/>
  <c r="F33" i="15"/>
  <c r="N33" i="13"/>
  <c r="N57" i="14"/>
  <c r="F57" i="15"/>
  <c r="N57" i="13"/>
  <c r="N53" i="14"/>
  <c r="F53" i="15"/>
  <c r="N53" i="13"/>
  <c r="N69" i="14"/>
  <c r="F69" i="15"/>
  <c r="N69" i="13"/>
  <c r="N9" i="14"/>
  <c r="N9" i="13"/>
  <c r="F9" i="15"/>
  <c r="F95" i="15"/>
  <c r="N95" i="13"/>
  <c r="N95" i="14"/>
  <c r="N93" i="14"/>
  <c r="F93" i="15"/>
  <c r="N93" i="13"/>
  <c r="F31" i="15"/>
  <c r="N31" i="13"/>
  <c r="N31" i="14"/>
  <c r="F59" i="15"/>
  <c r="N59" i="13"/>
  <c r="N59" i="14"/>
  <c r="F51" i="15"/>
  <c r="N51" i="13"/>
  <c r="N51" i="14"/>
  <c r="F76" i="15"/>
  <c r="N76" i="13"/>
  <c r="N76" i="14"/>
  <c r="F67" i="15"/>
  <c r="N67" i="13"/>
  <c r="N67" i="14"/>
  <c r="F18" i="15"/>
  <c r="N18" i="13"/>
  <c r="N18" i="14"/>
  <c r="N5" i="14"/>
  <c r="N5" i="13"/>
  <c r="F5" i="15"/>
  <c r="F99" i="15"/>
  <c r="N99" i="13"/>
  <c r="N99" i="14"/>
  <c r="F91" i="15"/>
  <c r="N91" i="13"/>
  <c r="N91" i="14"/>
  <c r="F32" i="15"/>
  <c r="N32" i="13"/>
  <c r="N32" i="14"/>
  <c r="N37" i="14"/>
  <c r="F37" i="15"/>
  <c r="N37" i="13"/>
  <c r="N30" i="14"/>
  <c r="F30" i="15"/>
  <c r="N30" i="13"/>
  <c r="N54" i="14"/>
  <c r="F54" i="15"/>
  <c r="N54" i="13"/>
  <c r="F48" i="15"/>
  <c r="N48" i="13"/>
  <c r="N48" i="14"/>
  <c r="F78" i="15"/>
  <c r="N78" i="13"/>
  <c r="N78" i="14"/>
  <c r="F71" i="15"/>
  <c r="N71" i="13"/>
  <c r="N71" i="14"/>
  <c r="N20" i="13"/>
  <c r="N20" i="14"/>
  <c r="F20" i="15"/>
  <c r="F6" i="15"/>
  <c r="N6" i="13"/>
  <c r="N6" i="14"/>
  <c r="F100" i="15"/>
  <c r="N100" i="13"/>
  <c r="N100" i="14"/>
  <c r="F88" i="15"/>
  <c r="N88" i="13"/>
  <c r="N88" i="14"/>
  <c r="N73" i="14"/>
  <c r="F73" i="15"/>
  <c r="N73" i="13"/>
  <c r="F39" i="15"/>
  <c r="N39" i="13"/>
  <c r="N39" i="14"/>
  <c r="F29" i="15"/>
  <c r="N29" i="13"/>
  <c r="N29" i="14"/>
  <c r="F56" i="15"/>
  <c r="N56" i="13"/>
  <c r="N56" i="14"/>
  <c r="N49" i="14"/>
  <c r="F49" i="15"/>
  <c r="N49" i="13"/>
  <c r="N77" i="14"/>
  <c r="F77" i="15"/>
  <c r="N77" i="13"/>
  <c r="F68" i="15"/>
  <c r="N68" i="13"/>
  <c r="N68" i="14"/>
  <c r="N17" i="14"/>
  <c r="N17" i="13"/>
  <c r="F17" i="15"/>
  <c r="F10" i="15"/>
  <c r="N10" i="13"/>
  <c r="N10" i="14"/>
  <c r="F96" i="15"/>
  <c r="N96" i="13"/>
  <c r="N96" i="14"/>
  <c r="N34" i="14"/>
  <c r="F34" i="15"/>
  <c r="N34" i="13"/>
  <c r="F27" i="15"/>
  <c r="N27" i="13"/>
  <c r="N27" i="14"/>
  <c r="N58" i="14"/>
  <c r="F58" i="15"/>
  <c r="N58" i="13"/>
  <c r="F47" i="15"/>
  <c r="N47" i="13"/>
  <c r="N47" i="14"/>
  <c r="F80" i="15"/>
  <c r="N80" i="13"/>
  <c r="N80" i="14"/>
  <c r="F66" i="15"/>
  <c r="N66" i="13"/>
  <c r="N66" i="14"/>
  <c r="N19" i="13"/>
  <c r="F19" i="15"/>
  <c r="N19" i="14"/>
  <c r="N13" i="14"/>
  <c r="N13" i="13"/>
  <c r="F13" i="15"/>
  <c r="N15" i="13"/>
  <c r="F15" i="15"/>
  <c r="N15" i="14"/>
  <c r="F35" i="15"/>
  <c r="N35" i="13"/>
  <c r="N35" i="14"/>
  <c r="F28" i="15"/>
  <c r="N28" i="13"/>
  <c r="N28" i="14"/>
  <c r="F60" i="15"/>
  <c r="N60" i="13"/>
  <c r="N60" i="14"/>
  <c r="F50" i="15"/>
  <c r="N50" i="13"/>
  <c r="N50" i="14"/>
  <c r="N74" i="14"/>
  <c r="F74" i="15"/>
  <c r="N74" i="13"/>
  <c r="N65" i="14"/>
  <c r="F65" i="15"/>
  <c r="N65" i="13"/>
  <c r="F14" i="15"/>
  <c r="N14" i="13"/>
  <c r="N14" i="14"/>
  <c r="N11" i="13"/>
  <c r="F11" i="15"/>
  <c r="N11" i="14"/>
  <c r="O38" i="4"/>
  <c r="O61" i="4" s="1"/>
  <c r="O84" i="4" s="1"/>
  <c r="O107" i="4" s="1"/>
  <c r="O16" i="4"/>
  <c r="P38" i="4"/>
  <c r="P61" i="4" s="1"/>
  <c r="P84" i="4" s="1"/>
  <c r="P107" i="4" s="1"/>
  <c r="P16" i="4"/>
  <c r="L55" i="4"/>
  <c r="L61" i="4"/>
  <c r="E20" i="7"/>
  <c r="M67" i="3"/>
  <c r="AG111" i="3" s="1"/>
  <c r="L67" i="4"/>
  <c r="M62" i="3"/>
  <c r="AG106" i="3" s="1"/>
  <c r="E15" i="7"/>
  <c r="L62" i="4"/>
  <c r="M66" i="3"/>
  <c r="AG110" i="3" s="1"/>
  <c r="E19" i="7"/>
  <c r="L66" i="4"/>
  <c r="L58" i="4"/>
  <c r="L56" i="4"/>
  <c r="E16" i="7"/>
  <c r="M63" i="3"/>
  <c r="AG107" i="3" s="1"/>
  <c r="L63" i="4"/>
  <c r="E18" i="7"/>
  <c r="M65" i="3"/>
  <c r="AG109" i="3" s="1"/>
  <c r="L65" i="4"/>
  <c r="L60" i="4"/>
  <c r="L53" i="4"/>
  <c r="M64" i="3"/>
  <c r="AG108" i="3" s="1"/>
  <c r="E17" i="7"/>
  <c r="L64" i="4"/>
  <c r="L54" i="4"/>
  <c r="L59" i="4"/>
  <c r="L57" i="4"/>
  <c r="L52" i="4"/>
  <c r="D19" i="7"/>
  <c r="M43" i="3"/>
  <c r="AG65" i="3" s="1"/>
  <c r="L43" i="4"/>
  <c r="L30" i="4"/>
  <c r="L32" i="4"/>
  <c r="L42" i="4"/>
  <c r="D18" i="7"/>
  <c r="M42" i="3"/>
  <c r="AG64" i="3" s="1"/>
  <c r="L37" i="4"/>
  <c r="D20" i="7"/>
  <c r="M44" i="3"/>
  <c r="AG66" i="3" s="1"/>
  <c r="L44" i="4"/>
  <c r="L31" i="4"/>
  <c r="L40" i="4"/>
  <c r="D16" i="7"/>
  <c r="M40" i="3"/>
  <c r="AG62" i="3" s="1"/>
  <c r="L33" i="4"/>
  <c r="L38" i="4"/>
  <c r="L35" i="4"/>
  <c r="L36" i="4"/>
  <c r="L41" i="4"/>
  <c r="D17" i="7"/>
  <c r="M41" i="3"/>
  <c r="AG63" i="3" s="1"/>
  <c r="D15" i="7"/>
  <c r="M39" i="3"/>
  <c r="AG61" i="3" s="1"/>
  <c r="L39" i="4"/>
  <c r="L34" i="4"/>
  <c r="L29" i="4"/>
  <c r="M19" i="3"/>
  <c r="AG19" i="3" s="1"/>
  <c r="C18" i="7"/>
  <c r="L19" i="4"/>
  <c r="C19" i="7"/>
  <c r="M20" i="3"/>
  <c r="AG20" i="3" s="1"/>
  <c r="L20" i="4"/>
  <c r="M21" i="3"/>
  <c r="AG21" i="3" s="1"/>
  <c r="C20" i="7"/>
  <c r="L21" i="4"/>
  <c r="C17" i="7"/>
  <c r="M18" i="3"/>
  <c r="AG18" i="3" s="1"/>
  <c r="L18" i="4"/>
  <c r="M16" i="3"/>
  <c r="AG16" i="3" s="1"/>
  <c r="C15" i="7"/>
  <c r="L16" i="4"/>
  <c r="M17" i="3"/>
  <c r="AG17" i="3" s="1"/>
  <c r="C16" i="7"/>
  <c r="L17" i="4"/>
  <c r="L101" i="4"/>
  <c r="L107" i="4"/>
  <c r="G20" i="7"/>
  <c r="M113" i="3"/>
  <c r="AG201" i="3" s="1"/>
  <c r="L113" i="4"/>
  <c r="M108" i="3"/>
  <c r="AG196" i="3" s="1"/>
  <c r="G15" i="7"/>
  <c r="L108" i="4"/>
  <c r="M110" i="3"/>
  <c r="AG198" i="3" s="1"/>
  <c r="G17" i="7"/>
  <c r="L110" i="4"/>
  <c r="M111" i="3"/>
  <c r="AG199" i="3" s="1"/>
  <c r="G18" i="7"/>
  <c r="L111" i="4"/>
  <c r="L104" i="4"/>
  <c r="M112" i="3"/>
  <c r="AG200" i="3" s="1"/>
  <c r="G19" i="7"/>
  <c r="L112" i="4"/>
  <c r="L102" i="4"/>
  <c r="L106" i="4"/>
  <c r="M109" i="3"/>
  <c r="AG197" i="3" s="1"/>
  <c r="G16" i="7"/>
  <c r="L109" i="4"/>
  <c r="L105" i="4"/>
  <c r="L99" i="4"/>
  <c r="L100" i="4"/>
  <c r="L103" i="4"/>
  <c r="M90" i="3"/>
  <c r="AG156" i="3" s="1"/>
  <c r="F20" i="7"/>
  <c r="L90" i="4"/>
  <c r="L84" i="4"/>
  <c r="L78" i="4"/>
  <c r="M86" i="3"/>
  <c r="AG152" i="3" s="1"/>
  <c r="F16" i="7"/>
  <c r="L86" i="4"/>
  <c r="L79" i="4"/>
  <c r="M85" i="3"/>
  <c r="AG151" i="3" s="1"/>
  <c r="F15" i="7"/>
  <c r="L85" i="4"/>
  <c r="L82" i="4"/>
  <c r="M87" i="3"/>
  <c r="AG153" i="3" s="1"/>
  <c r="F17" i="7"/>
  <c r="L87" i="4"/>
  <c r="L83" i="4"/>
  <c r="M88" i="3"/>
  <c r="AG154" i="3" s="1"/>
  <c r="F18" i="7"/>
  <c r="L88" i="4"/>
  <c r="L81" i="4"/>
  <c r="L76" i="4"/>
  <c r="L77" i="4"/>
  <c r="M89" i="3"/>
  <c r="AG155" i="3" s="1"/>
  <c r="F19" i="7"/>
  <c r="L89" i="4"/>
  <c r="L80" i="4"/>
  <c r="L75" i="4"/>
  <c r="AE36" i="4"/>
  <c r="AE59" i="4" s="1"/>
  <c r="AE82" i="4" s="1"/>
  <c r="AE105" i="4" s="1"/>
  <c r="AI36" i="4"/>
  <c r="AI59" i="4" s="1"/>
  <c r="AI82" i="4" s="1"/>
  <c r="AI105" i="4" s="1"/>
  <c r="AH36" i="4"/>
  <c r="AH59" i="4" s="1"/>
  <c r="AH82" i="4" s="1"/>
  <c r="AH105" i="4" s="1"/>
  <c r="AG36" i="4"/>
  <c r="AG59" i="4" s="1"/>
  <c r="AG82" i="4" s="1"/>
  <c r="AG105" i="4" s="1"/>
  <c r="AF36" i="4"/>
  <c r="AF59" i="4" s="1"/>
  <c r="AF82" i="4" s="1"/>
  <c r="AF105" i="4" s="1"/>
  <c r="AE35" i="4"/>
  <c r="AE58" i="4" s="1"/>
  <c r="AE81" i="4" s="1"/>
  <c r="AE104" i="4" s="1"/>
  <c r="AH35" i="4"/>
  <c r="AH58" i="4" s="1"/>
  <c r="AH81" i="4" s="1"/>
  <c r="AH104" i="4" s="1"/>
  <c r="AG35" i="4"/>
  <c r="AG58" i="4" s="1"/>
  <c r="AG81" i="4" s="1"/>
  <c r="AG104" i="4" s="1"/>
  <c r="AF35" i="4"/>
  <c r="AF58" i="4" s="1"/>
  <c r="AF81" i="4" s="1"/>
  <c r="AF104" i="4" s="1"/>
  <c r="AI35" i="4"/>
  <c r="AI58" i="4" s="1"/>
  <c r="AI81" i="4" s="1"/>
  <c r="AI104" i="4" s="1"/>
  <c r="Q15" i="4"/>
  <c r="Q37" i="4"/>
  <c r="Q60" i="4" s="1"/>
  <c r="Q83" i="4" s="1"/>
  <c r="Q106" i="4" s="1"/>
  <c r="S15" i="4"/>
  <c r="S37" i="4"/>
  <c r="S60" i="4" s="1"/>
  <c r="S83" i="4" s="1"/>
  <c r="S106" i="4" s="1"/>
  <c r="R15" i="4"/>
  <c r="R37" i="4"/>
  <c r="R60" i="4" s="1"/>
  <c r="R83" i="4" s="1"/>
  <c r="R106" i="4" s="1"/>
  <c r="D14" i="7"/>
  <c r="M38" i="3"/>
  <c r="AG60" i="3" s="1"/>
  <c r="D12" i="7"/>
  <c r="M36" i="3"/>
  <c r="AG58" i="3" s="1"/>
  <c r="D13" i="7"/>
  <c r="M37" i="3"/>
  <c r="AG59" i="3" s="1"/>
  <c r="L12" i="4"/>
  <c r="C11" i="7"/>
  <c r="M12" i="3"/>
  <c r="AG12" i="3" s="1"/>
  <c r="L7" i="4"/>
  <c r="C6" i="7"/>
  <c r="M7" i="3"/>
  <c r="AG7" i="3" s="1"/>
  <c r="L10" i="4"/>
  <c r="C9" i="7"/>
  <c r="M10" i="3"/>
  <c r="AG10" i="3" s="1"/>
  <c r="L11" i="4"/>
  <c r="C10" i="7"/>
  <c r="M11" i="3"/>
  <c r="AG11" i="3" s="1"/>
  <c r="L14" i="4"/>
  <c r="C13" i="7"/>
  <c r="M14" i="3"/>
  <c r="AG14" i="3" s="1"/>
  <c r="L9" i="4"/>
  <c r="C8" i="7"/>
  <c r="M9" i="3"/>
  <c r="AG9" i="3" s="1"/>
  <c r="L8" i="4"/>
  <c r="C7" i="7"/>
  <c r="M8" i="3"/>
  <c r="AG8" i="3" s="1"/>
  <c r="L6" i="4"/>
  <c r="C5" i="7"/>
  <c r="M6" i="3"/>
  <c r="AG6" i="3" s="1"/>
  <c r="L13" i="4"/>
  <c r="C12" i="7"/>
  <c r="M13" i="3"/>
  <c r="AG13" i="3" s="1"/>
  <c r="L15" i="4"/>
  <c r="C14" i="7"/>
  <c r="M15" i="3"/>
  <c r="AG15" i="3" s="1"/>
  <c r="D10" i="7"/>
  <c r="M34" i="3"/>
  <c r="AG56" i="3" s="1"/>
  <c r="D11" i="7"/>
  <c r="M35" i="3"/>
  <c r="AG57" i="3" s="1"/>
  <c r="E9" i="7"/>
  <c r="M56" i="3"/>
  <c r="AG100" i="3" s="1"/>
  <c r="E7" i="7"/>
  <c r="M54" i="3"/>
  <c r="AG98" i="3" s="1"/>
  <c r="E13" i="7"/>
  <c r="M60" i="3"/>
  <c r="AG104" i="3" s="1"/>
  <c r="E6" i="7"/>
  <c r="M53" i="3"/>
  <c r="AG97" i="3" s="1"/>
  <c r="E14" i="7"/>
  <c r="M61" i="3"/>
  <c r="AG105" i="3" s="1"/>
  <c r="E12" i="7"/>
  <c r="M59" i="3"/>
  <c r="AG103" i="3" s="1"/>
  <c r="E5" i="7"/>
  <c r="M52" i="3"/>
  <c r="AG96" i="3" s="1"/>
  <c r="E10" i="7"/>
  <c r="M57" i="3"/>
  <c r="AG101" i="3" s="1"/>
  <c r="E11" i="7"/>
  <c r="M58" i="3"/>
  <c r="AG102" i="3" s="1"/>
  <c r="E8" i="7"/>
  <c r="M55" i="3"/>
  <c r="AG99" i="3" s="1"/>
  <c r="D6" i="7"/>
  <c r="M30" i="3"/>
  <c r="AG52" i="3" s="1"/>
  <c r="D9" i="7"/>
  <c r="M33" i="3"/>
  <c r="AG55" i="3" s="1"/>
  <c r="D5" i="7"/>
  <c r="M29" i="3"/>
  <c r="AG51" i="3" s="1"/>
  <c r="D7" i="7"/>
  <c r="M31" i="3"/>
  <c r="AG53" i="3" s="1"/>
  <c r="D8" i="7"/>
  <c r="M32" i="3"/>
  <c r="AG54" i="3" s="1"/>
  <c r="G7" i="7"/>
  <c r="M100" i="3"/>
  <c r="AG188" i="3" s="1"/>
  <c r="G13" i="7"/>
  <c r="M106" i="3"/>
  <c r="AG194" i="3" s="1"/>
  <c r="L98" i="4"/>
  <c r="G5" i="7"/>
  <c r="M98" i="3"/>
  <c r="AG186" i="3" s="1"/>
  <c r="G12" i="7"/>
  <c r="M105" i="3"/>
  <c r="AG193" i="3" s="1"/>
  <c r="G14" i="7"/>
  <c r="M107" i="3"/>
  <c r="AG195" i="3" s="1"/>
  <c r="G11" i="7"/>
  <c r="M104" i="3"/>
  <c r="AG192" i="3" s="1"/>
  <c r="G10" i="7"/>
  <c r="M103" i="3"/>
  <c r="AG191" i="3" s="1"/>
  <c r="G9" i="7"/>
  <c r="M102" i="3"/>
  <c r="AG190" i="3" s="1"/>
  <c r="G6" i="7"/>
  <c r="M99" i="3"/>
  <c r="AG187" i="3" s="1"/>
  <c r="G8" i="7"/>
  <c r="M101" i="3"/>
  <c r="AG189" i="3" s="1"/>
  <c r="F12" i="7"/>
  <c r="M82" i="3"/>
  <c r="AG148" i="3" s="1"/>
  <c r="F14" i="7"/>
  <c r="M84" i="3"/>
  <c r="AG150" i="3" s="1"/>
  <c r="F11" i="7"/>
  <c r="M81" i="3"/>
  <c r="AG147" i="3" s="1"/>
  <c r="F13" i="7"/>
  <c r="M83" i="3"/>
  <c r="AG149" i="3" s="1"/>
  <c r="F6" i="7"/>
  <c r="M76" i="3"/>
  <c r="AG142" i="3" s="1"/>
  <c r="F8" i="7"/>
  <c r="M78" i="3"/>
  <c r="AG144" i="3" s="1"/>
  <c r="F7" i="7"/>
  <c r="M77" i="3"/>
  <c r="AG143" i="3" s="1"/>
  <c r="F10" i="7"/>
  <c r="M80" i="3"/>
  <c r="AG146" i="3" s="1"/>
  <c r="F9" i="7"/>
  <c r="M79" i="3"/>
  <c r="AG145" i="3" s="1"/>
  <c r="F5" i="7"/>
  <c r="M75" i="3"/>
  <c r="AG141" i="3" s="1"/>
  <c r="F45" i="2"/>
  <c r="F46" i="2"/>
  <c r="F68" i="2"/>
  <c r="F116" i="2"/>
  <c r="F120" i="2"/>
  <c r="F50" i="2"/>
  <c r="F44" i="2"/>
  <c r="F91" i="2"/>
  <c r="F118" i="2"/>
  <c r="F43" i="2"/>
  <c r="F51" i="2"/>
  <c r="F73" i="2"/>
  <c r="F47" i="2"/>
  <c r="F93" i="2"/>
  <c r="F71" i="2"/>
  <c r="F95" i="2"/>
  <c r="F65" i="2"/>
  <c r="F113" i="2"/>
  <c r="F96" i="2"/>
  <c r="F115" i="2"/>
  <c r="F74" i="2"/>
  <c r="F69" i="2"/>
  <c r="F48" i="2"/>
  <c r="F88" i="2"/>
  <c r="F20" i="2"/>
  <c r="F94" i="2"/>
  <c r="F72" i="2"/>
  <c r="F117" i="2"/>
  <c r="F21" i="2"/>
  <c r="F19" i="2"/>
  <c r="F111" i="2"/>
  <c r="W24" i="20"/>
  <c r="V102" i="20"/>
  <c r="X82" i="20"/>
  <c r="X91" i="20"/>
  <c r="V100" i="20"/>
  <c r="V47" i="20"/>
  <c r="X89" i="20"/>
  <c r="X32" i="20"/>
  <c r="M69" i="15"/>
  <c r="O92" i="15"/>
  <c r="U151" i="15"/>
  <c r="AN55" i="8"/>
  <c r="AN99" i="8"/>
  <c r="N41" i="15"/>
  <c r="O147" i="15"/>
  <c r="N94" i="15"/>
  <c r="U89" i="20"/>
  <c r="U8" i="20"/>
  <c r="U17" i="20"/>
  <c r="U38" i="20"/>
  <c r="U37" i="20"/>
  <c r="U83" i="20"/>
  <c r="U7" i="20"/>
  <c r="M44" i="15"/>
  <c r="N103" i="4"/>
  <c r="S20" i="17"/>
  <c r="N67" i="4"/>
  <c r="N148" i="15"/>
  <c r="AN51" i="8"/>
  <c r="N163" i="15"/>
  <c r="O114" i="15"/>
  <c r="U125" i="20"/>
  <c r="U39" i="20"/>
  <c r="U48" i="20"/>
  <c r="U133" i="20"/>
  <c r="U136" i="20"/>
  <c r="W95" i="20"/>
  <c r="W162" i="20"/>
  <c r="O62" i="15"/>
  <c r="N110" i="15"/>
  <c r="N93" i="15"/>
  <c r="M21" i="15"/>
  <c r="M116" i="15"/>
  <c r="M83" i="15"/>
  <c r="N84" i="15"/>
  <c r="N81" i="4"/>
  <c r="W138" i="20"/>
  <c r="X93" i="20"/>
  <c r="X110" i="20"/>
  <c r="W133" i="20"/>
  <c r="X116" i="20"/>
  <c r="X97" i="20"/>
  <c r="W11" i="20"/>
  <c r="O90" i="15"/>
  <c r="S50" i="17"/>
  <c r="N107" i="15"/>
  <c r="N81" i="15"/>
  <c r="N157" i="15"/>
  <c r="N133" i="15"/>
  <c r="U192" i="15"/>
  <c r="N12" i="15"/>
  <c r="X30" i="20"/>
  <c r="X58" i="20"/>
  <c r="W71" i="20"/>
  <c r="W28" i="20"/>
  <c r="W38" i="20"/>
  <c r="W90" i="20"/>
  <c r="X106" i="20"/>
  <c r="N60" i="15"/>
  <c r="M120" i="15"/>
  <c r="M102" i="15"/>
  <c r="M99" i="15"/>
  <c r="W49" i="15"/>
  <c r="O111" i="15"/>
  <c r="AN25" i="8"/>
  <c r="N39" i="4"/>
  <c r="W145" i="20"/>
  <c r="W108" i="20"/>
  <c r="W103" i="20"/>
  <c r="W35" i="20"/>
  <c r="W55" i="20"/>
  <c r="U130" i="20"/>
  <c r="U77" i="20"/>
  <c r="N44" i="15"/>
  <c r="N68" i="15"/>
  <c r="N82" i="4"/>
  <c r="M64" i="15"/>
  <c r="S57" i="17"/>
  <c r="O68" i="15"/>
  <c r="M81" i="15"/>
  <c r="O126" i="15"/>
  <c r="X83" i="20"/>
  <c r="X77" i="20"/>
  <c r="X126" i="20"/>
  <c r="X129" i="20"/>
  <c r="X67" i="20"/>
  <c r="W54" i="20"/>
  <c r="W62" i="20"/>
  <c r="S59" i="17"/>
  <c r="S71" i="17"/>
  <c r="AN77" i="8"/>
  <c r="S12" i="17"/>
  <c r="N87" i="4"/>
  <c r="N102" i="15"/>
  <c r="O76" i="15"/>
  <c r="U147" i="15"/>
  <c r="X38" i="20"/>
  <c r="O95" i="15"/>
  <c r="S32" i="17"/>
  <c r="N71" i="15"/>
  <c r="N65" i="4"/>
  <c r="N59" i="4"/>
  <c r="L104" i="15"/>
  <c r="U63" i="15"/>
  <c r="K15" i="15"/>
  <c r="K114" i="15"/>
  <c r="W91" i="20"/>
  <c r="X69" i="20"/>
  <c r="X39" i="20"/>
  <c r="X66" i="20"/>
  <c r="X52" i="20"/>
  <c r="X12" i="20"/>
  <c r="W20" i="20"/>
  <c r="X163" i="20"/>
  <c r="O7" i="15"/>
  <c r="N90" i="15"/>
  <c r="AN98" i="8"/>
  <c r="W4" i="15"/>
  <c r="M32" i="15"/>
  <c r="AN9" i="8"/>
  <c r="N76" i="15"/>
  <c r="M154" i="15"/>
  <c r="U66" i="20"/>
  <c r="U126" i="20"/>
  <c r="U57" i="20"/>
  <c r="U120" i="20"/>
  <c r="U13" i="20"/>
  <c r="X137" i="20"/>
  <c r="W136" i="20"/>
  <c r="S73" i="17"/>
  <c r="AN97" i="8"/>
  <c r="S29" i="17"/>
  <c r="S68" i="17"/>
  <c r="O97" i="15"/>
  <c r="M122" i="15"/>
  <c r="N147" i="15"/>
  <c r="N102" i="4"/>
  <c r="X28" i="20"/>
  <c r="W131" i="20"/>
  <c r="X19" i="20"/>
  <c r="W63" i="20"/>
  <c r="X16" i="20"/>
  <c r="W96" i="20"/>
  <c r="N78" i="15"/>
  <c r="N85" i="4"/>
  <c r="M91" i="15"/>
  <c r="M106" i="15"/>
  <c r="N98" i="4"/>
  <c r="N123" i="15"/>
  <c r="M23" i="15"/>
  <c r="AN78" i="8"/>
  <c r="X45" i="20"/>
  <c r="X60" i="20"/>
  <c r="X6" i="20"/>
  <c r="X24" i="20"/>
  <c r="X55" i="20"/>
  <c r="X118" i="20"/>
  <c r="W127" i="20"/>
  <c r="U190" i="15"/>
  <c r="S66" i="17"/>
  <c r="N79" i="4"/>
  <c r="AN17" i="8"/>
  <c r="O40" i="15"/>
  <c r="M162" i="15"/>
  <c r="S27" i="17"/>
  <c r="O9" i="15"/>
  <c r="X122" i="20"/>
  <c r="X160" i="20"/>
  <c r="W154" i="20"/>
  <c r="W155" i="20"/>
  <c r="W126" i="20"/>
  <c r="W32" i="20"/>
  <c r="W144" i="20"/>
  <c r="M98" i="15"/>
  <c r="O53" i="15"/>
  <c r="AN100" i="8"/>
  <c r="S98" i="17"/>
  <c r="S93" i="17"/>
  <c r="N40" i="15"/>
  <c r="O105" i="15"/>
  <c r="S52" i="17"/>
  <c r="X121" i="20"/>
  <c r="U139" i="20"/>
  <c r="U70" i="20"/>
  <c r="U72" i="20"/>
  <c r="U135" i="20"/>
  <c r="U78" i="20"/>
  <c r="U5" i="20"/>
  <c r="M57" i="15"/>
  <c r="O102" i="15"/>
  <c r="S99" i="17"/>
  <c r="O108" i="15"/>
  <c r="N6" i="15"/>
  <c r="S56" i="17"/>
  <c r="S75" i="17"/>
  <c r="N105" i="15"/>
  <c r="X22" i="20"/>
  <c r="W58" i="20"/>
  <c r="W66" i="20"/>
  <c r="W34" i="20"/>
  <c r="W50" i="20"/>
  <c r="X85" i="20"/>
  <c r="W141" i="20"/>
  <c r="N104" i="4"/>
  <c r="N106" i="15"/>
  <c r="AN14" i="8"/>
  <c r="U188" i="15"/>
  <c r="M27" i="15"/>
  <c r="N79" i="15"/>
  <c r="N109" i="15"/>
  <c r="M79" i="15"/>
  <c r="W33" i="20"/>
  <c r="O153" i="15"/>
  <c r="M76" i="15"/>
  <c r="S35" i="17"/>
  <c r="U196" i="15"/>
  <c r="N66" i="4"/>
  <c r="U64" i="15"/>
  <c r="L102" i="15"/>
  <c r="K9" i="15"/>
  <c r="K49" i="15"/>
  <c r="X145" i="20"/>
  <c r="W67" i="20"/>
  <c r="W65" i="20"/>
  <c r="W52" i="20"/>
  <c r="W72" i="20"/>
  <c r="W42" i="20"/>
  <c r="W123" i="20"/>
  <c r="W37" i="20"/>
  <c r="M51" i="15"/>
  <c r="U104" i="15"/>
  <c r="O120" i="15"/>
  <c r="M10" i="15"/>
  <c r="S89" i="17"/>
  <c r="O10" i="15"/>
  <c r="AN53" i="8"/>
  <c r="S72" i="17"/>
  <c r="U40" i="20"/>
  <c r="W124" i="20"/>
  <c r="X146" i="20"/>
  <c r="X84" i="20"/>
  <c r="W41" i="20"/>
  <c r="X117" i="20"/>
  <c r="S54" i="17"/>
  <c r="M137" i="15"/>
  <c r="O161" i="15"/>
  <c r="O160" i="15"/>
  <c r="N83" i="15"/>
  <c r="S67" i="17"/>
  <c r="M143" i="15"/>
  <c r="X100" i="20"/>
  <c r="W118" i="20"/>
  <c r="X108" i="20"/>
  <c r="W100" i="20"/>
  <c r="W83" i="20"/>
  <c r="W86" i="20"/>
  <c r="X43" i="20"/>
  <c r="M100" i="15"/>
  <c r="O86" i="15"/>
  <c r="AN50" i="8"/>
  <c r="S10" i="17"/>
  <c r="AN79" i="8"/>
  <c r="N117" i="15"/>
  <c r="O140" i="15"/>
  <c r="N91" i="15"/>
  <c r="X164" i="20"/>
  <c r="X139" i="20"/>
  <c r="X151" i="20"/>
  <c r="X131" i="20"/>
  <c r="X161" i="20"/>
  <c r="W97" i="20"/>
  <c r="W147" i="20"/>
  <c r="S77" i="17"/>
  <c r="O129" i="15"/>
  <c r="O143" i="15"/>
  <c r="O13" i="15"/>
  <c r="N160" i="15"/>
  <c r="N18" i="4"/>
  <c r="M40" i="15"/>
  <c r="N82" i="15"/>
  <c r="W140" i="20"/>
  <c r="W46" i="20"/>
  <c r="W115" i="20"/>
  <c r="W149" i="20"/>
  <c r="W110" i="20"/>
  <c r="X47" i="20"/>
  <c r="U162" i="20"/>
  <c r="N64" i="4"/>
  <c r="AN74" i="8"/>
  <c r="N24" i="15"/>
  <c r="U140" i="15"/>
  <c r="S31" i="17"/>
  <c r="M152" i="15"/>
  <c r="N29" i="4"/>
  <c r="N8" i="15"/>
  <c r="M89" i="15"/>
  <c r="U69" i="20"/>
  <c r="U140" i="20"/>
  <c r="U121" i="20"/>
  <c r="U34" i="20"/>
  <c r="U157" i="20"/>
  <c r="U63" i="20"/>
  <c r="W101" i="20"/>
  <c r="U105" i="15"/>
  <c r="N125" i="15"/>
  <c r="M121" i="15"/>
  <c r="O125" i="15"/>
  <c r="N38" i="4"/>
  <c r="AN67" i="8"/>
  <c r="S16" i="17"/>
  <c r="M131" i="15"/>
  <c r="W113" i="20"/>
  <c r="W119" i="20"/>
  <c r="W79" i="20"/>
  <c r="X95" i="20"/>
  <c r="X124" i="20"/>
  <c r="W78" i="20"/>
  <c r="X114" i="20"/>
  <c r="S91" i="17"/>
  <c r="O23" i="15"/>
  <c r="M59" i="15"/>
  <c r="O54" i="15"/>
  <c r="M24" i="15"/>
  <c r="AN32" i="8"/>
  <c r="O33" i="15"/>
  <c r="M72" i="15"/>
  <c r="N80" i="4"/>
  <c r="X162" i="20"/>
  <c r="S11" i="17"/>
  <c r="AN7" i="8"/>
  <c r="M125" i="15"/>
  <c r="AN8" i="8"/>
  <c r="L139" i="15"/>
  <c r="L146" i="15"/>
  <c r="U54" i="15"/>
  <c r="K131" i="15"/>
  <c r="K54" i="15"/>
  <c r="K41" i="15"/>
  <c r="W184" i="15"/>
  <c r="L76" i="15"/>
  <c r="X7" i="20"/>
  <c r="X135" i="20"/>
  <c r="W87" i="20"/>
  <c r="W80" i="20"/>
  <c r="W163" i="20"/>
  <c r="W27" i="20"/>
  <c r="X15" i="20"/>
  <c r="X125" i="20"/>
  <c r="O58" i="15"/>
  <c r="N67" i="15"/>
  <c r="N32" i="4"/>
  <c r="AN6" i="8"/>
  <c r="N63" i="15"/>
  <c r="N35" i="4"/>
  <c r="N99" i="15"/>
  <c r="O31" i="15"/>
  <c r="U105" i="20"/>
  <c r="V7" i="20"/>
  <c r="W130" i="20"/>
  <c r="V109" i="20"/>
  <c r="W129" i="20"/>
  <c r="X109" i="20"/>
  <c r="X31" i="20"/>
  <c r="M109" i="15"/>
  <c r="U139" i="15"/>
  <c r="N29" i="15"/>
  <c r="N39" i="15"/>
  <c r="S80" i="17"/>
  <c r="S36" i="17"/>
  <c r="N78" i="4"/>
  <c r="X29" i="20"/>
  <c r="X64" i="20"/>
  <c r="X33" i="20"/>
  <c r="X70" i="20"/>
  <c r="X56" i="20"/>
  <c r="X158" i="20"/>
  <c r="W109" i="20"/>
  <c r="O137" i="15"/>
  <c r="N141" i="15"/>
  <c r="N134" i="15"/>
  <c r="AN27" i="8"/>
  <c r="M82" i="15"/>
  <c r="U109" i="15"/>
  <c r="N75" i="15"/>
  <c r="M127" i="15"/>
  <c r="W69" i="20"/>
  <c r="W23" i="20"/>
  <c r="W76" i="20"/>
  <c r="W7" i="20"/>
  <c r="W128" i="20"/>
  <c r="X115" i="20"/>
  <c r="U150" i="20"/>
  <c r="O59" i="15"/>
  <c r="O64" i="15"/>
  <c r="N56" i="4"/>
  <c r="N120" i="15"/>
  <c r="N80" i="15"/>
  <c r="M18" i="15"/>
  <c r="U106" i="15"/>
  <c r="S39" i="17"/>
  <c r="M70" i="15"/>
  <c r="X101" i="20"/>
  <c r="X159" i="20"/>
  <c r="X75" i="20"/>
  <c r="X49" i="20"/>
  <c r="X11" i="20"/>
  <c r="U137" i="20"/>
  <c r="U45" i="20"/>
  <c r="M141" i="15"/>
  <c r="M43" i="15"/>
  <c r="O118" i="15"/>
  <c r="M96" i="15"/>
  <c r="AN59" i="8"/>
  <c r="N52" i="15"/>
  <c r="O74" i="15"/>
  <c r="M136" i="15"/>
  <c r="S69" i="17"/>
  <c r="U82" i="20"/>
  <c r="U11" i="20"/>
  <c r="U86" i="20"/>
  <c r="U154" i="20"/>
  <c r="U61" i="20"/>
  <c r="W88" i="20"/>
  <c r="W117" i="20"/>
  <c r="N100" i="15"/>
  <c r="M68" i="15"/>
  <c r="O15" i="15"/>
  <c r="O157" i="15"/>
  <c r="N88" i="15"/>
  <c r="AN87" i="8"/>
  <c r="M73" i="15"/>
  <c r="U191" i="15"/>
  <c r="W25" i="20"/>
  <c r="W125" i="20"/>
  <c r="W39" i="20"/>
  <c r="W160" i="20"/>
  <c r="W94" i="20"/>
  <c r="U30" i="20"/>
  <c r="U85" i="20"/>
  <c r="O93" i="15"/>
  <c r="S6" i="17"/>
  <c r="O131" i="15"/>
  <c r="AN66" i="8"/>
  <c r="AN26" i="8"/>
  <c r="N140" i="15"/>
  <c r="N20" i="15"/>
  <c r="O24" i="15"/>
  <c r="AN47" i="8"/>
  <c r="U199" i="15"/>
  <c r="O152" i="15"/>
  <c r="AN56" i="8"/>
  <c r="N60" i="4"/>
  <c r="M156" i="15"/>
  <c r="L133" i="15"/>
  <c r="L45" i="15"/>
  <c r="L66" i="15"/>
  <c r="K118" i="15"/>
  <c r="K125" i="15"/>
  <c r="K34" i="15"/>
  <c r="AN40" i="8"/>
  <c r="L121" i="15"/>
  <c r="K116" i="15"/>
  <c r="U152" i="15"/>
  <c r="W29" i="20"/>
  <c r="M50" i="15"/>
  <c r="O151" i="15"/>
  <c r="M6" i="15"/>
  <c r="W84" i="20"/>
  <c r="X35" i="20"/>
  <c r="X141" i="20"/>
  <c r="X80" i="20"/>
  <c r="X134" i="20"/>
  <c r="U9" i="20"/>
  <c r="U50" i="20"/>
  <c r="N45" i="15"/>
  <c r="M85" i="15"/>
  <c r="M38" i="15"/>
  <c r="N111" i="4"/>
  <c r="M54" i="15"/>
  <c r="O84" i="15"/>
  <c r="M65" i="15"/>
  <c r="N139" i="15"/>
  <c r="X17" i="20"/>
  <c r="X44" i="20"/>
  <c r="X50" i="20"/>
  <c r="X8" i="20"/>
  <c r="X42" i="20"/>
  <c r="W15" i="20"/>
  <c r="X143" i="20"/>
  <c r="AN89" i="8"/>
  <c r="O6" i="15"/>
  <c r="U154" i="15"/>
  <c r="O124" i="15"/>
  <c r="O82" i="15"/>
  <c r="M7" i="15"/>
  <c r="AN58" i="8"/>
  <c r="W53" i="20"/>
  <c r="X157" i="20"/>
  <c r="X136" i="20"/>
  <c r="X152" i="20"/>
  <c r="X119" i="20"/>
  <c r="W56" i="20"/>
  <c r="W13" i="20"/>
  <c r="N158" i="15"/>
  <c r="M144" i="15"/>
  <c r="M90" i="15"/>
  <c r="M19" i="15"/>
  <c r="AN20" i="8"/>
  <c r="O116" i="15"/>
  <c r="AN86" i="8"/>
  <c r="U193" i="15"/>
  <c r="X86" i="20"/>
  <c r="X48" i="20"/>
  <c r="X133" i="20"/>
  <c r="X54" i="20"/>
  <c r="X63" i="20"/>
  <c r="U75" i="20"/>
  <c r="U92" i="20"/>
  <c r="N57" i="15"/>
  <c r="M86" i="15"/>
  <c r="AN96" i="8"/>
  <c r="N75" i="4"/>
  <c r="O134" i="15"/>
  <c r="N21" i="4"/>
  <c r="O25" i="15"/>
  <c r="M39" i="15"/>
  <c r="O149" i="15"/>
  <c r="U100" i="20"/>
  <c r="U35" i="20"/>
  <c r="U163" i="20"/>
  <c r="U118" i="20"/>
  <c r="U64" i="20"/>
  <c r="U110" i="20"/>
  <c r="U12" i="20"/>
  <c r="O49" i="15"/>
  <c r="AN72" i="8"/>
  <c r="N85" i="15"/>
  <c r="N26" i="15"/>
  <c r="N113" i="15"/>
  <c r="S18" i="17"/>
  <c r="AN70" i="8"/>
  <c r="S53" i="17"/>
  <c r="O45" i="15"/>
  <c r="W152" i="20"/>
  <c r="V60" i="20"/>
  <c r="V21" i="20"/>
  <c r="W59" i="20"/>
  <c r="X111" i="20"/>
  <c r="X51" i="20"/>
  <c r="M161" i="15"/>
  <c r="N41" i="4"/>
  <c r="N137" i="15"/>
  <c r="U94" i="15"/>
  <c r="N55" i="15"/>
  <c r="O83" i="15"/>
  <c r="N98" i="15"/>
  <c r="S19" i="17"/>
  <c r="U87" i="20"/>
  <c r="U108" i="20"/>
  <c r="U32" i="20"/>
  <c r="U62" i="20"/>
  <c r="U90" i="20"/>
  <c r="U28" i="20"/>
  <c r="U15" i="20"/>
  <c r="N150" i="15"/>
  <c r="O36" i="15"/>
  <c r="M11" i="15"/>
  <c r="N48" i="15"/>
  <c r="M56" i="15"/>
  <c r="M95" i="15"/>
  <c r="M36" i="15"/>
  <c r="S46" i="17"/>
  <c r="X21" i="20"/>
  <c r="M74" i="15"/>
  <c r="O66" i="15"/>
  <c r="O156" i="15"/>
  <c r="M45" i="15"/>
  <c r="U146" i="15"/>
  <c r="L34" i="15"/>
  <c r="L143" i="15"/>
  <c r="L85" i="15"/>
  <c r="K73" i="15"/>
  <c r="U13" i="15"/>
  <c r="K158" i="15"/>
  <c r="N155" i="15"/>
  <c r="L10" i="15"/>
  <c r="K148" i="15"/>
  <c r="L21" i="15"/>
  <c r="W60" i="20"/>
  <c r="AN36" i="8"/>
  <c r="N22" i="15"/>
  <c r="U81" i="20"/>
  <c r="U145" i="20"/>
  <c r="U73" i="20"/>
  <c r="U160" i="20"/>
  <c r="U161" i="20"/>
  <c r="U60" i="20"/>
  <c r="U107" i="20"/>
  <c r="AN28" i="8"/>
  <c r="O155" i="15"/>
  <c r="O27" i="15"/>
  <c r="M164" i="15"/>
  <c r="AN73" i="8"/>
  <c r="N53" i="4"/>
  <c r="N40" i="4"/>
  <c r="M52" i="15"/>
  <c r="W40" i="20"/>
  <c r="W70" i="20"/>
  <c r="X123" i="20"/>
  <c r="X130" i="20"/>
  <c r="X149" i="20"/>
  <c r="W17" i="20"/>
  <c r="W107" i="20"/>
  <c r="AN94" i="8"/>
  <c r="S76" i="17"/>
  <c r="M134" i="15"/>
  <c r="AN13" i="8"/>
  <c r="O133" i="15"/>
  <c r="N116" i="15"/>
  <c r="AN34" i="8"/>
  <c r="M33" i="15"/>
  <c r="W5" i="20"/>
  <c r="W157" i="20"/>
  <c r="W77" i="20"/>
  <c r="W57" i="20"/>
  <c r="W6" i="20"/>
  <c r="X128" i="20"/>
  <c r="U91" i="20"/>
  <c r="M148" i="15"/>
  <c r="N34" i="15"/>
  <c r="O139" i="15"/>
  <c r="N149" i="15"/>
  <c r="AN30" i="8"/>
  <c r="AN60" i="8"/>
  <c r="N121" i="15"/>
  <c r="O39" i="15"/>
  <c r="U108" i="15"/>
  <c r="U94" i="20"/>
  <c r="U122" i="20"/>
  <c r="U111" i="20"/>
  <c r="U153" i="20"/>
  <c r="U23" i="20"/>
  <c r="U80" i="20"/>
  <c r="U146" i="20"/>
  <c r="M55" i="15"/>
  <c r="AN71" i="8"/>
  <c r="M15" i="15"/>
  <c r="S13" i="17"/>
  <c r="W11" i="15" s="1"/>
  <c r="AN33" i="8"/>
  <c r="N18" i="15"/>
  <c r="N144" i="15"/>
  <c r="O65" i="15"/>
  <c r="N32" i="15"/>
  <c r="U143" i="20"/>
  <c r="U96" i="20"/>
  <c r="U147" i="20"/>
  <c r="U6" i="20"/>
  <c r="U103" i="20"/>
  <c r="W164" i="20"/>
  <c r="V16" i="20"/>
  <c r="S90" i="17"/>
  <c r="N129" i="15"/>
  <c r="M110" i="15"/>
  <c r="N9" i="15"/>
  <c r="M111" i="15"/>
  <c r="O99" i="15"/>
  <c r="M119" i="15"/>
  <c r="U99" i="15"/>
  <c r="X104" i="20"/>
  <c r="X78" i="20"/>
  <c r="X68" i="20"/>
  <c r="X62" i="20"/>
  <c r="V103" i="20"/>
  <c r="W44" i="20"/>
  <c r="W73" i="20"/>
  <c r="S34" i="17"/>
  <c r="U150" i="15"/>
  <c r="O128" i="15"/>
  <c r="AN38" i="8"/>
  <c r="O77" i="15"/>
  <c r="M9" i="15"/>
  <c r="N109" i="4"/>
  <c r="N17" i="15"/>
  <c r="U129" i="20"/>
  <c r="U117" i="20"/>
  <c r="U156" i="20"/>
  <c r="U53" i="20"/>
  <c r="U65" i="20"/>
  <c r="U59" i="20"/>
  <c r="W111" i="20"/>
  <c r="U101" i="15"/>
  <c r="O52" i="15"/>
  <c r="U96" i="15"/>
  <c r="M101" i="15"/>
  <c r="O70" i="15"/>
  <c r="N54" i="15"/>
  <c r="O135" i="15"/>
  <c r="M63" i="15"/>
  <c r="X61" i="20"/>
  <c r="M75" i="15"/>
  <c r="S85" i="17"/>
  <c r="N27" i="15"/>
  <c r="O127" i="15"/>
  <c r="O87" i="15"/>
  <c r="L135" i="15"/>
  <c r="L130" i="15"/>
  <c r="L164" i="15"/>
  <c r="K126" i="15"/>
  <c r="K139" i="15"/>
  <c r="K60" i="15"/>
  <c r="S65" i="17"/>
  <c r="L6" i="15"/>
  <c r="U18" i="15"/>
  <c r="L29" i="15"/>
  <c r="W61" i="20"/>
  <c r="U132" i="20"/>
  <c r="U33" i="20"/>
  <c r="U128" i="20"/>
  <c r="U101" i="20"/>
  <c r="U99" i="20"/>
  <c r="U124" i="20"/>
  <c r="X96" i="20"/>
  <c r="O145" i="15"/>
  <c r="N131" i="15"/>
  <c r="N15" i="15"/>
  <c r="O78" i="15"/>
  <c r="M12" i="15"/>
  <c r="N37" i="4"/>
  <c r="O21" i="15"/>
  <c r="O103" i="15"/>
  <c r="W137" i="20"/>
  <c r="W120" i="20"/>
  <c r="W106" i="20"/>
  <c r="W146" i="20"/>
  <c r="W93" i="20"/>
  <c r="X72" i="20"/>
  <c r="X25" i="20"/>
  <c r="O106" i="15"/>
  <c r="M16" i="15"/>
  <c r="N74" i="15"/>
  <c r="N146" i="15"/>
  <c r="N86" i="4"/>
  <c r="M88" i="15"/>
  <c r="N31" i="4"/>
  <c r="N100" i="4"/>
  <c r="X5" i="20"/>
  <c r="X26" i="20"/>
  <c r="X76" i="20"/>
  <c r="X94" i="20"/>
  <c r="X9" i="20"/>
  <c r="U24" i="20"/>
  <c r="U141" i="20"/>
  <c r="S7" i="17"/>
  <c r="S37" i="17"/>
  <c r="M115" i="15"/>
  <c r="N159" i="15"/>
  <c r="M117" i="15"/>
  <c r="O150" i="15"/>
  <c r="M66" i="15"/>
  <c r="N37" i="15"/>
  <c r="M46" i="15"/>
  <c r="U134" i="20"/>
  <c r="U26" i="20"/>
  <c r="U42" i="20"/>
  <c r="U44" i="20"/>
  <c r="U71" i="20"/>
  <c r="X140" i="20"/>
  <c r="W81" i="20"/>
  <c r="O96" i="15"/>
  <c r="S9" i="17"/>
  <c r="O28" i="15"/>
  <c r="O22" i="15"/>
  <c r="U153" i="15"/>
  <c r="M37" i="15"/>
  <c r="M47" i="15"/>
  <c r="N77" i="15"/>
  <c r="M93" i="15"/>
  <c r="X27" i="20"/>
  <c r="W116" i="20"/>
  <c r="X107" i="20"/>
  <c r="X154" i="20"/>
  <c r="X90" i="20"/>
  <c r="X71" i="20"/>
  <c r="AN76" i="8"/>
  <c r="O91" i="15"/>
  <c r="S5" i="17"/>
  <c r="O44" i="15"/>
  <c r="N51" i="15"/>
  <c r="S79" i="17"/>
  <c r="O48" i="15"/>
  <c r="O61" i="15"/>
  <c r="X40" i="20"/>
  <c r="W12" i="20"/>
  <c r="W30" i="20"/>
  <c r="W18" i="20"/>
  <c r="W26" i="20"/>
  <c r="W148" i="20"/>
  <c r="X155" i="20"/>
  <c r="N108" i="15"/>
  <c r="O148" i="15"/>
  <c r="O158" i="15"/>
  <c r="O75" i="15"/>
  <c r="N66" i="15"/>
  <c r="U184" i="15"/>
  <c r="M118" i="15"/>
  <c r="N62" i="4"/>
  <c r="U21" i="20"/>
  <c r="U102" i="20"/>
  <c r="U51" i="20"/>
  <c r="U52" i="20"/>
  <c r="U20" i="20"/>
  <c r="W139" i="20"/>
  <c r="O8" i="15"/>
  <c r="S17" i="17"/>
  <c r="U197" i="15"/>
  <c r="N86" i="15"/>
  <c r="M140" i="15"/>
  <c r="N58" i="4"/>
  <c r="O142" i="15"/>
  <c r="N104" i="15"/>
  <c r="X36" i="20"/>
  <c r="O37" i="15"/>
  <c r="AN39" i="8"/>
  <c r="AN54" i="8"/>
  <c r="N96" i="15"/>
  <c r="O98" i="15"/>
  <c r="L67" i="15"/>
  <c r="L132" i="15"/>
  <c r="U49" i="15"/>
  <c r="K14" i="15"/>
  <c r="U10" i="15"/>
  <c r="AM48" i="11"/>
  <c r="M87" i="15"/>
  <c r="L152" i="15"/>
  <c r="K159" i="15"/>
  <c r="L88" i="15"/>
  <c r="X103" i="20"/>
  <c r="N105" i="4"/>
  <c r="U95" i="20"/>
  <c r="U41" i="20"/>
  <c r="U109" i="20"/>
  <c r="U55" i="20"/>
  <c r="U49" i="20"/>
  <c r="V114" i="20"/>
  <c r="N128" i="15"/>
  <c r="N53" i="15"/>
  <c r="M35" i="15"/>
  <c r="M155" i="15"/>
  <c r="AN52" i="8"/>
  <c r="O51" i="15"/>
  <c r="O136" i="15"/>
  <c r="N101" i="15"/>
  <c r="X73" i="20"/>
  <c r="X46" i="20"/>
  <c r="X98" i="20"/>
  <c r="X113" i="20"/>
  <c r="X14" i="20"/>
  <c r="U131" i="20"/>
  <c r="U138" i="20"/>
  <c r="N61" i="15"/>
  <c r="M138" i="15"/>
  <c r="M31" i="15"/>
  <c r="M20" i="15"/>
  <c r="O32" i="15"/>
  <c r="N84" i="4"/>
  <c r="O79" i="15"/>
  <c r="AN68" i="8"/>
  <c r="U18" i="20"/>
  <c r="U127" i="20"/>
  <c r="U58" i="20"/>
  <c r="U36" i="20"/>
  <c r="U19" i="20"/>
  <c r="U22" i="20"/>
  <c r="U43" i="20"/>
  <c r="N153" i="15"/>
  <c r="O163" i="15"/>
  <c r="N50" i="15"/>
  <c r="O119" i="15"/>
  <c r="N33" i="4"/>
  <c r="N130" i="15"/>
  <c r="N43" i="4"/>
  <c r="M25" i="15"/>
  <c r="N107" i="4"/>
  <c r="W159" i="20"/>
  <c r="W49" i="20"/>
  <c r="W158" i="20"/>
  <c r="X99" i="20"/>
  <c r="W36" i="20"/>
  <c r="X87" i="20"/>
  <c r="N101" i="4"/>
  <c r="M133" i="15"/>
  <c r="O85" i="15"/>
  <c r="O94" i="15"/>
  <c r="N99" i="4"/>
  <c r="O38" i="15"/>
  <c r="M60" i="15"/>
  <c r="M123" i="15"/>
  <c r="X153" i="20"/>
  <c r="V115" i="20"/>
  <c r="X53" i="20"/>
  <c r="V106" i="20"/>
  <c r="W104" i="20"/>
  <c r="X34" i="20"/>
  <c r="W64" i="20"/>
  <c r="O20" i="15"/>
  <c r="N124" i="15"/>
  <c r="S55" i="17"/>
  <c r="N97" i="15"/>
  <c r="M77" i="15"/>
  <c r="N5" i="15"/>
  <c r="N19" i="15"/>
  <c r="N83" i="4"/>
  <c r="X120" i="20"/>
  <c r="W112" i="20"/>
  <c r="W135" i="20"/>
  <c r="W142" i="20"/>
  <c r="W89" i="20"/>
  <c r="W21" i="20"/>
  <c r="W102" i="20"/>
  <c r="O17" i="15"/>
  <c r="AN92" i="8"/>
  <c r="N49" i="15"/>
  <c r="N114" i="15"/>
  <c r="U100" i="15"/>
  <c r="AN19" i="8"/>
  <c r="AN48" i="8"/>
  <c r="O109" i="15"/>
  <c r="X112" i="20"/>
  <c r="V23" i="20"/>
  <c r="W99" i="20"/>
  <c r="W156" i="20"/>
  <c r="V77" i="20"/>
  <c r="X41" i="20"/>
  <c r="N161" i="15"/>
  <c r="S26" i="17"/>
  <c r="M130" i="15"/>
  <c r="M104" i="15"/>
  <c r="S70" i="17"/>
  <c r="O107" i="15"/>
  <c r="AN80" i="8"/>
  <c r="O29" i="15"/>
  <c r="X74" i="20"/>
  <c r="N119" i="15"/>
  <c r="U187" i="15"/>
  <c r="AN46" i="8"/>
  <c r="N154" i="15"/>
  <c r="N142" i="15"/>
  <c r="L136" i="15"/>
  <c r="L79" i="15"/>
  <c r="L35" i="15"/>
  <c r="K13" i="15"/>
  <c r="U14" i="15"/>
  <c r="AO28" i="11"/>
  <c r="O164" i="15"/>
  <c r="U61" i="15"/>
  <c r="U5" i="15"/>
  <c r="L109" i="15"/>
  <c r="W151" i="20"/>
  <c r="O57" i="15"/>
  <c r="K92" i="15"/>
  <c r="K6" i="15"/>
  <c r="AN49" i="8"/>
  <c r="N164" i="15"/>
  <c r="M113" i="15"/>
  <c r="N152" i="15"/>
  <c r="L100" i="15"/>
  <c r="L37" i="15"/>
  <c r="L20" i="15"/>
  <c r="K150" i="15"/>
  <c r="K113" i="15"/>
  <c r="K47" i="15"/>
  <c r="O55" i="15"/>
  <c r="L115" i="15"/>
  <c r="K101" i="15"/>
  <c r="O113" i="15"/>
  <c r="X105" i="20"/>
  <c r="N103" i="15"/>
  <c r="O19" i="15"/>
  <c r="O159" i="15"/>
  <c r="L120" i="15"/>
  <c r="K117" i="15"/>
  <c r="O112" i="15"/>
  <c r="W31" i="20"/>
  <c r="M159" i="15"/>
  <c r="S78" i="17"/>
  <c r="N126" i="15"/>
  <c r="N156" i="15"/>
  <c r="U142" i="15"/>
  <c r="L51" i="15"/>
  <c r="L111" i="15"/>
  <c r="L89" i="15"/>
  <c r="K154" i="15"/>
  <c r="K140" i="15"/>
  <c r="K105" i="15"/>
  <c r="U114" i="20"/>
  <c r="N10" i="15"/>
  <c r="AN18" i="8"/>
  <c r="N127" i="15"/>
  <c r="O144" i="15"/>
  <c r="M150" i="15"/>
  <c r="L96" i="15"/>
  <c r="L140" i="15"/>
  <c r="U57" i="15"/>
  <c r="K31" i="15"/>
  <c r="K81" i="15"/>
  <c r="AN68" i="11"/>
  <c r="AN15" i="8"/>
  <c r="O154" i="15"/>
  <c r="U119" i="20"/>
  <c r="N59" i="15"/>
  <c r="N30" i="15"/>
  <c r="N23" i="15"/>
  <c r="O69" i="15"/>
  <c r="M41" i="15"/>
  <c r="L83" i="15"/>
  <c r="L86" i="15"/>
  <c r="L55" i="15"/>
  <c r="K7" i="15"/>
  <c r="K84" i="15"/>
  <c r="K127" i="15"/>
  <c r="U155" i="20"/>
  <c r="N11" i="15"/>
  <c r="L162" i="15"/>
  <c r="L58" i="15"/>
  <c r="AN8" i="11"/>
  <c r="M142" i="15"/>
  <c r="K69" i="15"/>
  <c r="L25" i="15"/>
  <c r="U59" i="15"/>
  <c r="AP68" i="11"/>
  <c r="M132" i="15"/>
  <c r="K23" i="15"/>
  <c r="L82" i="15"/>
  <c r="K67" i="15"/>
  <c r="N122" i="15"/>
  <c r="K136" i="15"/>
  <c r="AN57" i="8"/>
  <c r="S25" i="17"/>
  <c r="L72" i="15"/>
  <c r="L158" i="15"/>
  <c r="L147" i="15"/>
  <c r="U145" i="15"/>
  <c r="K53" i="15"/>
  <c r="K18" i="15"/>
  <c r="N34" i="4"/>
  <c r="M8" i="15"/>
  <c r="AN31" i="8"/>
  <c r="M94" i="15"/>
  <c r="L97" i="15"/>
  <c r="L151" i="15"/>
  <c r="L27" i="15"/>
  <c r="K90" i="15"/>
  <c r="K98" i="15"/>
  <c r="K16" i="15"/>
  <c r="O12" i="15"/>
  <c r="L8" i="15"/>
  <c r="K129" i="15"/>
  <c r="N143" i="15"/>
  <c r="X138" i="20"/>
  <c r="N36" i="4"/>
  <c r="N52" i="4"/>
  <c r="N106" i="4"/>
  <c r="L24" i="15"/>
  <c r="K65" i="15"/>
  <c r="L119" i="15"/>
  <c r="W82" i="20"/>
  <c r="O88" i="15"/>
  <c r="S28" i="17"/>
  <c r="M107" i="15"/>
  <c r="M30" i="15"/>
  <c r="U143" i="15"/>
  <c r="L131" i="15"/>
  <c r="L161" i="15"/>
  <c r="L52" i="15"/>
  <c r="K152" i="15"/>
  <c r="K135" i="15"/>
  <c r="AO48" i="11"/>
  <c r="U31" i="20"/>
  <c r="S48" i="17"/>
  <c r="M108" i="15"/>
  <c r="AN35" i="8"/>
  <c r="N56" i="15"/>
  <c r="O73" i="15"/>
  <c r="L110" i="15"/>
  <c r="L63" i="15"/>
  <c r="K25" i="15"/>
  <c r="K59" i="15"/>
  <c r="K102" i="15"/>
  <c r="AO68" i="11"/>
  <c r="M129" i="15"/>
  <c r="M71" i="15"/>
  <c r="U159" i="20"/>
  <c r="N70" i="15"/>
  <c r="N28" i="15"/>
  <c r="M128" i="15"/>
  <c r="N64" i="15"/>
  <c r="O67" i="15"/>
  <c r="L90" i="15"/>
  <c r="L84" i="15"/>
  <c r="L5" i="15"/>
  <c r="K143" i="15"/>
  <c r="K80" i="15"/>
  <c r="K95" i="15"/>
  <c r="N87" i="15"/>
  <c r="AN10" i="8"/>
  <c r="K62" i="15"/>
  <c r="L40" i="15"/>
  <c r="W153" i="20"/>
  <c r="N63" i="4"/>
  <c r="K161" i="15"/>
  <c r="K26" i="15"/>
  <c r="L81" i="15"/>
  <c r="M124" i="15"/>
  <c r="L44" i="15"/>
  <c r="AL68" i="11"/>
  <c r="K122" i="15"/>
  <c r="AP8" i="11"/>
  <c r="K11" i="15"/>
  <c r="AN88" i="11"/>
  <c r="AN28" i="11"/>
  <c r="N20" i="4"/>
  <c r="S40" i="17"/>
  <c r="N55" i="4"/>
  <c r="N110" i="4"/>
  <c r="L31" i="15"/>
  <c r="U52" i="15"/>
  <c r="U58" i="15"/>
  <c r="K160" i="15"/>
  <c r="K147" i="15"/>
  <c r="AM88" i="11"/>
  <c r="N33" i="15"/>
  <c r="L22" i="15"/>
  <c r="K55" i="15"/>
  <c r="L134" i="15"/>
  <c r="X142" i="20"/>
  <c r="U107" i="15"/>
  <c r="M151" i="15"/>
  <c r="S8" i="17"/>
  <c r="L69" i="15"/>
  <c r="K115" i="15"/>
  <c r="L56" i="15"/>
  <c r="X79" i="20"/>
  <c r="O146" i="15"/>
  <c r="O18" i="15"/>
  <c r="AN90" i="8"/>
  <c r="S86" i="17"/>
  <c r="M92" i="15"/>
  <c r="L15" i="15"/>
  <c r="L95" i="15"/>
  <c r="L53" i="15"/>
  <c r="K22" i="15"/>
  <c r="K64" i="15"/>
  <c r="AN48" i="11"/>
  <c r="U88" i="20"/>
  <c r="S51" i="17"/>
  <c r="N89" i="4"/>
  <c r="M49" i="15"/>
  <c r="M139" i="15"/>
  <c r="N95" i="15"/>
  <c r="L49" i="15"/>
  <c r="L9" i="15"/>
  <c r="K107" i="15"/>
  <c r="K43" i="15"/>
  <c r="K109" i="15"/>
  <c r="AP88" i="11"/>
  <c r="AN93" i="8"/>
  <c r="N108" i="4"/>
  <c r="U151" i="20"/>
  <c r="M22" i="15"/>
  <c r="O43" i="15"/>
  <c r="N113" i="4"/>
  <c r="M84" i="15"/>
  <c r="N31" i="15"/>
  <c r="L41" i="15"/>
  <c r="L145" i="15"/>
  <c r="L11" i="15"/>
  <c r="K86" i="15"/>
  <c r="U16" i="15"/>
  <c r="AM8" i="11"/>
  <c r="S58" i="17"/>
  <c r="U102" i="15"/>
  <c r="X81" i="20"/>
  <c r="U12" i="15"/>
  <c r="O130" i="15"/>
  <c r="O42" i="15"/>
  <c r="K61" i="15"/>
  <c r="V25" i="20"/>
  <c r="L62" i="15"/>
  <c r="S15" i="17"/>
  <c r="AO8" i="11"/>
  <c r="AQ68" i="11"/>
  <c r="S87" i="17"/>
  <c r="N145" i="15"/>
  <c r="AN16" i="8"/>
  <c r="M48" i="15"/>
  <c r="S47" i="17"/>
  <c r="L154" i="15"/>
  <c r="U50" i="15"/>
  <c r="U62" i="15"/>
  <c r="K164" i="15"/>
  <c r="K163" i="15"/>
  <c r="AO88" i="11"/>
  <c r="N77" i="4"/>
  <c r="L48" i="15"/>
  <c r="U7" i="15"/>
  <c r="L99" i="15"/>
  <c r="X127" i="20"/>
  <c r="O89" i="15"/>
  <c r="U103" i="15"/>
  <c r="S60" i="17"/>
  <c r="L142" i="15"/>
  <c r="AP28" i="11"/>
  <c r="L64" i="15"/>
  <c r="X57" i="20"/>
  <c r="N46" i="15"/>
  <c r="AN11" i="8"/>
  <c r="S38" i="17"/>
  <c r="N92" i="15"/>
  <c r="N42" i="4"/>
  <c r="L12" i="15"/>
  <c r="L155" i="15"/>
  <c r="U6" i="15"/>
  <c r="K119" i="15"/>
  <c r="U11" i="15"/>
  <c r="AQ48" i="11"/>
  <c r="U112" i="20"/>
  <c r="S33" i="17"/>
  <c r="M158" i="15"/>
  <c r="U194" i="15"/>
  <c r="M26" i="15"/>
  <c r="L73" i="15"/>
  <c r="L50" i="15"/>
  <c r="L33" i="15"/>
  <c r="K35" i="15"/>
  <c r="K94" i="15"/>
  <c r="K144" i="15"/>
  <c r="U84" i="20"/>
  <c r="M78" i="15"/>
  <c r="N89" i="15"/>
  <c r="U115" i="20"/>
  <c r="U98" i="15"/>
  <c r="N58" i="15"/>
  <c r="S14" i="17"/>
  <c r="AN69" i="8"/>
  <c r="M145" i="15"/>
  <c r="L138" i="15"/>
  <c r="L150" i="15"/>
  <c r="L19" i="15"/>
  <c r="K137" i="15"/>
  <c r="K89" i="15"/>
  <c r="AL48" i="11"/>
  <c r="N132" i="15"/>
  <c r="N25" i="15"/>
  <c r="M62" i="15"/>
  <c r="K133" i="15"/>
  <c r="L163" i="15"/>
  <c r="U51" i="15"/>
  <c r="AL8" i="11"/>
  <c r="N13" i="15"/>
  <c r="K28" i="15"/>
  <c r="L61" i="15"/>
  <c r="K51" i="15"/>
  <c r="W121" i="20"/>
  <c r="O122" i="15"/>
  <c r="X37" i="20"/>
  <c r="L123" i="15"/>
  <c r="N30" i="4"/>
  <c r="L98" i="15"/>
  <c r="M97" i="15"/>
  <c r="O5" i="15"/>
  <c r="N65" i="15"/>
  <c r="M61" i="15"/>
  <c r="L117" i="15"/>
  <c r="L159" i="15"/>
  <c r="K97" i="15"/>
  <c r="K20" i="15"/>
  <c r="K75" i="15"/>
  <c r="AM68" i="11"/>
  <c r="N42" i="15"/>
  <c r="L14" i="15"/>
  <c r="K100" i="15"/>
  <c r="L75" i="15"/>
  <c r="W14" i="20"/>
  <c r="M149" i="15"/>
  <c r="AN85" i="8"/>
  <c r="U141" i="15"/>
  <c r="K124" i="15"/>
  <c r="N61" i="4"/>
  <c r="L103" i="15"/>
  <c r="U149" i="20"/>
  <c r="AN65" i="8"/>
  <c r="O35" i="15"/>
  <c r="O14" i="15"/>
  <c r="U149" i="15"/>
  <c r="N7" i="4"/>
  <c r="L36" i="15"/>
  <c r="L17" i="15"/>
  <c r="K104" i="15"/>
  <c r="K111" i="15"/>
  <c r="K8" i="15"/>
  <c r="U56" i="20"/>
  <c r="S97" i="17"/>
  <c r="M153" i="15"/>
  <c r="O47" i="15"/>
  <c r="U95" i="15"/>
  <c r="L80" i="15"/>
  <c r="L26" i="15"/>
  <c r="U60" i="15"/>
  <c r="K130" i="15"/>
  <c r="K70" i="15"/>
  <c r="K39" i="15"/>
  <c r="X102" i="20"/>
  <c r="U186" i="15"/>
  <c r="L54" i="15"/>
  <c r="U46" i="20"/>
  <c r="O26" i="15"/>
  <c r="O50" i="15"/>
  <c r="N72" i="15"/>
  <c r="N44" i="4"/>
  <c r="AN29" i="8"/>
  <c r="L112" i="15"/>
  <c r="L144" i="15"/>
  <c r="K146" i="15"/>
  <c r="K106" i="15"/>
  <c r="K162" i="15"/>
  <c r="AQ8" i="11"/>
  <c r="M17" i="15"/>
  <c r="S30" i="17"/>
  <c r="AN95" i="8"/>
  <c r="K153" i="15"/>
  <c r="K52" i="15"/>
  <c r="L16" i="15"/>
  <c r="AN91" i="8"/>
  <c r="O100" i="15"/>
  <c r="K149" i="15"/>
  <c r="K66" i="15"/>
  <c r="K45" i="15"/>
  <c r="N16" i="4"/>
  <c r="L46" i="15"/>
  <c r="N162" i="15"/>
  <c r="K121" i="15"/>
  <c r="L153" i="15"/>
  <c r="AQ28" i="11"/>
  <c r="K138" i="15"/>
  <c r="U55" i="15"/>
  <c r="W19" i="20"/>
  <c r="N36" i="15"/>
  <c r="U97" i="15"/>
  <c r="AN45" i="8"/>
  <c r="N54" i="4"/>
  <c r="L157" i="15"/>
  <c r="L149" i="15"/>
  <c r="K112" i="15"/>
  <c r="U4" i="15"/>
  <c r="K10" i="15"/>
  <c r="AP48" i="11"/>
  <c r="S100" i="17"/>
  <c r="L30" i="15"/>
  <c r="K120" i="15"/>
  <c r="L23" i="15"/>
  <c r="X20" i="20"/>
  <c r="M5" i="15"/>
  <c r="O162" i="15"/>
  <c r="N57" i="4"/>
  <c r="K57" i="15"/>
  <c r="N19" i="4"/>
  <c r="L78" i="15"/>
  <c r="U16" i="20"/>
  <c r="M13" i="15"/>
  <c r="N151" i="15"/>
  <c r="N21" i="15"/>
  <c r="O30" i="15"/>
  <c r="L116" i="15"/>
  <c r="L42" i="15"/>
  <c r="L105" i="15"/>
  <c r="K50" i="15"/>
  <c r="K108" i="15"/>
  <c r="K93" i="15"/>
  <c r="U164" i="20"/>
  <c r="M157" i="15"/>
  <c r="S92" i="17"/>
  <c r="S45" i="17"/>
  <c r="M147" i="15"/>
  <c r="O63" i="15"/>
  <c r="L137" i="15"/>
  <c r="L125" i="15"/>
  <c r="L141" i="15"/>
  <c r="K74" i="15"/>
  <c r="K48" i="15"/>
  <c r="U17" i="15"/>
  <c r="M34" i="15"/>
  <c r="O121" i="15"/>
  <c r="L68" i="15"/>
  <c r="U10" i="20"/>
  <c r="M163" i="15"/>
  <c r="N138" i="15"/>
  <c r="O71" i="15"/>
  <c r="O110" i="15"/>
  <c r="AN88" i="8"/>
  <c r="L106" i="15"/>
  <c r="L7" i="15"/>
  <c r="K38" i="15"/>
  <c r="K132" i="15"/>
  <c r="K58" i="15"/>
  <c r="AQ88" i="11"/>
  <c r="U195" i="15"/>
  <c r="M105" i="15"/>
  <c r="N118" i="15"/>
  <c r="K21" i="15"/>
  <c r="W150" i="20"/>
  <c r="K12" i="15"/>
  <c r="N135" i="15"/>
  <c r="M58" i="15"/>
  <c r="K72" i="15"/>
  <c r="K42" i="15"/>
  <c r="N111" i="15"/>
  <c r="O41" i="15"/>
  <c r="K79" i="15"/>
  <c r="N16" i="15"/>
  <c r="K40" i="15"/>
  <c r="L118" i="15"/>
  <c r="L124" i="15"/>
  <c r="W51" i="20"/>
  <c r="S94" i="17"/>
  <c r="O80" i="15"/>
  <c r="M14" i="15"/>
  <c r="L126" i="15"/>
  <c r="L87" i="15"/>
  <c r="L71" i="15"/>
  <c r="K123" i="15"/>
  <c r="K96" i="15"/>
  <c r="K151" i="15"/>
  <c r="M28" i="15"/>
  <c r="L129" i="15"/>
  <c r="U53" i="15"/>
  <c r="AL88" i="11"/>
  <c r="L38" i="15"/>
  <c r="N62" i="15"/>
  <c r="S96" i="17"/>
  <c r="O117" i="15"/>
  <c r="K78" i="15"/>
  <c r="N69" i="15"/>
  <c r="K5" i="15"/>
  <c r="O123" i="15"/>
  <c r="U185" i="15"/>
  <c r="AN75" i="8"/>
  <c r="N14" i="15"/>
  <c r="L127" i="15"/>
  <c r="L60" i="15"/>
  <c r="L128" i="15"/>
  <c r="K134" i="15"/>
  <c r="K17" i="15"/>
  <c r="K56" i="15"/>
  <c r="U47" i="20"/>
  <c r="N47" i="15"/>
  <c r="N17" i="4"/>
  <c r="U189" i="15"/>
  <c r="U148" i="15"/>
  <c r="M53" i="15"/>
  <c r="L70" i="15"/>
  <c r="L101" i="15"/>
  <c r="L18" i="15"/>
  <c r="K156" i="15"/>
  <c r="K32" i="15"/>
  <c r="K24" i="15"/>
  <c r="O72" i="15"/>
  <c r="M126" i="15"/>
  <c r="L108" i="15"/>
  <c r="W85" i="20"/>
  <c r="S95" i="17"/>
  <c r="M67" i="15"/>
  <c r="N112" i="15"/>
  <c r="O56" i="15"/>
  <c r="L57" i="15"/>
  <c r="L28" i="15"/>
  <c r="L59" i="15"/>
  <c r="K46" i="15"/>
  <c r="K30" i="15"/>
  <c r="U8" i="15"/>
  <c r="U113" i="20"/>
  <c r="AN5" i="8"/>
  <c r="L122" i="15"/>
  <c r="O81" i="15"/>
  <c r="U19" i="15"/>
  <c r="S49" i="17"/>
  <c r="K37" i="15"/>
  <c r="O132" i="15"/>
  <c r="N73" i="15"/>
  <c r="K87" i="15"/>
  <c r="K110" i="15"/>
  <c r="L91" i="15"/>
  <c r="N76" i="4"/>
  <c r="O138" i="15"/>
  <c r="W94" i="15"/>
  <c r="U15" i="15"/>
  <c r="K27" i="15"/>
  <c r="K76" i="15"/>
  <c r="K71" i="15"/>
  <c r="U9" i="15"/>
  <c r="M160" i="15"/>
  <c r="O141" i="15"/>
  <c r="N136" i="15"/>
  <c r="O115" i="15"/>
  <c r="L65" i="15"/>
  <c r="L148" i="15"/>
  <c r="U56" i="15"/>
  <c r="K44" i="15"/>
  <c r="K68" i="15"/>
  <c r="K155" i="15"/>
  <c r="M112" i="15"/>
  <c r="L94" i="15"/>
  <c r="K85" i="15"/>
  <c r="O11" i="15"/>
  <c r="W122" i="20"/>
  <c r="S88" i="17"/>
  <c r="N7" i="15"/>
  <c r="N112" i="4"/>
  <c r="L47" i="15"/>
  <c r="K145" i="15"/>
  <c r="O101" i="15"/>
  <c r="W92" i="20"/>
  <c r="M146" i="15"/>
  <c r="W5" i="15"/>
  <c r="O60" i="15"/>
  <c r="AN12" i="8"/>
  <c r="M135" i="15"/>
  <c r="L74" i="15"/>
  <c r="L156" i="15"/>
  <c r="L92" i="15"/>
  <c r="K29" i="15"/>
  <c r="K33" i="15"/>
  <c r="K83" i="15"/>
  <c r="U98" i="20"/>
  <c r="N35" i="15"/>
  <c r="M29" i="15"/>
  <c r="O16" i="15"/>
  <c r="U144" i="15"/>
  <c r="N88" i="4"/>
  <c r="L77" i="15"/>
  <c r="L32" i="15"/>
  <c r="L13" i="15"/>
  <c r="K99" i="15"/>
  <c r="K103" i="15"/>
  <c r="AL28" i="11"/>
  <c r="O104" i="15"/>
  <c r="N90" i="4"/>
  <c r="L43" i="15"/>
  <c r="N115" i="15"/>
  <c r="O46" i="15"/>
  <c r="M80" i="15"/>
  <c r="N38" i="15"/>
  <c r="L39" i="15"/>
  <c r="L160" i="15"/>
  <c r="L93" i="15"/>
  <c r="K142" i="15"/>
  <c r="K19" i="15"/>
  <c r="K36" i="15"/>
  <c r="U116" i="20"/>
  <c r="S74" i="17"/>
  <c r="L107" i="15"/>
  <c r="U198" i="15"/>
  <c r="K63" i="15"/>
  <c r="O34" i="15"/>
  <c r="K128" i="15"/>
  <c r="N43" i="15"/>
  <c r="M103" i="15"/>
  <c r="K88" i="15"/>
  <c r="K141" i="15"/>
  <c r="K91" i="15"/>
  <c r="L113" i="15"/>
  <c r="L114" i="15"/>
  <c r="M42" i="15"/>
  <c r="K157" i="15"/>
  <c r="M114" i="15"/>
  <c r="AN37" i="8"/>
  <c r="K82" i="15"/>
  <c r="AM28" i="11"/>
  <c r="K77" i="15"/>
  <c r="W139" i="15"/>
  <c r="T5" i="17" l="1"/>
  <c r="L5" i="10" s="1"/>
  <c r="U5" i="17"/>
  <c r="V5" i="17"/>
  <c r="N5" i="10" s="1"/>
  <c r="W5" i="17"/>
  <c r="O5" i="10" s="1"/>
  <c r="X5" i="17"/>
  <c r="P5" i="10" s="1"/>
  <c r="X85" i="17"/>
  <c r="P85" i="10" s="1"/>
  <c r="W85" i="17"/>
  <c r="O85" i="10" s="1"/>
  <c r="V85" i="17"/>
  <c r="V86" i="17" s="1"/>
  <c r="V87" i="17" s="1"/>
  <c r="V88" i="17" s="1"/>
  <c r="V89" i="17" s="1"/>
  <c r="V90" i="17" s="1"/>
  <c r="V91" i="17" s="1"/>
  <c r="V92" i="17" s="1"/>
  <c r="V93" i="17" s="1"/>
  <c r="V94" i="17" s="1"/>
  <c r="V95" i="17" s="1"/>
  <c r="V96" i="17" s="1"/>
  <c r="V97" i="17" s="1"/>
  <c r="V98" i="17" s="1"/>
  <c r="V99" i="17" s="1"/>
  <c r="V100" i="17" s="1"/>
  <c r="U85" i="17"/>
  <c r="T85" i="17"/>
  <c r="L85" i="10" s="1"/>
  <c r="X45" i="17"/>
  <c r="P45" i="10" s="1"/>
  <c r="W45" i="17"/>
  <c r="O45" i="10" s="1"/>
  <c r="V45" i="17"/>
  <c r="V46" i="17" s="1"/>
  <c r="V47" i="17" s="1"/>
  <c r="V48" i="17" s="1"/>
  <c r="V49" i="17" s="1"/>
  <c r="V50" i="17" s="1"/>
  <c r="V51" i="17" s="1"/>
  <c r="V52" i="17" s="1"/>
  <c r="V53" i="17" s="1"/>
  <c r="V54" i="17" s="1"/>
  <c r="V55" i="17" s="1"/>
  <c r="V56" i="17" s="1"/>
  <c r="V57" i="17" s="1"/>
  <c r="V58" i="17" s="1"/>
  <c r="V59" i="17" s="1"/>
  <c r="V60" i="17" s="1"/>
  <c r="U45" i="17"/>
  <c r="T45" i="17"/>
  <c r="L45" i="10" s="1"/>
  <c r="X65" i="17"/>
  <c r="P65" i="10" s="1"/>
  <c r="W65" i="17"/>
  <c r="O65" i="10" s="1"/>
  <c r="V65" i="17"/>
  <c r="V66" i="17" s="1"/>
  <c r="V67" i="17" s="1"/>
  <c r="V68" i="17" s="1"/>
  <c r="V69" i="17" s="1"/>
  <c r="V70" i="17" s="1"/>
  <c r="V71" i="17" s="1"/>
  <c r="V72" i="17" s="1"/>
  <c r="V73" i="17" s="1"/>
  <c r="V74" i="17" s="1"/>
  <c r="V75" i="17" s="1"/>
  <c r="V76" i="17" s="1"/>
  <c r="V77" i="17" s="1"/>
  <c r="V78" i="17" s="1"/>
  <c r="V79" i="17" s="1"/>
  <c r="V80" i="17" s="1"/>
  <c r="U65" i="17"/>
  <c r="M65" i="10" s="1"/>
  <c r="T65" i="17"/>
  <c r="L65" i="10" s="1"/>
  <c r="T25" i="17"/>
  <c r="L25" i="10" s="1"/>
  <c r="U25" i="17"/>
  <c r="X25" i="17"/>
  <c r="P25" i="10" s="1"/>
  <c r="W25" i="17"/>
  <c r="O25" i="10" s="1"/>
  <c r="V25" i="17"/>
  <c r="V26" i="17" s="1"/>
  <c r="V27" i="17" s="1"/>
  <c r="V28" i="17" s="1"/>
  <c r="V29" i="17" s="1"/>
  <c r="V30" i="17" s="1"/>
  <c r="V31" i="17" s="1"/>
  <c r="V32" i="17" s="1"/>
  <c r="V33" i="17" s="1"/>
  <c r="V34" i="17" s="1"/>
  <c r="V35" i="17" s="1"/>
  <c r="V36" i="17" s="1"/>
  <c r="V37" i="17" s="1"/>
  <c r="V38" i="17" s="1"/>
  <c r="V39" i="17" s="1"/>
  <c r="V40" i="17" s="1"/>
  <c r="Q38" i="4"/>
  <c r="Q61" i="4" s="1"/>
  <c r="Q84" i="4" s="1"/>
  <c r="Q107" i="4" s="1"/>
  <c r="Q16" i="4"/>
  <c r="P39" i="4"/>
  <c r="P62" i="4" s="1"/>
  <c r="P85" i="4" s="1"/>
  <c r="P108" i="4" s="1"/>
  <c r="P17" i="4"/>
  <c r="O17" i="4"/>
  <c r="O39" i="4"/>
  <c r="O62" i="4" s="1"/>
  <c r="O85" i="4" s="1"/>
  <c r="O108" i="4" s="1"/>
  <c r="S38" i="4"/>
  <c r="S61" i="4" s="1"/>
  <c r="S84" i="4" s="1"/>
  <c r="S107" i="4" s="1"/>
  <c r="S16" i="4"/>
  <c r="R38" i="4"/>
  <c r="R61" i="4" s="1"/>
  <c r="R84" i="4" s="1"/>
  <c r="R107" i="4" s="1"/>
  <c r="R16" i="4"/>
  <c r="T40" i="4"/>
  <c r="T85" i="4"/>
  <c r="T21" i="4"/>
  <c r="T19" i="4"/>
  <c r="T66" i="4"/>
  <c r="T67" i="4"/>
  <c r="T111" i="4"/>
  <c r="T108" i="4"/>
  <c r="T44" i="4"/>
  <c r="T42" i="4"/>
  <c r="T63" i="4"/>
  <c r="T39" i="4"/>
  <c r="T64" i="4"/>
  <c r="T87" i="4"/>
  <c r="T90" i="4"/>
  <c r="T112" i="4"/>
  <c r="T17" i="4"/>
  <c r="T18" i="4"/>
  <c r="T20" i="4"/>
  <c r="T62" i="4"/>
  <c r="T89" i="4"/>
  <c r="T88" i="4"/>
  <c r="T86" i="4"/>
  <c r="T109" i="4"/>
  <c r="T110" i="4"/>
  <c r="T113" i="4"/>
  <c r="T41" i="4"/>
  <c r="T43" i="4"/>
  <c r="T65" i="4"/>
  <c r="AA29" i="4"/>
  <c r="AA52" i="4" s="1"/>
  <c r="AA75" i="4" s="1"/>
  <c r="AA98" i="4" s="1"/>
  <c r="AA30" i="4"/>
  <c r="AA53" i="4" s="1"/>
  <c r="AA76" i="4" s="1"/>
  <c r="AA99" i="4" s="1"/>
  <c r="AB32" i="4"/>
  <c r="AB55" i="4" s="1"/>
  <c r="AB78" i="4" s="1"/>
  <c r="AB101" i="4" s="1"/>
  <c r="M8" i="4"/>
  <c r="M11" i="4"/>
  <c r="M6" i="4"/>
  <c r="M10" i="4"/>
  <c r="M14" i="4"/>
  <c r="M9" i="4"/>
  <c r="M15" i="4"/>
  <c r="M7" i="4"/>
  <c r="O64" i="1"/>
  <c r="O4" i="1"/>
  <c r="O102" i="1"/>
  <c r="N6" i="1"/>
  <c r="F89" i="2"/>
  <c r="F119" i="2"/>
  <c r="F66" i="2"/>
  <c r="W12" i="15"/>
  <c r="W144" i="15"/>
  <c r="W13" i="15"/>
  <c r="W145" i="15"/>
  <c r="AP9" i="11"/>
  <c r="AM69" i="11"/>
  <c r="AM29" i="11"/>
  <c r="AG15" i="4"/>
  <c r="W6" i="15"/>
  <c r="W64" i="15"/>
  <c r="AE11" i="4"/>
  <c r="W140" i="15"/>
  <c r="W51" i="15"/>
  <c r="AM89" i="11"/>
  <c r="AH6" i="4"/>
  <c r="AP49" i="11"/>
  <c r="W187" i="15"/>
  <c r="W199" i="15"/>
  <c r="AG14" i="4"/>
  <c r="AE15" i="4"/>
  <c r="W95" i="15"/>
  <c r="W52" i="15"/>
  <c r="W55" i="15"/>
  <c r="AE8" i="4"/>
  <c r="AL89" i="11"/>
  <c r="W103" i="15"/>
  <c r="AN9" i="11"/>
  <c r="AF11" i="4"/>
  <c r="W108" i="15"/>
  <c r="AO89" i="11"/>
  <c r="AL69" i="11"/>
  <c r="AG11" i="4"/>
  <c r="W194" i="15"/>
  <c r="AF10" i="4"/>
  <c r="W150" i="15"/>
  <c r="W56" i="15"/>
  <c r="AN29" i="11"/>
  <c r="W17" i="15"/>
  <c r="AI10" i="4"/>
  <c r="AO9" i="11"/>
  <c r="W50" i="15"/>
  <c r="W109" i="15"/>
  <c r="W102" i="15"/>
  <c r="AP29" i="11"/>
  <c r="W188" i="15"/>
  <c r="AI7" i="4"/>
  <c r="AG6" i="4"/>
  <c r="AO49" i="11"/>
  <c r="AF8" i="4"/>
  <c r="W152" i="15"/>
  <c r="AM9" i="11"/>
  <c r="W104" i="15"/>
  <c r="W10" i="15"/>
  <c r="AI8" i="4"/>
  <c r="W54" i="15"/>
  <c r="AP89" i="11"/>
  <c r="W193" i="15"/>
  <c r="AI6" i="4"/>
  <c r="W98" i="15"/>
  <c r="AH10" i="4"/>
  <c r="AL29" i="11"/>
  <c r="AN69" i="11"/>
  <c r="W147" i="15"/>
  <c r="AF14" i="4"/>
  <c r="W101" i="15"/>
  <c r="AN49" i="11"/>
  <c r="W192" i="15"/>
  <c r="W18" i="15"/>
  <c r="W96" i="15"/>
  <c r="AQ9" i="11"/>
  <c r="AN89" i="11"/>
  <c r="W196" i="15"/>
  <c r="W59" i="15"/>
  <c r="W15" i="15"/>
  <c r="W186" i="15"/>
  <c r="AQ89" i="11"/>
  <c r="W191" i="15"/>
  <c r="W61" i="15"/>
  <c r="W195" i="15"/>
  <c r="AL49" i="11"/>
  <c r="AG7" i="4"/>
  <c r="W8" i="15"/>
  <c r="AH14" i="4"/>
  <c r="AG8" i="4"/>
  <c r="W53" i="15"/>
  <c r="W14" i="15"/>
  <c r="AO69" i="11"/>
  <c r="W97" i="15"/>
  <c r="AH8" i="4"/>
  <c r="W106" i="15"/>
  <c r="W63" i="15"/>
  <c r="AI9" i="4"/>
  <c r="W148" i="15"/>
  <c r="AQ49" i="11"/>
  <c r="AL9" i="11"/>
  <c r="AE6" i="4"/>
  <c r="W58" i="15"/>
  <c r="W151" i="15"/>
  <c r="AP69" i="11"/>
  <c r="W99" i="15"/>
  <c r="W198" i="15"/>
  <c r="W189" i="15"/>
  <c r="W100" i="15"/>
  <c r="W149" i="15"/>
  <c r="W9" i="15"/>
  <c r="AQ69" i="11"/>
  <c r="AH15" i="4"/>
  <c r="AG10" i="4"/>
  <c r="AH11" i="4"/>
  <c r="AI11" i="4"/>
  <c r="AE10" i="4"/>
  <c r="W197" i="15"/>
  <c r="AG9" i="4"/>
  <c r="AE9" i="4"/>
  <c r="AF9" i="4"/>
  <c r="W143" i="15"/>
  <c r="AF6" i="4"/>
  <c r="W105" i="15"/>
  <c r="AH9" i="4"/>
  <c r="W141" i="15"/>
  <c r="W7" i="15"/>
  <c r="AI15" i="4"/>
  <c r="W146" i="15"/>
  <c r="W107" i="15"/>
  <c r="AM49" i="11"/>
  <c r="W154" i="15"/>
  <c r="W16" i="15"/>
  <c r="W57" i="15"/>
  <c r="AO29" i="11"/>
  <c r="W185" i="15"/>
  <c r="W19" i="15"/>
  <c r="W142" i="15"/>
  <c r="AQ29" i="11"/>
  <c r="W62" i="15"/>
  <c r="AF15" i="4"/>
  <c r="AE14" i="4"/>
  <c r="AE7" i="4"/>
  <c r="W190" i="15"/>
  <c r="AI14" i="4"/>
  <c r="AH7" i="4"/>
  <c r="W153" i="15"/>
  <c r="W60" i="15"/>
  <c r="N65" i="10" l="1"/>
  <c r="S65" i="10" s="1"/>
  <c r="N67" i="10"/>
  <c r="S67" i="10" s="1"/>
  <c r="N47" i="10"/>
  <c r="S47" i="10" s="1"/>
  <c r="N45" i="10"/>
  <c r="S45" i="10" s="1"/>
  <c r="N46" i="10"/>
  <c r="S46" i="10" s="1"/>
  <c r="N49" i="10"/>
  <c r="S49" i="10" s="1"/>
  <c r="N69" i="10"/>
  <c r="S69" i="10" s="1"/>
  <c r="N28" i="10"/>
  <c r="S28" i="10" s="1"/>
  <c r="N25" i="10"/>
  <c r="S25" i="10" s="1"/>
  <c r="M25" i="10"/>
  <c r="R25" i="10" s="1"/>
  <c r="N48" i="10"/>
  <c r="S48" i="10" s="1"/>
  <c r="M5" i="10"/>
  <c r="R5" i="10" s="1"/>
  <c r="M85" i="10"/>
  <c r="R85" i="10" s="1"/>
  <c r="N66" i="10"/>
  <c r="S66" i="10" s="1"/>
  <c r="N87" i="10"/>
  <c r="S87" i="10" s="1"/>
  <c r="N27" i="10"/>
  <c r="S27" i="10" s="1"/>
  <c r="N88" i="10"/>
  <c r="S88" i="10" s="1"/>
  <c r="N85" i="10"/>
  <c r="S85" i="10" s="1"/>
  <c r="M45" i="10"/>
  <c r="R45" i="10" s="1"/>
  <c r="N68" i="10"/>
  <c r="S68" i="10" s="1"/>
  <c r="N26" i="10"/>
  <c r="S26" i="10" s="1"/>
  <c r="N86" i="10"/>
  <c r="S86" i="10" s="1"/>
  <c r="N29" i="10"/>
  <c r="S29" i="10" s="1"/>
  <c r="N89" i="10"/>
  <c r="S89" i="10" s="1"/>
  <c r="Q45" i="10"/>
  <c r="Q5" i="10"/>
  <c r="Q85" i="10"/>
  <c r="Q25" i="10"/>
  <c r="T6" i="17"/>
  <c r="L6" i="10" s="1"/>
  <c r="AE5" i="10"/>
  <c r="U6" i="17"/>
  <c r="T86" i="17"/>
  <c r="U46" i="17"/>
  <c r="U26" i="17"/>
  <c r="T46" i="17"/>
  <c r="V6" i="17"/>
  <c r="T66" i="17"/>
  <c r="L66" i="10" s="1"/>
  <c r="U66" i="17"/>
  <c r="M66" i="10" s="1"/>
  <c r="R65" i="10"/>
  <c r="W6" i="17"/>
  <c r="O6" i="10" s="1"/>
  <c r="W66" i="17"/>
  <c r="O66" i="10" s="1"/>
  <c r="W86" i="17"/>
  <c r="O86" i="10" s="1"/>
  <c r="X66" i="17"/>
  <c r="P66" i="10" s="1"/>
  <c r="AI65" i="10"/>
  <c r="X86" i="17"/>
  <c r="P86" i="10" s="1"/>
  <c r="W26" i="17"/>
  <c r="O26" i="10" s="1"/>
  <c r="AE25" i="10"/>
  <c r="X26" i="17"/>
  <c r="P26" i="10" s="1"/>
  <c r="AI25" i="10"/>
  <c r="W46" i="17"/>
  <c r="O46" i="10" s="1"/>
  <c r="AE45" i="10"/>
  <c r="U86" i="17"/>
  <c r="M86" i="10" s="1"/>
  <c r="X46" i="17"/>
  <c r="P46" i="10" s="1"/>
  <c r="T26" i="17"/>
  <c r="L26" i="10" s="1"/>
  <c r="X6" i="17"/>
  <c r="P6" i="10" s="1"/>
  <c r="S5" i="10"/>
  <c r="O40" i="4"/>
  <c r="O63" i="4" s="1"/>
  <c r="O86" i="4" s="1"/>
  <c r="O109" i="4" s="1"/>
  <c r="O18" i="4"/>
  <c r="S17" i="4"/>
  <c r="S39" i="4"/>
  <c r="S62" i="4" s="1"/>
  <c r="S85" i="4" s="1"/>
  <c r="S108" i="4" s="1"/>
  <c r="P18" i="4"/>
  <c r="P40" i="4"/>
  <c r="P63" i="4" s="1"/>
  <c r="P86" i="4" s="1"/>
  <c r="P109" i="4" s="1"/>
  <c r="R39" i="4"/>
  <c r="R62" i="4" s="1"/>
  <c r="R85" i="4" s="1"/>
  <c r="R108" i="4" s="1"/>
  <c r="R17" i="4"/>
  <c r="V17" i="4" s="1"/>
  <c r="Q39" i="4"/>
  <c r="Q62" i="4" s="1"/>
  <c r="Q85" i="4" s="1"/>
  <c r="Q108" i="4" s="1"/>
  <c r="Q17" i="4"/>
  <c r="Y39" i="4"/>
  <c r="U39" i="4"/>
  <c r="X39" i="4"/>
  <c r="W39" i="4"/>
  <c r="V39" i="4"/>
  <c r="U62" i="4"/>
  <c r="W62" i="4"/>
  <c r="Y62" i="4"/>
  <c r="V62" i="4"/>
  <c r="X62" i="4"/>
  <c r="Y108" i="4"/>
  <c r="U108" i="4"/>
  <c r="W108" i="4"/>
  <c r="X108" i="4"/>
  <c r="V108" i="4"/>
  <c r="V85" i="4"/>
  <c r="W85" i="4"/>
  <c r="X85" i="4"/>
  <c r="U85" i="4"/>
  <c r="Y85" i="4"/>
  <c r="AF37" i="4"/>
  <c r="AF60" i="4" s="1"/>
  <c r="AF83" i="4" s="1"/>
  <c r="AF106" i="4" s="1"/>
  <c r="AG37" i="4"/>
  <c r="AG60" i="4" s="1"/>
  <c r="AG83" i="4" s="1"/>
  <c r="AG106" i="4" s="1"/>
  <c r="AE37" i="4"/>
  <c r="AE60" i="4" s="1"/>
  <c r="AE83" i="4" s="1"/>
  <c r="AE106" i="4" s="1"/>
  <c r="AH37" i="4"/>
  <c r="AH60" i="4" s="1"/>
  <c r="AH83" i="4" s="1"/>
  <c r="AH106" i="4" s="1"/>
  <c r="AI37" i="4"/>
  <c r="AI60" i="4" s="1"/>
  <c r="AI83" i="4" s="1"/>
  <c r="AI106" i="4" s="1"/>
  <c r="AE38" i="4"/>
  <c r="AE61" i="4" s="1"/>
  <c r="AE84" i="4" s="1"/>
  <c r="AE107" i="4" s="1"/>
  <c r="AF38" i="4"/>
  <c r="AF61" i="4" s="1"/>
  <c r="AF84" i="4" s="1"/>
  <c r="AF107" i="4" s="1"/>
  <c r="AH38" i="4"/>
  <c r="AH61" i="4" s="1"/>
  <c r="AH84" i="4" s="1"/>
  <c r="AH107" i="4" s="1"/>
  <c r="AG38" i="4"/>
  <c r="AG61" i="4" s="1"/>
  <c r="AG84" i="4" s="1"/>
  <c r="AG107" i="4" s="1"/>
  <c r="AI38" i="4"/>
  <c r="AI61" i="4" s="1"/>
  <c r="AI84" i="4" s="1"/>
  <c r="AI107" i="4" s="1"/>
  <c r="AF34" i="4"/>
  <c r="AF57" i="4" s="1"/>
  <c r="AF80" i="4" s="1"/>
  <c r="AF103" i="4" s="1"/>
  <c r="AH34" i="4"/>
  <c r="AG34" i="4"/>
  <c r="AG57" i="4" s="1"/>
  <c r="AG80" i="4" s="1"/>
  <c r="AG103" i="4" s="1"/>
  <c r="AE34" i="4"/>
  <c r="AE57" i="4" s="1"/>
  <c r="AE80" i="4" s="1"/>
  <c r="AE103" i="4" s="1"/>
  <c r="AI34" i="4"/>
  <c r="AI57" i="4" s="1"/>
  <c r="AI80" i="4" s="1"/>
  <c r="AI103" i="4" s="1"/>
  <c r="AE29" i="4"/>
  <c r="AE52" i="4" s="1"/>
  <c r="AE75" i="4" s="1"/>
  <c r="AE98" i="4" s="1"/>
  <c r="AI29" i="4"/>
  <c r="AI52" i="4" s="1"/>
  <c r="AI75" i="4" s="1"/>
  <c r="AI98" i="4" s="1"/>
  <c r="AH29" i="4"/>
  <c r="AH52" i="4" s="1"/>
  <c r="AH75" i="4" s="1"/>
  <c r="AH98" i="4" s="1"/>
  <c r="AG29" i="4"/>
  <c r="AG52" i="4" s="1"/>
  <c r="AG75" i="4" s="1"/>
  <c r="AG98" i="4" s="1"/>
  <c r="AF29" i="4"/>
  <c r="AF52" i="4" s="1"/>
  <c r="AF75" i="4" s="1"/>
  <c r="AF98" i="4" s="1"/>
  <c r="AH30" i="4"/>
  <c r="AH53" i="4" s="1"/>
  <c r="AH76" i="4" s="1"/>
  <c r="AH99" i="4" s="1"/>
  <c r="AG30" i="4"/>
  <c r="AG53" i="4" s="1"/>
  <c r="AG76" i="4" s="1"/>
  <c r="AG99" i="4" s="1"/>
  <c r="AE30" i="4"/>
  <c r="AE53" i="4" s="1"/>
  <c r="AE76" i="4" s="1"/>
  <c r="AE99" i="4" s="1"/>
  <c r="AI30" i="4"/>
  <c r="AI53" i="4" s="1"/>
  <c r="AI76" i="4" s="1"/>
  <c r="AI99" i="4" s="1"/>
  <c r="AF30" i="4"/>
  <c r="AF53" i="4" s="1"/>
  <c r="AF76" i="4" s="1"/>
  <c r="AF99" i="4" s="1"/>
  <c r="AE32" i="4"/>
  <c r="AE55" i="4" s="1"/>
  <c r="AE78" i="4" s="1"/>
  <c r="AE101" i="4" s="1"/>
  <c r="AI32" i="4"/>
  <c r="AI55" i="4" s="1"/>
  <c r="AI78" i="4" s="1"/>
  <c r="AI101" i="4" s="1"/>
  <c r="AG32" i="4"/>
  <c r="AG55" i="4" s="1"/>
  <c r="AG78" i="4" s="1"/>
  <c r="AG101" i="4" s="1"/>
  <c r="AF32" i="4"/>
  <c r="AF55" i="4" s="1"/>
  <c r="AF78" i="4" s="1"/>
  <c r="AF101" i="4" s="1"/>
  <c r="AH32" i="4"/>
  <c r="AH55" i="4" s="1"/>
  <c r="AH78" i="4" s="1"/>
  <c r="AH101" i="4" s="1"/>
  <c r="AF33" i="4"/>
  <c r="AF56" i="4" s="1"/>
  <c r="AF79" i="4" s="1"/>
  <c r="AF102" i="4" s="1"/>
  <c r="AH33" i="4"/>
  <c r="AH56" i="4" s="1"/>
  <c r="AH79" i="4" s="1"/>
  <c r="AH102" i="4" s="1"/>
  <c r="AI33" i="4"/>
  <c r="AI56" i="4" s="1"/>
  <c r="AI79" i="4" s="1"/>
  <c r="AI102" i="4" s="1"/>
  <c r="AE33" i="4"/>
  <c r="AE56" i="4" s="1"/>
  <c r="AE79" i="4" s="1"/>
  <c r="AE102" i="4" s="1"/>
  <c r="AG33" i="4"/>
  <c r="AG56" i="4" s="1"/>
  <c r="AG79" i="4" s="1"/>
  <c r="AG102" i="4" s="1"/>
  <c r="AH31" i="4"/>
  <c r="AH54" i="4" s="1"/>
  <c r="AH77" i="4" s="1"/>
  <c r="AH100" i="4" s="1"/>
  <c r="AF31" i="4"/>
  <c r="AF54" i="4" s="1"/>
  <c r="AF77" i="4" s="1"/>
  <c r="AF100" i="4" s="1"/>
  <c r="AI31" i="4"/>
  <c r="AI54" i="4" s="1"/>
  <c r="AI77" i="4" s="1"/>
  <c r="AI100" i="4" s="1"/>
  <c r="AG31" i="4"/>
  <c r="AG54" i="4" s="1"/>
  <c r="AG77" i="4" s="1"/>
  <c r="AG100" i="4" s="1"/>
  <c r="AE31" i="4"/>
  <c r="AE54" i="4" s="1"/>
  <c r="AE77" i="4" s="1"/>
  <c r="AE100" i="4" s="1"/>
  <c r="AC38" i="4"/>
  <c r="AC61" i="4" s="1"/>
  <c r="AC84" i="4" s="1"/>
  <c r="AC107" i="4" s="1"/>
  <c r="AA31" i="4"/>
  <c r="AA54" i="4" s="1"/>
  <c r="AA77" i="4" s="1"/>
  <c r="AA100" i="4" s="1"/>
  <c r="AA32" i="4"/>
  <c r="AA55" i="4" s="1"/>
  <c r="AA78" i="4" s="1"/>
  <c r="AA101" i="4" s="1"/>
  <c r="AB33" i="4"/>
  <c r="AB56" i="4" s="1"/>
  <c r="AB79" i="4" s="1"/>
  <c r="AB102" i="4" s="1"/>
  <c r="V291" i="1"/>
  <c r="V289" i="1"/>
  <c r="U156" i="1"/>
  <c r="V87" i="1"/>
  <c r="T53" i="1"/>
  <c r="R278" i="1"/>
  <c r="S54" i="1"/>
  <c r="S35" i="1"/>
  <c r="R44" i="1"/>
  <c r="U339" i="1"/>
  <c r="U195" i="1"/>
  <c r="R268" i="1"/>
  <c r="U283" i="1"/>
  <c r="U172" i="1"/>
  <c r="R143" i="1"/>
  <c r="U65" i="1"/>
  <c r="R199" i="1"/>
  <c r="S181" i="1"/>
  <c r="T13" i="1"/>
  <c r="U295" i="1"/>
  <c r="U81" i="1"/>
  <c r="V274" i="1"/>
  <c r="S115" i="1"/>
  <c r="S56" i="1"/>
  <c r="T55" i="1"/>
  <c r="V220" i="1"/>
  <c r="T202" i="1"/>
  <c r="V86" i="1"/>
  <c r="S316" i="1"/>
  <c r="S137" i="1"/>
  <c r="R336" i="1"/>
  <c r="V335" i="1"/>
  <c r="V197" i="1"/>
  <c r="T184" i="1"/>
  <c r="R86" i="1"/>
  <c r="T335" i="1"/>
  <c r="U39" i="1"/>
  <c r="V212" i="1"/>
  <c r="V133" i="1"/>
  <c r="T227" i="1"/>
  <c r="U84" i="1"/>
  <c r="V80" i="1"/>
  <c r="U175" i="1"/>
  <c r="U328" i="1"/>
  <c r="R22" i="1"/>
  <c r="U332" i="1"/>
  <c r="S99" i="1"/>
  <c r="R62" i="1"/>
  <c r="R291" i="1"/>
  <c r="U7" i="1"/>
  <c r="R117" i="1"/>
  <c r="T327" i="1"/>
  <c r="U144" i="1"/>
  <c r="V271" i="1"/>
  <c r="R164" i="1"/>
  <c r="R35" i="1"/>
  <c r="T251" i="1"/>
  <c r="V213" i="1"/>
  <c r="S64" i="1"/>
  <c r="U273" i="1"/>
  <c r="R191" i="1"/>
  <c r="T98" i="1"/>
  <c r="V247" i="1"/>
  <c r="R226" i="1"/>
  <c r="S12" i="1"/>
  <c r="S251" i="1"/>
  <c r="V115" i="1"/>
  <c r="U286" i="1"/>
  <c r="T142" i="1"/>
  <c r="T132" i="1"/>
  <c r="U292" i="1"/>
  <c r="R310" i="1"/>
  <c r="U61" i="1"/>
  <c r="V269" i="1"/>
  <c r="S293" i="1"/>
  <c r="R287" i="1"/>
  <c r="U290" i="1"/>
  <c r="U56" i="1"/>
  <c r="R295" i="1"/>
  <c r="R100" i="1"/>
  <c r="S108" i="1"/>
  <c r="V248" i="1"/>
  <c r="V339" i="1"/>
  <c r="U63" i="1"/>
  <c r="U333" i="1"/>
  <c r="R10" i="1"/>
  <c r="R29" i="1"/>
  <c r="R109" i="1"/>
  <c r="T338" i="1"/>
  <c r="S142" i="1"/>
  <c r="V15" i="1"/>
  <c r="V102" i="1"/>
  <c r="T243" i="1"/>
  <c r="T248" i="1"/>
  <c r="S70" i="1"/>
  <c r="T157" i="1"/>
  <c r="S72" i="1"/>
  <c r="R347" i="1"/>
  <c r="S320" i="1"/>
  <c r="T213" i="1"/>
  <c r="S13" i="1"/>
  <c r="T195" i="1"/>
  <c r="V47" i="1"/>
  <c r="U316" i="1"/>
  <c r="U157" i="1"/>
  <c r="V52" i="1"/>
  <c r="S203" i="1"/>
  <c r="U359" i="1"/>
  <c r="V208" i="1"/>
  <c r="U185" i="1"/>
  <c r="S262" i="1"/>
  <c r="V352" i="1"/>
  <c r="V191" i="1"/>
  <c r="U104" i="1"/>
  <c r="T310" i="1"/>
  <c r="S355" i="1"/>
  <c r="V167" i="1"/>
  <c r="S71" i="1"/>
  <c r="U89" i="1"/>
  <c r="V327" i="1"/>
  <c r="U135" i="1"/>
  <c r="V192" i="1"/>
  <c r="U242" i="1"/>
  <c r="T78" i="1"/>
  <c r="T176" i="1"/>
  <c r="V89" i="1"/>
  <c r="T50" i="1"/>
  <c r="T252" i="1"/>
  <c r="V296" i="1"/>
  <c r="U230" i="1"/>
  <c r="S311" i="1"/>
  <c r="R323" i="1"/>
  <c r="S334" i="1"/>
  <c r="U301" i="1"/>
  <c r="U255" i="1"/>
  <c r="T216" i="1"/>
  <c r="R328" i="1"/>
  <c r="R225" i="1"/>
  <c r="T295" i="1"/>
  <c r="U33" i="1"/>
  <c r="V175" i="1"/>
  <c r="S127" i="1"/>
  <c r="U100" i="1"/>
  <c r="V149" i="1"/>
  <c r="V110" i="1"/>
  <c r="R282" i="1"/>
  <c r="U193" i="1"/>
  <c r="V311" i="1"/>
  <c r="S162" i="1"/>
  <c r="U212" i="1"/>
  <c r="R222" i="1"/>
  <c r="R208" i="1"/>
  <c r="U132" i="1"/>
  <c r="R27" i="1"/>
  <c r="S207" i="1"/>
  <c r="V302" i="1"/>
  <c r="R277" i="1"/>
  <c r="U313" i="1"/>
  <c r="V105" i="1"/>
  <c r="T245" i="1"/>
  <c r="S152" i="1"/>
  <c r="S261" i="1"/>
  <c r="U102" i="1"/>
  <c r="U228" i="1"/>
  <c r="T234" i="1"/>
  <c r="U263" i="1"/>
  <c r="V341" i="1"/>
  <c r="R49" i="1"/>
  <c r="U248" i="1"/>
  <c r="U351" i="1"/>
  <c r="V132" i="1"/>
  <c r="S138" i="1"/>
  <c r="V314" i="1"/>
  <c r="R203" i="1"/>
  <c r="V24" i="1"/>
  <c r="S139" i="1"/>
  <c r="U225" i="1"/>
  <c r="T106" i="1"/>
  <c r="R52" i="1"/>
  <c r="S36" i="1"/>
  <c r="U237" i="1"/>
  <c r="V96" i="1"/>
  <c r="S363" i="1"/>
  <c r="U232" i="1"/>
  <c r="T351" i="1"/>
  <c r="R26" i="1"/>
  <c r="U314" i="1"/>
  <c r="T185" i="1"/>
  <c r="U20" i="1"/>
  <c r="S248" i="1"/>
  <c r="S332" i="1"/>
  <c r="R178" i="1"/>
  <c r="T309" i="1"/>
  <c r="V277" i="1"/>
  <c r="R215" i="1"/>
  <c r="S194" i="1"/>
  <c r="U13" i="1"/>
  <c r="U64" i="1"/>
  <c r="V337" i="1"/>
  <c r="S285" i="1"/>
  <c r="U334" i="1"/>
  <c r="S220" i="1"/>
  <c r="U214" i="1"/>
  <c r="V255" i="1"/>
  <c r="T271" i="1"/>
  <c r="U21" i="1"/>
  <c r="V362" i="1"/>
  <c r="T289" i="1"/>
  <c r="T316" i="1"/>
  <c r="S346" i="1"/>
  <c r="R309" i="1"/>
  <c r="V201" i="1"/>
  <c r="U121" i="1"/>
  <c r="S183" i="1"/>
  <c r="S192" i="1"/>
  <c r="V304" i="1"/>
  <c r="S258" i="1"/>
  <c r="R317" i="1"/>
  <c r="U47" i="1"/>
  <c r="R220" i="1"/>
  <c r="R137" i="1"/>
  <c r="R308" i="1"/>
  <c r="V145" i="1"/>
  <c r="S303" i="1"/>
  <c r="T178" i="1"/>
  <c r="S107" i="1"/>
  <c r="R16" i="1"/>
  <c r="U326" i="1"/>
  <c r="T51" i="1"/>
  <c r="V223" i="1"/>
  <c r="V328" i="1"/>
  <c r="S244" i="1"/>
  <c r="R238" i="1"/>
  <c r="S189" i="1"/>
  <c r="V90" i="1"/>
  <c r="V112" i="1"/>
  <c r="V14" i="1"/>
  <c r="T266" i="1"/>
  <c r="U348" i="1"/>
  <c r="V43" i="1"/>
  <c r="U310" i="1"/>
  <c r="U106" i="1"/>
  <c r="U4" i="1"/>
  <c r="R31" i="1"/>
  <c r="V31" i="1"/>
  <c r="R36" i="1"/>
  <c r="T121" i="1"/>
  <c r="R187" i="1"/>
  <c r="S167" i="1"/>
  <c r="T239" i="1"/>
  <c r="V49" i="1"/>
  <c r="U265" i="1"/>
  <c r="R15" i="1"/>
  <c r="V81" i="1"/>
  <c r="S151" i="1"/>
  <c r="T308" i="1"/>
  <c r="R147" i="1"/>
  <c r="U282" i="1"/>
  <c r="U151" i="1"/>
  <c r="V301" i="1"/>
  <c r="T223" i="1"/>
  <c r="T26" i="1"/>
  <c r="U165" i="1"/>
  <c r="R228" i="1"/>
  <c r="S256" i="1"/>
  <c r="V265" i="1"/>
  <c r="T25" i="1"/>
  <c r="T166" i="1"/>
  <c r="V343" i="1"/>
  <c r="V270" i="1"/>
  <c r="V210" i="1"/>
  <c r="V273" i="1"/>
  <c r="V30" i="1"/>
  <c r="R124" i="1"/>
  <c r="R94" i="1"/>
  <c r="T82" i="1"/>
  <c r="U307" i="1"/>
  <c r="V204" i="1"/>
  <c r="R357" i="1"/>
  <c r="R43" i="1"/>
  <c r="S260" i="1"/>
  <c r="V303" i="1"/>
  <c r="R363" i="1"/>
  <c r="R313" i="1"/>
  <c r="S193" i="1"/>
  <c r="S121" i="1"/>
  <c r="R106" i="1"/>
  <c r="R354" i="1"/>
  <c r="V55" i="1"/>
  <c r="V134" i="1"/>
  <c r="V6" i="1"/>
  <c r="T303" i="1"/>
  <c r="T329" i="1"/>
  <c r="S6" i="1"/>
  <c r="V219" i="1"/>
  <c r="R42" i="1"/>
  <c r="T80" i="1"/>
  <c r="U269" i="1"/>
  <c r="T358" i="1"/>
  <c r="S190" i="1"/>
  <c r="S42" i="1"/>
  <c r="R249" i="1"/>
  <c r="R200" i="1"/>
  <c r="V258" i="1"/>
  <c r="R165" i="1"/>
  <c r="R85" i="1"/>
  <c r="V353" i="1"/>
  <c r="R14" i="1"/>
  <c r="U356" i="1"/>
  <c r="T210" i="1"/>
  <c r="V45" i="1"/>
  <c r="U298" i="1"/>
  <c r="R45" i="1"/>
  <c r="U45" i="1"/>
  <c r="V141" i="1"/>
  <c r="S187" i="1"/>
  <c r="V92" i="1"/>
  <c r="V33" i="1"/>
  <c r="V250" i="1"/>
  <c r="V254" i="1"/>
  <c r="R23" i="1"/>
  <c r="S200" i="1"/>
  <c r="S298" i="1"/>
  <c r="U138" i="1"/>
  <c r="U86" i="1"/>
  <c r="V347" i="1"/>
  <c r="S75" i="1"/>
  <c r="S87" i="1"/>
  <c r="S326" i="1"/>
  <c r="S281" i="1"/>
  <c r="V331" i="1"/>
  <c r="V4" i="1"/>
  <c r="U205" i="1"/>
  <c r="R144" i="1"/>
  <c r="S201" i="1"/>
  <c r="U345" i="1"/>
  <c r="T356" i="1"/>
  <c r="T171" i="1"/>
  <c r="V203" i="1"/>
  <c r="S29" i="1"/>
  <c r="R119" i="1"/>
  <c r="T48" i="1"/>
  <c r="V168" i="1"/>
  <c r="U338" i="1"/>
  <c r="V185" i="1"/>
  <c r="T320" i="1"/>
  <c r="T261" i="1"/>
  <c r="R170" i="1"/>
  <c r="V155" i="1"/>
  <c r="U349" i="1"/>
  <c r="V181" i="1"/>
  <c r="R223" i="1"/>
  <c r="T123" i="1"/>
  <c r="R297" i="1"/>
  <c r="T135" i="1"/>
  <c r="R171" i="1"/>
  <c r="S111" i="1"/>
  <c r="U181" i="1"/>
  <c r="R250" i="1"/>
  <c r="R275" i="1"/>
  <c r="V156" i="1"/>
  <c r="U148" i="1"/>
  <c r="V95" i="1"/>
  <c r="R311" i="1"/>
  <c r="T361" i="1"/>
  <c r="U288" i="1"/>
  <c r="R64" i="1"/>
  <c r="T153" i="1"/>
  <c r="R174" i="1"/>
  <c r="S212" i="1"/>
  <c r="S65" i="1"/>
  <c r="T127" i="1"/>
  <c r="S25" i="1"/>
  <c r="R358" i="1"/>
  <c r="U258" i="1"/>
  <c r="R296" i="1"/>
  <c r="R181" i="1"/>
  <c r="T60" i="1"/>
  <c r="S102" i="1"/>
  <c r="R305" i="1"/>
  <c r="V177" i="1"/>
  <c r="R247" i="1"/>
  <c r="T105" i="1"/>
  <c r="U133" i="1"/>
  <c r="V324" i="1"/>
  <c r="T177" i="1"/>
  <c r="U216" i="1"/>
  <c r="R111" i="1"/>
  <c r="S28" i="1"/>
  <c r="T140" i="1"/>
  <c r="S276" i="1"/>
  <c r="R51" i="1"/>
  <c r="R176" i="1"/>
  <c r="U37" i="1"/>
  <c r="R136" i="1"/>
  <c r="V135" i="1"/>
  <c r="U294" i="1"/>
  <c r="U226" i="1"/>
  <c r="S141" i="1"/>
  <c r="U280" i="1"/>
  <c r="S148" i="1"/>
  <c r="U29" i="1"/>
  <c r="T250" i="1"/>
  <c r="U101" i="1"/>
  <c r="U210" i="1"/>
  <c r="T38" i="1"/>
  <c r="R184" i="1"/>
  <c r="S227" i="1"/>
  <c r="V361" i="1"/>
  <c r="V200" i="1"/>
  <c r="V139" i="1"/>
  <c r="S254" i="1"/>
  <c r="V21" i="1"/>
  <c r="T253" i="1"/>
  <c r="T149" i="1"/>
  <c r="R333" i="1"/>
  <c r="U335" i="1"/>
  <c r="R259" i="1"/>
  <c r="S21" i="1"/>
  <c r="S247" i="1"/>
  <c r="U363" i="1"/>
  <c r="V174" i="1"/>
  <c r="S83" i="1"/>
  <c r="T288" i="1"/>
  <c r="R125" i="1"/>
  <c r="S348" i="1"/>
  <c r="S325" i="1"/>
  <c r="U353" i="1"/>
  <c r="U179" i="1"/>
  <c r="R156" i="1"/>
  <c r="S294" i="1"/>
  <c r="V263" i="1"/>
  <c r="T256" i="1"/>
  <c r="S124" i="1"/>
  <c r="T340" i="1"/>
  <c r="U304" i="1"/>
  <c r="T209" i="1"/>
  <c r="V360" i="1"/>
  <c r="V295" i="1"/>
  <c r="T7" i="1"/>
  <c r="S168" i="1"/>
  <c r="T229" i="1"/>
  <c r="T54" i="1"/>
  <c r="S329" i="1"/>
  <c r="V189" i="1"/>
  <c r="U158" i="1"/>
  <c r="S122" i="1"/>
  <c r="R118" i="1"/>
  <c r="S150" i="1"/>
  <c r="S57" i="1"/>
  <c r="R87" i="1"/>
  <c r="U27" i="1"/>
  <c r="U139" i="1"/>
  <c r="S296" i="1"/>
  <c r="R33" i="1"/>
  <c r="T321" i="1"/>
  <c r="T262" i="1"/>
  <c r="S134" i="1"/>
  <c r="U91" i="1"/>
  <c r="U308" i="1"/>
  <c r="T204" i="1"/>
  <c r="U83" i="1"/>
  <c r="V171" i="1"/>
  <c r="R186" i="1"/>
  <c r="S140" i="1"/>
  <c r="U336" i="1"/>
  <c r="U107" i="1"/>
  <c r="V106" i="1"/>
  <c r="V237" i="1"/>
  <c r="R298" i="1"/>
  <c r="T259" i="1"/>
  <c r="T130" i="1"/>
  <c r="R255" i="1"/>
  <c r="U180" i="1"/>
  <c r="U159" i="1"/>
  <c r="U174" i="1"/>
  <c r="S359" i="1"/>
  <c r="T9" i="1"/>
  <c r="T249" i="1"/>
  <c r="U112" i="1"/>
  <c r="V68" i="1"/>
  <c r="T179" i="1"/>
  <c r="U126" i="1"/>
  <c r="U166" i="1"/>
  <c r="T306" i="1"/>
  <c r="S34" i="1"/>
  <c r="T290" i="1"/>
  <c r="R24" i="1"/>
  <c r="R257" i="1"/>
  <c r="S132" i="1"/>
  <c r="S93" i="1"/>
  <c r="U90" i="1"/>
  <c r="T28" i="1"/>
  <c r="V25" i="1"/>
  <c r="S297" i="1"/>
  <c r="R314" i="1"/>
  <c r="T118" i="1"/>
  <c r="U41" i="1"/>
  <c r="V51" i="1"/>
  <c r="T162" i="1"/>
  <c r="V243" i="1"/>
  <c r="S318" i="1"/>
  <c r="S86" i="1"/>
  <c r="R235" i="1"/>
  <c r="V231" i="1"/>
  <c r="U177" i="1"/>
  <c r="U346" i="1"/>
  <c r="U362" i="1"/>
  <c r="V60" i="1"/>
  <c r="V99" i="1"/>
  <c r="R335" i="1"/>
  <c r="U127" i="1"/>
  <c r="T23" i="1"/>
  <c r="T333" i="1"/>
  <c r="R32" i="1"/>
  <c r="R179" i="1"/>
  <c r="S202" i="1"/>
  <c r="V85" i="1"/>
  <c r="T173" i="1"/>
  <c r="V78" i="1"/>
  <c r="T221" i="1"/>
  <c r="T156" i="1"/>
  <c r="V46" i="1"/>
  <c r="R244" i="1"/>
  <c r="U188" i="1"/>
  <c r="U11" i="1"/>
  <c r="S265" i="1"/>
  <c r="T152" i="1"/>
  <c r="S80" i="1"/>
  <c r="S98" i="1"/>
  <c r="R149" i="1"/>
  <c r="S221" i="1"/>
  <c r="U88" i="1"/>
  <c r="R72" i="1"/>
  <c r="S360" i="1"/>
  <c r="T109" i="1"/>
  <c r="S81" i="1"/>
  <c r="V83" i="1"/>
  <c r="V107" i="1"/>
  <c r="T63" i="1"/>
  <c r="R315" i="1"/>
  <c r="S241" i="1"/>
  <c r="V18" i="1"/>
  <c r="R214" i="1"/>
  <c r="V350" i="1"/>
  <c r="U8" i="1"/>
  <c r="S16" i="1"/>
  <c r="U6" i="1"/>
  <c r="T272" i="1"/>
  <c r="T39" i="1"/>
  <c r="V198" i="1"/>
  <c r="R210" i="1"/>
  <c r="T84" i="1"/>
  <c r="U224" i="1"/>
  <c r="U347" i="1"/>
  <c r="U46" i="1"/>
  <c r="S47" i="1"/>
  <c r="U305" i="1"/>
  <c r="R337" i="1"/>
  <c r="R352" i="1"/>
  <c r="S73" i="1"/>
  <c r="U142" i="1"/>
  <c r="T141" i="1"/>
  <c r="U73" i="1"/>
  <c r="S175" i="1"/>
  <c r="T233" i="1"/>
  <c r="T315" i="1"/>
  <c r="R81" i="1"/>
  <c r="S76" i="1"/>
  <c r="T199" i="1"/>
  <c r="T220" i="1"/>
  <c r="V172" i="1"/>
  <c r="S243" i="1"/>
  <c r="R234" i="1"/>
  <c r="S230" i="1"/>
  <c r="S224" i="1"/>
  <c r="V119" i="1"/>
  <c r="R267" i="1"/>
  <c r="V125" i="1"/>
  <c r="R129" i="1"/>
  <c r="S104" i="1"/>
  <c r="V249" i="1"/>
  <c r="V91" i="1"/>
  <c r="U36" i="1"/>
  <c r="U15" i="1"/>
  <c r="S288" i="1"/>
  <c r="U322" i="1"/>
  <c r="R8" i="1"/>
  <c r="U30" i="1"/>
  <c r="U190" i="1"/>
  <c r="R39" i="1"/>
  <c r="T312" i="1"/>
  <c r="R9" i="1"/>
  <c r="U231" i="1"/>
  <c r="S351" i="1"/>
  <c r="T126" i="1"/>
  <c r="R66" i="1"/>
  <c r="S357" i="1"/>
  <c r="U360" i="1"/>
  <c r="V312" i="1"/>
  <c r="S159" i="1"/>
  <c r="S22" i="1"/>
  <c r="T61" i="1"/>
  <c r="S286" i="1"/>
  <c r="T133" i="1"/>
  <c r="V345" i="1"/>
  <c r="V176" i="1"/>
  <c r="R92" i="1"/>
  <c r="T224" i="1"/>
  <c r="T238" i="1"/>
  <c r="R162" i="1"/>
  <c r="T337" i="1"/>
  <c r="U122" i="1"/>
  <c r="R330" i="1"/>
  <c r="V282" i="1"/>
  <c r="T285" i="1"/>
  <c r="V151" i="1"/>
  <c r="S160" i="1"/>
  <c r="S216" i="1"/>
  <c r="T124" i="1"/>
  <c r="U213" i="1"/>
  <c r="U251" i="1"/>
  <c r="R261" i="1"/>
  <c r="V16" i="1"/>
  <c r="R256" i="1"/>
  <c r="S246" i="1"/>
  <c r="U319" i="1"/>
  <c r="R150" i="1"/>
  <c r="V79" i="1"/>
  <c r="U243" i="1"/>
  <c r="V199" i="1"/>
  <c r="R324" i="1"/>
  <c r="V276" i="1"/>
  <c r="U324" i="1"/>
  <c r="T222" i="1"/>
  <c r="T103" i="1"/>
  <c r="S174" i="1"/>
  <c r="V320" i="1"/>
  <c r="R133" i="1"/>
  <c r="V104" i="1"/>
  <c r="T168" i="1"/>
  <c r="S312" i="1"/>
  <c r="R61" i="1"/>
  <c r="U97" i="1"/>
  <c r="R76" i="1"/>
  <c r="T273" i="1"/>
  <c r="V259" i="1"/>
  <c r="R190" i="1"/>
  <c r="U150" i="1"/>
  <c r="S344" i="1"/>
  <c r="R272" i="1"/>
  <c r="V317" i="1"/>
  <c r="S231" i="1"/>
  <c r="U80" i="1"/>
  <c r="R60" i="1"/>
  <c r="V121" i="1"/>
  <c r="R198" i="1"/>
  <c r="S157" i="1"/>
  <c r="V39" i="1"/>
  <c r="S345" i="1"/>
  <c r="T301" i="1"/>
  <c r="U261" i="1"/>
  <c r="U119" i="1"/>
  <c r="S324" i="1"/>
  <c r="T147" i="1"/>
  <c r="S170" i="1"/>
  <c r="T4" i="1"/>
  <c r="R344" i="1"/>
  <c r="T347" i="1"/>
  <c r="R348" i="1"/>
  <c r="V66" i="1"/>
  <c r="S196" i="1"/>
  <c r="R341" i="1"/>
  <c r="S163" i="1"/>
  <c r="V285" i="1"/>
  <c r="U55" i="1"/>
  <c r="T307" i="1"/>
  <c r="S82" i="1"/>
  <c r="U296" i="1"/>
  <c r="U233" i="1"/>
  <c r="T275" i="1"/>
  <c r="V158" i="1"/>
  <c r="V19" i="1"/>
  <c r="R270" i="1"/>
  <c r="S319" i="1"/>
  <c r="T24" i="1"/>
  <c r="T79" i="1"/>
  <c r="S301" i="1"/>
  <c r="U317" i="1"/>
  <c r="R17" i="1"/>
  <c r="R361" i="1"/>
  <c r="T237" i="1"/>
  <c r="R195" i="1"/>
  <c r="R294" i="1"/>
  <c r="V129" i="1"/>
  <c r="V202" i="1"/>
  <c r="U297" i="1"/>
  <c r="R334" i="1"/>
  <c r="T317" i="1"/>
  <c r="S123" i="1"/>
  <c r="R301" i="1"/>
  <c r="U32" i="1"/>
  <c r="T257" i="1"/>
  <c r="R69" i="1"/>
  <c r="T318" i="1"/>
  <c r="S226" i="1"/>
  <c r="S225" i="1"/>
  <c r="R312" i="1"/>
  <c r="V29" i="1"/>
  <c r="S169" i="1"/>
  <c r="T144" i="1"/>
  <c r="U272" i="1"/>
  <c r="S27" i="1"/>
  <c r="S172" i="1"/>
  <c r="S354" i="1"/>
  <c r="R252" i="1"/>
  <c r="U53" i="1"/>
  <c r="V183" i="1"/>
  <c r="R159" i="1"/>
  <c r="V153" i="1"/>
  <c r="V246" i="1"/>
  <c r="S343" i="1"/>
  <c r="V216" i="1"/>
  <c r="R153" i="1"/>
  <c r="R112" i="1"/>
  <c r="S30" i="1"/>
  <c r="U123" i="1"/>
  <c r="V334" i="1"/>
  <c r="U19" i="1"/>
  <c r="V72" i="1"/>
  <c r="R115" i="1"/>
  <c r="T174" i="1"/>
  <c r="T170" i="1"/>
  <c r="R300" i="1"/>
  <c r="U184" i="1"/>
  <c r="U276" i="1"/>
  <c r="R38" i="1"/>
  <c r="V293" i="1"/>
  <c r="R338" i="1"/>
  <c r="S74" i="1"/>
  <c r="R304" i="1"/>
  <c r="T42" i="1"/>
  <c r="U120" i="1"/>
  <c r="V40" i="1"/>
  <c r="U187" i="1"/>
  <c r="V306" i="1"/>
  <c r="U146" i="1"/>
  <c r="V61" i="1"/>
  <c r="R241" i="1"/>
  <c r="S84" i="1"/>
  <c r="U219" i="1"/>
  <c r="U198" i="1"/>
  <c r="U69" i="1"/>
  <c r="S279" i="1"/>
  <c r="S238" i="1"/>
  <c r="T150" i="1"/>
  <c r="T203" i="1"/>
  <c r="T268" i="1"/>
  <c r="R303" i="1"/>
  <c r="R103" i="1"/>
  <c r="R55" i="1"/>
  <c r="V340" i="1"/>
  <c r="S51" i="1"/>
  <c r="V279" i="1"/>
  <c r="T64" i="1"/>
  <c r="R319" i="1"/>
  <c r="U267" i="1"/>
  <c r="S100" i="1"/>
  <c r="V222" i="1"/>
  <c r="T160" i="1"/>
  <c r="U337" i="1"/>
  <c r="R20" i="1"/>
  <c r="V233" i="1"/>
  <c r="R243" i="1"/>
  <c r="R172" i="1"/>
  <c r="S130" i="1"/>
  <c r="T345" i="1"/>
  <c r="S90" i="1"/>
  <c r="V333" i="1"/>
  <c r="T104" i="1"/>
  <c r="R145" i="1"/>
  <c r="V32" i="1"/>
  <c r="U136" i="1"/>
  <c r="U291" i="1"/>
  <c r="U357" i="1"/>
  <c r="R246" i="1"/>
  <c r="V148" i="1"/>
  <c r="U343" i="1"/>
  <c r="V150" i="1"/>
  <c r="V173" i="1"/>
  <c r="V38" i="1"/>
  <c r="U76" i="1"/>
  <c r="U293" i="1"/>
  <c r="U196" i="1"/>
  <c r="U111" i="1"/>
  <c r="S144" i="1"/>
  <c r="V169" i="1"/>
  <c r="S48" i="1"/>
  <c r="V358" i="1"/>
  <c r="T76" i="1"/>
  <c r="T52" i="1"/>
  <c r="U241" i="1"/>
  <c r="V268" i="1"/>
  <c r="S199" i="1"/>
  <c r="S68" i="1"/>
  <c r="S128" i="1"/>
  <c r="R239" i="1"/>
  <c r="U275" i="1"/>
  <c r="U92" i="1"/>
  <c r="T319" i="1"/>
  <c r="T56" i="1"/>
  <c r="S333" i="1"/>
  <c r="R151" i="1"/>
  <c r="R126" i="1"/>
  <c r="V194" i="1"/>
  <c r="R113" i="1"/>
  <c r="V127" i="1"/>
  <c r="T43" i="1"/>
  <c r="U270" i="1"/>
  <c r="T36" i="1"/>
  <c r="R342" i="1"/>
  <c r="R253" i="1"/>
  <c r="V166" i="1"/>
  <c r="T323" i="1"/>
  <c r="U31" i="1"/>
  <c r="R288" i="1"/>
  <c r="U281" i="1"/>
  <c r="T115" i="1"/>
  <c r="U176" i="1"/>
  <c r="S270" i="1"/>
  <c r="T108" i="1"/>
  <c r="T291" i="1"/>
  <c r="T311" i="1"/>
  <c r="T284" i="1"/>
  <c r="S219" i="1"/>
  <c r="T276" i="1"/>
  <c r="T8" i="1"/>
  <c r="T120" i="1"/>
  <c r="U16" i="1"/>
  <c r="S156" i="1"/>
  <c r="R90" i="1"/>
  <c r="R227" i="1"/>
  <c r="U10" i="1"/>
  <c r="V143" i="1"/>
  <c r="U18" i="1"/>
  <c r="V7" i="1"/>
  <c r="T331" i="1"/>
  <c r="S20" i="1"/>
  <c r="U109" i="1"/>
  <c r="U17" i="1"/>
  <c r="R325" i="1"/>
  <c r="U34" i="1"/>
  <c r="S103" i="1"/>
  <c r="V50" i="1"/>
  <c r="V187" i="1"/>
  <c r="V162" i="1"/>
  <c r="U49" i="1"/>
  <c r="U208" i="1"/>
  <c r="T302" i="1"/>
  <c r="S252" i="1"/>
  <c r="T269" i="1"/>
  <c r="V218" i="1"/>
  <c r="T336" i="1"/>
  <c r="T326" i="1"/>
  <c r="V56" i="1"/>
  <c r="U60" i="1"/>
  <c r="R56" i="1"/>
  <c r="S180" i="1"/>
  <c r="U57" i="1"/>
  <c r="R286" i="1"/>
  <c r="V188" i="1"/>
  <c r="U113" i="1"/>
  <c r="T71" i="1"/>
  <c r="T175" i="1"/>
  <c r="R206" i="1"/>
  <c r="U154" i="1"/>
  <c r="T81" i="1"/>
  <c r="T66" i="1"/>
  <c r="R332" i="1"/>
  <c r="U134" i="1"/>
  <c r="U182" i="1"/>
  <c r="V266" i="1"/>
  <c r="R224" i="1"/>
  <c r="U321" i="1"/>
  <c r="U161" i="1"/>
  <c r="U164" i="1"/>
  <c r="S39" i="1"/>
  <c r="V355" i="1"/>
  <c r="V300" i="1"/>
  <c r="R139" i="1"/>
  <c r="T215" i="1"/>
  <c r="V239" i="1"/>
  <c r="S299" i="1"/>
  <c r="T352" i="1"/>
  <c r="S249" i="1"/>
  <c r="T151" i="1"/>
  <c r="V349" i="1"/>
  <c r="T232" i="1"/>
  <c r="R77" i="1"/>
  <c r="R213" i="1"/>
  <c r="S18" i="1"/>
  <c r="U77" i="1"/>
  <c r="U68" i="1"/>
  <c r="V308" i="1"/>
  <c r="T325" i="1"/>
  <c r="U170" i="1"/>
  <c r="R37" i="1"/>
  <c r="R258" i="1"/>
  <c r="R306" i="1"/>
  <c r="U218" i="1"/>
  <c r="R93" i="1"/>
  <c r="T16" i="1"/>
  <c r="R320" i="1"/>
  <c r="V256" i="1"/>
  <c r="V113" i="1"/>
  <c r="U329" i="1"/>
  <c r="U330" i="1"/>
  <c r="U145" i="1"/>
  <c r="S289" i="1"/>
  <c r="T154" i="1"/>
  <c r="S176" i="1"/>
  <c r="V241" i="1"/>
  <c r="R71" i="1"/>
  <c r="R78" i="1"/>
  <c r="V82" i="1"/>
  <c r="V42" i="1"/>
  <c r="R169" i="1"/>
  <c r="S211" i="1"/>
  <c r="V229" i="1"/>
  <c r="S15" i="1"/>
  <c r="S155" i="1"/>
  <c r="U266" i="1"/>
  <c r="R260" i="1"/>
  <c r="V98" i="1"/>
  <c r="V179" i="1"/>
  <c r="R158" i="1"/>
  <c r="S305" i="1"/>
  <c r="T196" i="1"/>
  <c r="T186" i="1"/>
  <c r="U253" i="1"/>
  <c r="S143" i="1"/>
  <c r="S114" i="1"/>
  <c r="T246" i="1"/>
  <c r="U62" i="1"/>
  <c r="U124" i="1"/>
  <c r="U235" i="1"/>
  <c r="U167" i="1"/>
  <c r="R345" i="1"/>
  <c r="T282" i="1"/>
  <c r="R40" i="1"/>
  <c r="S26" i="1"/>
  <c r="T148" i="1"/>
  <c r="U110" i="1"/>
  <c r="S177" i="1"/>
  <c r="S269" i="1"/>
  <c r="U38" i="1"/>
  <c r="U114" i="1"/>
  <c r="V354" i="1"/>
  <c r="U14" i="1"/>
  <c r="S263" i="1"/>
  <c r="S164" i="1"/>
  <c r="U238" i="1"/>
  <c r="U192" i="1"/>
  <c r="V261" i="1"/>
  <c r="R211" i="1"/>
  <c r="T27" i="1"/>
  <c r="R67" i="1"/>
  <c r="T73" i="1"/>
  <c r="U236" i="1"/>
  <c r="U217" i="1"/>
  <c r="V342" i="1"/>
  <c r="U239" i="1"/>
  <c r="U254" i="1"/>
  <c r="T47" i="1"/>
  <c r="S232" i="1"/>
  <c r="R80" i="1"/>
  <c r="S52" i="1"/>
  <c r="S208" i="1"/>
  <c r="S10" i="1"/>
  <c r="U206" i="1"/>
  <c r="V8" i="1"/>
  <c r="T40" i="1"/>
  <c r="R240" i="1"/>
  <c r="R96" i="1"/>
  <c r="S234" i="1"/>
  <c r="U70" i="1"/>
  <c r="T341" i="1"/>
  <c r="T57" i="1"/>
  <c r="S358" i="1"/>
  <c r="R193" i="1"/>
  <c r="V224" i="1"/>
  <c r="T354" i="1"/>
  <c r="R302" i="1"/>
  <c r="U234" i="1"/>
  <c r="S223" i="1"/>
  <c r="U82" i="1"/>
  <c r="R97" i="1"/>
  <c r="V67" i="1"/>
  <c r="T44" i="1"/>
  <c r="T346" i="1"/>
  <c r="V321" i="1"/>
  <c r="T206" i="1"/>
  <c r="T75" i="1"/>
  <c r="S240" i="1"/>
  <c r="S292" i="1"/>
  <c r="S287" i="1"/>
  <c r="S101" i="1"/>
  <c r="V37" i="1"/>
  <c r="T17" i="1"/>
  <c r="V253" i="1"/>
  <c r="T280" i="1"/>
  <c r="S46" i="1"/>
  <c r="S197" i="1"/>
  <c r="U105" i="1"/>
  <c r="R121" i="1"/>
  <c r="V28" i="1"/>
  <c r="U203" i="1"/>
  <c r="R316" i="1"/>
  <c r="S113" i="1"/>
  <c r="R28" i="1"/>
  <c r="U94" i="1"/>
  <c r="V305" i="1"/>
  <c r="S309" i="1"/>
  <c r="T330" i="1"/>
  <c r="R327" i="1"/>
  <c r="S110" i="1"/>
  <c r="U116" i="1"/>
  <c r="R201" i="1"/>
  <c r="T101" i="1"/>
  <c r="R108" i="1"/>
  <c r="S257" i="1"/>
  <c r="V238" i="1"/>
  <c r="S182" i="1"/>
  <c r="T343" i="1"/>
  <c r="T182" i="1"/>
  <c r="S119" i="1"/>
  <c r="U186" i="1"/>
  <c r="V54" i="1"/>
  <c r="S337" i="1"/>
  <c r="V287" i="1"/>
  <c r="S250" i="1"/>
  <c r="T247" i="1"/>
  <c r="U331" i="1"/>
  <c r="S278" i="1"/>
  <c r="R161" i="1"/>
  <c r="U183" i="1"/>
  <c r="R47" i="1"/>
  <c r="S50" i="1"/>
  <c r="T70" i="1"/>
  <c r="U75" i="1"/>
  <c r="R204" i="1"/>
  <c r="T155" i="1"/>
  <c r="U229" i="1"/>
  <c r="S339" i="1"/>
  <c r="U306" i="1"/>
  <c r="V59" i="1"/>
  <c r="S38" i="1"/>
  <c r="R318" i="1"/>
  <c r="U318" i="1"/>
  <c r="T95" i="1"/>
  <c r="U171" i="1"/>
  <c r="V58" i="1"/>
  <c r="U289" i="1"/>
  <c r="R349" i="1"/>
  <c r="S274" i="1"/>
  <c r="U12" i="1"/>
  <c r="V48" i="1"/>
  <c r="S321" i="1"/>
  <c r="V186" i="1"/>
  <c r="S165" i="1"/>
  <c r="T201" i="1"/>
  <c r="T100" i="1"/>
  <c r="T332" i="1"/>
  <c r="S198" i="1"/>
  <c r="T59" i="1"/>
  <c r="R207" i="1"/>
  <c r="T305" i="1"/>
  <c r="R70" i="1"/>
  <c r="U48" i="1"/>
  <c r="V344" i="1"/>
  <c r="S24" i="1"/>
  <c r="S209" i="1"/>
  <c r="S283" i="1"/>
  <c r="U202" i="1"/>
  <c r="U312" i="1"/>
  <c r="U211" i="1"/>
  <c r="T207" i="1"/>
  <c r="R263" i="1"/>
  <c r="V136" i="1"/>
  <c r="U117" i="1"/>
  <c r="T65" i="1"/>
  <c r="S78" i="1"/>
  <c r="U78" i="1"/>
  <c r="S135" i="1"/>
  <c r="V316" i="1"/>
  <c r="S43" i="1"/>
  <c r="T86" i="1"/>
  <c r="R219" i="1"/>
  <c r="S55" i="1"/>
  <c r="R192" i="1"/>
  <c r="T33" i="1"/>
  <c r="U118" i="1"/>
  <c r="R281" i="1"/>
  <c r="T88" i="1"/>
  <c r="R322" i="1"/>
  <c r="S341" i="1"/>
  <c r="T349" i="1"/>
  <c r="S336" i="1"/>
  <c r="R116" i="1"/>
  <c r="V245" i="1"/>
  <c r="T217" i="1"/>
  <c r="V182" i="1"/>
  <c r="R120" i="1"/>
  <c r="S310" i="1"/>
  <c r="V124" i="1"/>
  <c r="S317" i="1"/>
  <c r="R242" i="1"/>
  <c r="R289" i="1"/>
  <c r="S323" i="1"/>
  <c r="R276" i="1"/>
  <c r="T187" i="1"/>
  <c r="U128" i="1"/>
  <c r="V130" i="1"/>
  <c r="T260" i="1"/>
  <c r="S352" i="1"/>
  <c r="R122" i="1"/>
  <c r="V281" i="1"/>
  <c r="T29" i="1"/>
  <c r="T362" i="1"/>
  <c r="T89" i="1"/>
  <c r="U115" i="1"/>
  <c r="R7" i="1"/>
  <c r="R88" i="1"/>
  <c r="S60" i="1"/>
  <c r="T214" i="1"/>
  <c r="T58" i="1"/>
  <c r="R50" i="1"/>
  <c r="V351" i="1"/>
  <c r="V146" i="1"/>
  <c r="T11" i="1"/>
  <c r="U137" i="1"/>
  <c r="V144" i="1"/>
  <c r="U354" i="1"/>
  <c r="S112" i="1"/>
  <c r="V207" i="1"/>
  <c r="U361" i="1"/>
  <c r="S178" i="1"/>
  <c r="S280" i="1"/>
  <c r="R59" i="1"/>
  <c r="T102" i="1"/>
  <c r="R236" i="1"/>
  <c r="R284" i="1"/>
  <c r="U194" i="1"/>
  <c r="R355" i="1"/>
  <c r="V240" i="1"/>
  <c r="R65" i="1"/>
  <c r="T37" i="1"/>
  <c r="T277" i="1"/>
  <c r="V214" i="1"/>
  <c r="S33" i="1"/>
  <c r="T159" i="1"/>
  <c r="V165" i="1"/>
  <c r="S126" i="1"/>
  <c r="T91" i="1"/>
  <c r="S4" i="1"/>
  <c r="S158" i="1"/>
  <c r="R329" i="1"/>
  <c r="U285" i="1"/>
  <c r="R264" i="1"/>
  <c r="S307" i="1"/>
  <c r="U244" i="1"/>
  <c r="S67" i="1"/>
  <c r="V298" i="1"/>
  <c r="S304" i="1"/>
  <c r="S185" i="1"/>
  <c r="V73" i="1"/>
  <c r="U350" i="1"/>
  <c r="S302" i="1"/>
  <c r="U259" i="1"/>
  <c r="U240" i="1"/>
  <c r="T357" i="1"/>
  <c r="R343" i="1"/>
  <c r="S282" i="1"/>
  <c r="S335" i="1"/>
  <c r="T194" i="1"/>
  <c r="U340" i="1"/>
  <c r="T131" i="1"/>
  <c r="U153" i="1"/>
  <c r="V26" i="1"/>
  <c r="S106" i="1"/>
  <c r="R254" i="1"/>
  <c r="S105" i="1"/>
  <c r="V329" i="1"/>
  <c r="T180" i="1"/>
  <c r="R360" i="1"/>
  <c r="S88" i="1"/>
  <c r="U59" i="1"/>
  <c r="T143" i="1"/>
  <c r="V138" i="1"/>
  <c r="S356" i="1"/>
  <c r="R180" i="1"/>
  <c r="U28" i="1"/>
  <c r="T107" i="1"/>
  <c r="S97" i="1"/>
  <c r="T270" i="1"/>
  <c r="R362" i="1"/>
  <c r="U257" i="1"/>
  <c r="T161" i="1"/>
  <c r="V330" i="1"/>
  <c r="V251" i="1"/>
  <c r="U279" i="1"/>
  <c r="V84" i="1"/>
  <c r="V111" i="1"/>
  <c r="S245" i="1"/>
  <c r="R209" i="1"/>
  <c r="S186" i="1"/>
  <c r="R265" i="1"/>
  <c r="S149" i="1"/>
  <c r="V10" i="1"/>
  <c r="T228" i="1"/>
  <c r="V346" i="1"/>
  <c r="R217" i="1"/>
  <c r="S89" i="1"/>
  <c r="T286" i="1"/>
  <c r="S66" i="1"/>
  <c r="U131" i="1"/>
  <c r="U162" i="1"/>
  <c r="T172" i="1"/>
  <c r="R54" i="1"/>
  <c r="S342" i="1"/>
  <c r="U66" i="1"/>
  <c r="R123" i="1"/>
  <c r="S362" i="1"/>
  <c r="S37" i="1"/>
  <c r="T198" i="1"/>
  <c r="R110" i="1"/>
  <c r="U141" i="1"/>
  <c r="U299" i="1"/>
  <c r="R340" i="1"/>
  <c r="S61" i="1"/>
  <c r="V5" i="1"/>
  <c r="R12" i="1"/>
  <c r="V64" i="1"/>
  <c r="V348" i="1"/>
  <c r="T189" i="1"/>
  <c r="V228" i="1"/>
  <c r="U204" i="1"/>
  <c r="R41" i="1"/>
  <c r="V244" i="1"/>
  <c r="T225" i="1"/>
  <c r="T205" i="1"/>
  <c r="V230" i="1"/>
  <c r="R188" i="1"/>
  <c r="R83" i="1"/>
  <c r="U220" i="1"/>
  <c r="S300" i="1"/>
  <c r="U130" i="1"/>
  <c r="R135" i="1"/>
  <c r="T30" i="1"/>
  <c r="V103" i="1"/>
  <c r="U303" i="1"/>
  <c r="V294" i="1"/>
  <c r="T200" i="1"/>
  <c r="R30" i="1"/>
  <c r="T263" i="1"/>
  <c r="V88" i="1"/>
  <c r="V336" i="1"/>
  <c r="V35" i="1"/>
  <c r="U42" i="1"/>
  <c r="T299" i="1"/>
  <c r="U277" i="1"/>
  <c r="R58" i="1"/>
  <c r="R131" i="1"/>
  <c r="R248" i="1"/>
  <c r="U26" i="1"/>
  <c r="R128" i="1"/>
  <c r="R160" i="1"/>
  <c r="V209" i="1"/>
  <c r="V195" i="1"/>
  <c r="T12" i="1"/>
  <c r="T117" i="1"/>
  <c r="V217" i="1"/>
  <c r="R134" i="1"/>
  <c r="R283" i="1"/>
  <c r="U355" i="1"/>
  <c r="V310" i="1"/>
  <c r="R25" i="1"/>
  <c r="R75" i="1"/>
  <c r="R4" i="1"/>
  <c r="S129" i="1"/>
  <c r="S161" i="1"/>
  <c r="U173" i="1"/>
  <c r="V235" i="1"/>
  <c r="V131" i="1"/>
  <c r="V22" i="1"/>
  <c r="S328" i="1"/>
  <c r="R48" i="1"/>
  <c r="V74" i="1"/>
  <c r="V262" i="1"/>
  <c r="T230" i="1"/>
  <c r="V57" i="1"/>
  <c r="R237" i="1"/>
  <c r="S95" i="1"/>
  <c r="S215" i="1"/>
  <c r="U358" i="1"/>
  <c r="S242" i="1"/>
  <c r="R13" i="1"/>
  <c r="R130" i="1"/>
  <c r="R74" i="1"/>
  <c r="T114" i="1"/>
  <c r="T304" i="1"/>
  <c r="S295" i="1"/>
  <c r="T74" i="1"/>
  <c r="U344" i="1"/>
  <c r="R346" i="1"/>
  <c r="U152" i="1"/>
  <c r="V100" i="1"/>
  <c r="S361" i="1"/>
  <c r="T67" i="1"/>
  <c r="T281" i="1"/>
  <c r="T46" i="1"/>
  <c r="T146" i="1"/>
  <c r="R321" i="1"/>
  <c r="U96" i="1"/>
  <c r="T296" i="1"/>
  <c r="U252" i="1"/>
  <c r="T264" i="1"/>
  <c r="V123" i="1"/>
  <c r="S45" i="1"/>
  <c r="S147" i="1"/>
  <c r="T322" i="1"/>
  <c r="T99" i="1"/>
  <c r="S31" i="1"/>
  <c r="V23" i="1"/>
  <c r="V109" i="1"/>
  <c r="U249" i="1"/>
  <c r="T19" i="1"/>
  <c r="V160" i="1"/>
  <c r="U222" i="1"/>
  <c r="S253" i="1"/>
  <c r="S59" i="1"/>
  <c r="S210" i="1"/>
  <c r="V221" i="1"/>
  <c r="S259" i="1"/>
  <c r="S131" i="1"/>
  <c r="V275" i="1"/>
  <c r="U215" i="1"/>
  <c r="R185" i="1"/>
  <c r="S233" i="1"/>
  <c r="U22" i="1"/>
  <c r="U207" i="1"/>
  <c r="U342" i="1"/>
  <c r="R152" i="1"/>
  <c r="T334" i="1"/>
  <c r="V36" i="1"/>
  <c r="T77" i="1"/>
  <c r="R183" i="1"/>
  <c r="R326" i="1"/>
  <c r="T235" i="1"/>
  <c r="U98" i="1"/>
  <c r="U9" i="1"/>
  <c r="V65" i="1"/>
  <c r="U209" i="1"/>
  <c r="T32" i="1"/>
  <c r="V159" i="1"/>
  <c r="T169" i="1"/>
  <c r="T258" i="1"/>
  <c r="T128" i="1"/>
  <c r="V164" i="1"/>
  <c r="U256" i="1"/>
  <c r="V225" i="1"/>
  <c r="U25" i="1"/>
  <c r="V147" i="1"/>
  <c r="V236" i="1"/>
  <c r="V142" i="1"/>
  <c r="S313" i="1"/>
  <c r="S217" i="1"/>
  <c r="R6" i="1"/>
  <c r="S213" i="1"/>
  <c r="R68" i="1"/>
  <c r="V9" i="1"/>
  <c r="T212" i="1"/>
  <c r="R356" i="1"/>
  <c r="R82" i="1"/>
  <c r="R73" i="1"/>
  <c r="T353" i="1"/>
  <c r="T298" i="1"/>
  <c r="R79" i="1"/>
  <c r="T35" i="1"/>
  <c r="U309" i="1"/>
  <c r="U325" i="1"/>
  <c r="V326" i="1"/>
  <c r="T190" i="1"/>
  <c r="R202" i="1"/>
  <c r="S236" i="1"/>
  <c r="S125" i="1"/>
  <c r="V17" i="1"/>
  <c r="U35" i="1"/>
  <c r="R157" i="1"/>
  <c r="T359" i="1"/>
  <c r="R114" i="1"/>
  <c r="S166" i="1"/>
  <c r="S331" i="1"/>
  <c r="V290" i="1"/>
  <c r="S267" i="1"/>
  <c r="V227" i="1"/>
  <c r="R104" i="1"/>
  <c r="S77" i="1"/>
  <c r="U199" i="1"/>
  <c r="T193" i="1"/>
  <c r="T294" i="1"/>
  <c r="U160" i="1"/>
  <c r="R127" i="1"/>
  <c r="R339" i="1"/>
  <c r="U168" i="1"/>
  <c r="T255" i="1"/>
  <c r="U169" i="1"/>
  <c r="V257" i="1"/>
  <c r="S58" i="1"/>
  <c r="V356" i="1"/>
  <c r="S347" i="1"/>
  <c r="V101" i="1"/>
  <c r="T110" i="1"/>
  <c r="T167" i="1"/>
  <c r="R221" i="1"/>
  <c r="V122" i="1"/>
  <c r="U149" i="1"/>
  <c r="R98" i="1"/>
  <c r="U341" i="1"/>
  <c r="R19" i="1"/>
  <c r="R141" i="1"/>
  <c r="S19" i="1"/>
  <c r="V196" i="1"/>
  <c r="T342" i="1"/>
  <c r="T21" i="1"/>
  <c r="T192" i="1"/>
  <c r="V338" i="1"/>
  <c r="S40" i="1"/>
  <c r="V205" i="1"/>
  <c r="T158" i="1"/>
  <c r="T314" i="1"/>
  <c r="T328" i="1"/>
  <c r="R230" i="1"/>
  <c r="V118" i="1"/>
  <c r="S291" i="1"/>
  <c r="S136" i="1"/>
  <c r="U129" i="1"/>
  <c r="S32" i="1"/>
  <c r="T226" i="1"/>
  <c r="T31" i="1"/>
  <c r="U323" i="1"/>
  <c r="S49" i="1"/>
  <c r="V97" i="1"/>
  <c r="U320" i="1"/>
  <c r="S63" i="1"/>
  <c r="R194" i="1"/>
  <c r="V283" i="1"/>
  <c r="U200" i="1"/>
  <c r="R53" i="1"/>
  <c r="V140" i="1"/>
  <c r="U108" i="1"/>
  <c r="R307" i="1"/>
  <c r="T324" i="1"/>
  <c r="V44" i="1"/>
  <c r="T111" i="1"/>
  <c r="U271" i="1"/>
  <c r="S91" i="1"/>
  <c r="R351" i="1"/>
  <c r="T49" i="1"/>
  <c r="U58" i="1"/>
  <c r="T211" i="1"/>
  <c r="V359" i="1"/>
  <c r="S235" i="1"/>
  <c r="R273" i="1"/>
  <c r="T90" i="1"/>
  <c r="V206" i="1"/>
  <c r="V71" i="1"/>
  <c r="V63" i="1"/>
  <c r="V242" i="1"/>
  <c r="S214" i="1"/>
  <c r="V318" i="1"/>
  <c r="V323" i="1"/>
  <c r="U143" i="1"/>
  <c r="S255" i="1"/>
  <c r="T145" i="1"/>
  <c r="R101" i="1"/>
  <c r="R155" i="1"/>
  <c r="U54" i="1"/>
  <c r="T45" i="1"/>
  <c r="S133" i="1"/>
  <c r="U71" i="1"/>
  <c r="T188" i="1"/>
  <c r="R229" i="1"/>
  <c r="S184" i="1"/>
  <c r="V272" i="1"/>
  <c r="S153" i="1"/>
  <c r="V116" i="1"/>
  <c r="R11" i="1"/>
  <c r="S340" i="1"/>
  <c r="V108" i="1"/>
  <c r="U99" i="1"/>
  <c r="U191" i="1"/>
  <c r="T138" i="1"/>
  <c r="S96" i="1"/>
  <c r="S239" i="1"/>
  <c r="R168" i="1"/>
  <c r="S118" i="1"/>
  <c r="V234" i="1"/>
  <c r="T92" i="1"/>
  <c r="S14" i="1"/>
  <c r="V114" i="1"/>
  <c r="U287" i="1"/>
  <c r="V120" i="1"/>
  <c r="U327" i="1"/>
  <c r="V215" i="1"/>
  <c r="V332" i="1"/>
  <c r="S191" i="1"/>
  <c r="S92" i="1"/>
  <c r="V325" i="1"/>
  <c r="U95" i="1"/>
  <c r="R292" i="1"/>
  <c r="U262" i="1"/>
  <c r="T68" i="1"/>
  <c r="V322" i="1"/>
  <c r="V163" i="1"/>
  <c r="T363" i="1"/>
  <c r="V267" i="1"/>
  <c r="V264" i="1"/>
  <c r="U260" i="1"/>
  <c r="R251" i="1"/>
  <c r="T137" i="1"/>
  <c r="S23" i="1"/>
  <c r="T119" i="1"/>
  <c r="V226" i="1"/>
  <c r="R262" i="1"/>
  <c r="R285" i="1"/>
  <c r="V154" i="1"/>
  <c r="U72" i="1"/>
  <c r="T350" i="1"/>
  <c r="U67" i="1"/>
  <c r="S218" i="1"/>
  <c r="T113" i="1"/>
  <c r="V252" i="1"/>
  <c r="R350" i="1"/>
  <c r="U197" i="1"/>
  <c r="V27" i="1"/>
  <c r="S350" i="1"/>
  <c r="U163" i="1"/>
  <c r="S85" i="1"/>
  <c r="S273" i="1"/>
  <c r="R177" i="1"/>
  <c r="R132" i="1"/>
  <c r="T274" i="1"/>
  <c r="T85" i="1"/>
  <c r="R138" i="1"/>
  <c r="R57" i="1"/>
  <c r="R293" i="1"/>
  <c r="U125" i="1"/>
  <c r="U227" i="1"/>
  <c r="S275" i="1"/>
  <c r="T339" i="1"/>
  <c r="T240" i="1"/>
  <c r="V278" i="1"/>
  <c r="R146" i="1"/>
  <c r="S41" i="1"/>
  <c r="T300" i="1"/>
  <c r="T122" i="1"/>
  <c r="V53" i="1"/>
  <c r="S146" i="1"/>
  <c r="R274" i="1"/>
  <c r="V77" i="1"/>
  <c r="S116" i="1"/>
  <c r="T241" i="1"/>
  <c r="T34" i="1"/>
  <c r="V232" i="1"/>
  <c r="T267" i="1"/>
  <c r="S228" i="1"/>
  <c r="S330" i="1"/>
  <c r="T181" i="1"/>
  <c r="S277" i="1"/>
  <c r="S205" i="1"/>
  <c r="V292" i="1"/>
  <c r="S290" i="1"/>
  <c r="V180" i="1"/>
  <c r="T313" i="1"/>
  <c r="T14" i="1"/>
  <c r="R148" i="1"/>
  <c r="T134" i="1"/>
  <c r="S109" i="1"/>
  <c r="T293" i="1"/>
  <c r="S188" i="1"/>
  <c r="S94" i="1"/>
  <c r="U250" i="1"/>
  <c r="T242" i="1"/>
  <c r="U140" i="1"/>
  <c r="V286" i="1"/>
  <c r="U264" i="1"/>
  <c r="U274" i="1"/>
  <c r="R245" i="1"/>
  <c r="S314" i="1"/>
  <c r="U315" i="1"/>
  <c r="T97" i="1"/>
  <c r="S322" i="1"/>
  <c r="R205" i="1"/>
  <c r="T278" i="1"/>
  <c r="T287" i="1"/>
  <c r="U178" i="1"/>
  <c r="V288" i="1"/>
  <c r="U245" i="1"/>
  <c r="R280" i="1"/>
  <c r="U85" i="1"/>
  <c r="T236" i="1"/>
  <c r="V76" i="1"/>
  <c r="V152" i="1"/>
  <c r="U300" i="1"/>
  <c r="S8" i="1"/>
  <c r="T231" i="1"/>
  <c r="R290" i="1"/>
  <c r="T208" i="1"/>
  <c r="V357" i="1"/>
  <c r="S53" i="1"/>
  <c r="V170" i="1"/>
  <c r="V178" i="1"/>
  <c r="S264" i="1"/>
  <c r="R212" i="1"/>
  <c r="S284" i="1"/>
  <c r="R196" i="1"/>
  <c r="R34" i="1"/>
  <c r="V315" i="1"/>
  <c r="T41" i="1"/>
  <c r="R21" i="1"/>
  <c r="U79" i="1"/>
  <c r="V93" i="1"/>
  <c r="S308" i="1"/>
  <c r="T283" i="1"/>
  <c r="U352" i="1"/>
  <c r="V137" i="1"/>
  <c r="T254" i="1"/>
  <c r="T191" i="1"/>
  <c r="U23" i="1"/>
  <c r="U278" i="1"/>
  <c r="S145" i="1"/>
  <c r="S154" i="1"/>
  <c r="T112" i="1"/>
  <c r="T219" i="1"/>
  <c r="V297" i="1"/>
  <c r="U50" i="1"/>
  <c r="S206" i="1"/>
  <c r="V117" i="1"/>
  <c r="S271" i="1"/>
  <c r="R91" i="1"/>
  <c r="T116" i="1"/>
  <c r="S173" i="1"/>
  <c r="R84" i="1"/>
  <c r="R232" i="1"/>
  <c r="R140" i="1"/>
  <c r="U223" i="1"/>
  <c r="S120" i="1"/>
  <c r="R331" i="1"/>
  <c r="R189" i="1"/>
  <c r="R216" i="1"/>
  <c r="T164" i="1"/>
  <c r="U93" i="1"/>
  <c r="S195" i="1"/>
  <c r="V319" i="1"/>
  <c r="R107" i="1"/>
  <c r="R353" i="1"/>
  <c r="U51" i="1"/>
  <c r="S268" i="1"/>
  <c r="V69" i="1"/>
  <c r="T344" i="1"/>
  <c r="T348" i="1"/>
  <c r="V20" i="1"/>
  <c r="V11" i="1"/>
  <c r="R154" i="1"/>
  <c r="R359" i="1"/>
  <c r="T22" i="1"/>
  <c r="V313" i="1"/>
  <c r="V13" i="1"/>
  <c r="T355" i="1"/>
  <c r="S229" i="1"/>
  <c r="V307" i="1"/>
  <c r="V280" i="1"/>
  <c r="R95" i="1"/>
  <c r="U311" i="1"/>
  <c r="R299" i="1"/>
  <c r="T136" i="1"/>
  <c r="T279" i="1"/>
  <c r="V284" i="1"/>
  <c r="V12" i="1"/>
  <c r="V184" i="1"/>
  <c r="T163" i="1"/>
  <c r="T125" i="1"/>
  <c r="R269" i="1"/>
  <c r="S306" i="1"/>
  <c r="T20" i="1"/>
  <c r="R89" i="1"/>
  <c r="R175" i="1"/>
  <c r="V75" i="1"/>
  <c r="S327" i="1"/>
  <c r="S79" i="1"/>
  <c r="S44" i="1"/>
  <c r="S272" i="1"/>
  <c r="T165" i="1"/>
  <c r="S7" i="1"/>
  <c r="S9" i="1"/>
  <c r="S117" i="1"/>
  <c r="R266" i="1"/>
  <c r="R105" i="1"/>
  <c r="R102" i="1"/>
  <c r="S353" i="1"/>
  <c r="S171" i="1"/>
  <c r="U87" i="1"/>
  <c r="U247" i="1"/>
  <c r="U268" i="1"/>
  <c r="S5" i="1"/>
  <c r="T360" i="1"/>
  <c r="S338" i="1"/>
  <c r="T69" i="1"/>
  <c r="T83" i="1"/>
  <c r="U44" i="1"/>
  <c r="T129" i="1"/>
  <c r="R163" i="1"/>
  <c r="V70" i="1"/>
  <c r="S69" i="1"/>
  <c r="S11" i="1"/>
  <c r="R197" i="1"/>
  <c r="V211" i="1"/>
  <c r="R18" i="1"/>
  <c r="R173" i="1"/>
  <c r="T93" i="1"/>
  <c r="T139" i="1"/>
  <c r="U284" i="1"/>
  <c r="S315" i="1"/>
  <c r="U201" i="1"/>
  <c r="V161" i="1"/>
  <c r="T72" i="1"/>
  <c r="U103" i="1"/>
  <c r="T96" i="1"/>
  <c r="T62" i="1"/>
  <c r="R231" i="1"/>
  <c r="U147" i="1"/>
  <c r="R167" i="1"/>
  <c r="S204" i="1"/>
  <c r="T18" i="1"/>
  <c r="S266" i="1"/>
  <c r="R46" i="1"/>
  <c r="S179" i="1"/>
  <c r="R182" i="1"/>
  <c r="T265" i="1"/>
  <c r="T197" i="1"/>
  <c r="V157" i="1"/>
  <c r="U43" i="1"/>
  <c r="T292" i="1"/>
  <c r="R218" i="1"/>
  <c r="T218" i="1"/>
  <c r="V128" i="1"/>
  <c r="U5" i="1"/>
  <c r="R271" i="1"/>
  <c r="S222" i="1"/>
  <c r="U221" i="1"/>
  <c r="U52" i="1"/>
  <c r="U302" i="1"/>
  <c r="V193" i="1"/>
  <c r="T94" i="1"/>
  <c r="S62" i="1"/>
  <c r="T244" i="1"/>
  <c r="S349" i="1"/>
  <c r="U40" i="1"/>
  <c r="T297" i="1"/>
  <c r="R233" i="1"/>
  <c r="T6" i="1"/>
  <c r="U246" i="1"/>
  <c r="T183" i="1"/>
  <c r="T5" i="1"/>
  <c r="U189" i="1"/>
  <c r="T87" i="1"/>
  <c r="T15" i="1"/>
  <c r="V62" i="1"/>
  <c r="S17" i="1"/>
  <c r="R142" i="1"/>
  <c r="R279" i="1"/>
  <c r="V190" i="1"/>
  <c r="U24" i="1"/>
  <c r="R166" i="1"/>
  <c r="V126" i="1"/>
  <c r="R63" i="1"/>
  <c r="V260" i="1"/>
  <c r="T10" i="1"/>
  <c r="S237" i="1"/>
  <c r="V363" i="1"/>
  <c r="V41" i="1"/>
  <c r="V309" i="1"/>
  <c r="V94" i="1"/>
  <c r="V34" i="1"/>
  <c r="V299" i="1"/>
  <c r="R5" i="1"/>
  <c r="U74" i="1"/>
  <c r="R99" i="1"/>
  <c r="U155" i="1"/>
  <c r="AL90" i="11"/>
  <c r="AM90" i="11"/>
  <c r="AP90" i="11"/>
  <c r="AQ90" i="11"/>
  <c r="AP50" i="11"/>
  <c r="AM10" i="11"/>
  <c r="AN70" i="11"/>
  <c r="AN90" i="11"/>
  <c r="AL10" i="11"/>
  <c r="AM30" i="11"/>
  <c r="AL70" i="11"/>
  <c r="AO50" i="11"/>
  <c r="AL30" i="11"/>
  <c r="AQ30" i="11"/>
  <c r="AP70" i="11"/>
  <c r="AN30" i="11"/>
  <c r="AQ50" i="11"/>
  <c r="AO70" i="11"/>
  <c r="AO30" i="11"/>
  <c r="AP30" i="11"/>
  <c r="AL50" i="11"/>
  <c r="AM70" i="11"/>
  <c r="AQ10" i="11"/>
  <c r="AN50" i="11"/>
  <c r="AP10" i="11"/>
  <c r="AQ70" i="11"/>
  <c r="AM50" i="11"/>
  <c r="AO10" i="11"/>
  <c r="AN10" i="11"/>
  <c r="AO90" i="11"/>
  <c r="N50" i="10" l="1"/>
  <c r="S50" i="10" s="1"/>
  <c r="N90" i="10"/>
  <c r="S90" i="10" s="1"/>
  <c r="N30" i="10"/>
  <c r="S30" i="10" s="1"/>
  <c r="N70" i="10"/>
  <c r="S70" i="10" s="1"/>
  <c r="T47" i="17"/>
  <c r="L47" i="10" s="1"/>
  <c r="L46" i="10"/>
  <c r="U27" i="17"/>
  <c r="M27" i="10" s="1"/>
  <c r="R27" i="10" s="1"/>
  <c r="M26" i="10"/>
  <c r="R26" i="10" s="1"/>
  <c r="M46" i="10"/>
  <c r="R46" i="10" s="1"/>
  <c r="T87" i="17"/>
  <c r="L87" i="10" s="1"/>
  <c r="L86" i="10"/>
  <c r="Q86" i="10" s="1"/>
  <c r="V7" i="17"/>
  <c r="N6" i="10"/>
  <c r="S6" i="10" s="1"/>
  <c r="M6" i="10"/>
  <c r="R6" i="10" s="1"/>
  <c r="Q65" i="10"/>
  <c r="Q6" i="10"/>
  <c r="U7" i="17"/>
  <c r="T7" i="17"/>
  <c r="L7" i="10" s="1"/>
  <c r="U47" i="17"/>
  <c r="U45" i="10"/>
  <c r="AH45" i="10"/>
  <c r="AG45" i="10"/>
  <c r="AF45" i="10"/>
  <c r="AI45" i="10"/>
  <c r="U5" i="10"/>
  <c r="AH5" i="10"/>
  <c r="AF5" i="10"/>
  <c r="AG5" i="10"/>
  <c r="T85" i="10"/>
  <c r="AD85" i="10"/>
  <c r="AC85" i="10"/>
  <c r="AB85" i="10"/>
  <c r="T5" i="10"/>
  <c r="AB5" i="10"/>
  <c r="AD5" i="10"/>
  <c r="AC5" i="10"/>
  <c r="T45" i="10"/>
  <c r="AD45" i="10"/>
  <c r="AC45" i="10"/>
  <c r="AB45" i="10"/>
  <c r="T25" i="10"/>
  <c r="AD25" i="10"/>
  <c r="AC25" i="10"/>
  <c r="AB25" i="10"/>
  <c r="T65" i="10"/>
  <c r="AC65" i="10"/>
  <c r="AB65" i="10"/>
  <c r="AD65" i="10"/>
  <c r="AI5" i="10"/>
  <c r="U85" i="10"/>
  <c r="AG85" i="10"/>
  <c r="AH85" i="10"/>
  <c r="AF85" i="10"/>
  <c r="AE65" i="10"/>
  <c r="AE85" i="10"/>
  <c r="U25" i="10"/>
  <c r="AF25" i="10"/>
  <c r="AH25" i="10"/>
  <c r="AG25" i="10"/>
  <c r="U65" i="10"/>
  <c r="AH65" i="10"/>
  <c r="AG65" i="10"/>
  <c r="AF65" i="10"/>
  <c r="AI85" i="10"/>
  <c r="W7" i="17"/>
  <c r="O7" i="10" s="1"/>
  <c r="X67" i="17"/>
  <c r="P67" i="10" s="1"/>
  <c r="U87" i="17"/>
  <c r="M87" i="10" s="1"/>
  <c r="W47" i="17"/>
  <c r="O47" i="10" s="1"/>
  <c r="T67" i="17"/>
  <c r="L67" i="10" s="1"/>
  <c r="W27" i="17"/>
  <c r="O27" i="10" s="1"/>
  <c r="W87" i="17"/>
  <c r="O87" i="10" s="1"/>
  <c r="X47" i="17"/>
  <c r="P47" i="10" s="1"/>
  <c r="T27" i="17"/>
  <c r="L27" i="10" s="1"/>
  <c r="X27" i="17"/>
  <c r="P27" i="10" s="1"/>
  <c r="W67" i="17"/>
  <c r="O67" i="10" s="1"/>
  <c r="X7" i="17"/>
  <c r="P7" i="10" s="1"/>
  <c r="X87" i="17"/>
  <c r="P87" i="10" s="1"/>
  <c r="U67" i="17"/>
  <c r="M67" i="10" s="1"/>
  <c r="R66" i="10"/>
  <c r="U17" i="4"/>
  <c r="P19" i="4"/>
  <c r="P41" i="4"/>
  <c r="P64" i="4" s="1"/>
  <c r="P87" i="4" s="1"/>
  <c r="P110" i="4" s="1"/>
  <c r="W17" i="4"/>
  <c r="S18" i="4"/>
  <c r="S40" i="4"/>
  <c r="R18" i="4"/>
  <c r="R40" i="4"/>
  <c r="Y17" i="4"/>
  <c r="Q18" i="4"/>
  <c r="Q40" i="4"/>
  <c r="O41" i="4"/>
  <c r="O19" i="4"/>
  <c r="X17" i="4"/>
  <c r="AH57" i="4"/>
  <c r="AH80" i="4" s="1"/>
  <c r="AH103" i="4" s="1"/>
  <c r="AC37" i="4"/>
  <c r="AC60" i="4" s="1"/>
  <c r="AC83" i="4" s="1"/>
  <c r="AC106" i="4" s="1"/>
  <c r="AC35" i="4"/>
  <c r="AC58" i="4" s="1"/>
  <c r="AC81" i="4" s="1"/>
  <c r="AC104" i="4" s="1"/>
  <c r="AA33" i="4"/>
  <c r="AA56" i="4" s="1"/>
  <c r="AA79" i="4" s="1"/>
  <c r="AA102" i="4" s="1"/>
  <c r="AC36" i="4"/>
  <c r="AC59" i="4" s="1"/>
  <c r="AC82" i="4" s="1"/>
  <c r="AC105" i="4" s="1"/>
  <c r="AB34" i="4"/>
  <c r="AB57" i="4" s="1"/>
  <c r="AB80" i="4" s="1"/>
  <c r="AB103" i="4" s="1"/>
  <c r="AQ11" i="11"/>
  <c r="AQ31" i="11"/>
  <c r="AP11" i="11"/>
  <c r="AO91" i="11"/>
  <c r="AL51" i="11"/>
  <c r="AQ51" i="11"/>
  <c r="AO11" i="11"/>
  <c r="AL71" i="11"/>
  <c r="AO51" i="11"/>
  <c r="AQ91" i="11"/>
  <c r="AP71" i="11"/>
  <c r="AN51" i="11"/>
  <c r="AP51" i="11"/>
  <c r="AN31" i="11"/>
  <c r="AM51" i="11"/>
  <c r="AL11" i="11"/>
  <c r="AO71" i="11"/>
  <c r="AM11" i="11"/>
  <c r="AM31" i="11"/>
  <c r="AN91" i="11"/>
  <c r="AQ71" i="11"/>
  <c r="AP31" i="11"/>
  <c r="AL91" i="11"/>
  <c r="AM91" i="11"/>
  <c r="AM71" i="11"/>
  <c r="AN71" i="11"/>
  <c r="AN11" i="11"/>
  <c r="AL31" i="11"/>
  <c r="AP91" i="11"/>
  <c r="AO31" i="11"/>
  <c r="T48" i="17" l="1"/>
  <c r="L48" i="10" s="1"/>
  <c r="U28" i="17"/>
  <c r="M28" i="10" s="1"/>
  <c r="R28" i="10" s="1"/>
  <c r="N31" i="10"/>
  <c r="S31" i="10" s="1"/>
  <c r="N91" i="10"/>
  <c r="S91" i="10" s="1"/>
  <c r="N51" i="10"/>
  <c r="S51" i="10" s="1"/>
  <c r="N71" i="10"/>
  <c r="S71" i="10" s="1"/>
  <c r="T88" i="17"/>
  <c r="L88" i="10" s="1"/>
  <c r="U48" i="17"/>
  <c r="M48" i="10" s="1"/>
  <c r="R48" i="10" s="1"/>
  <c r="M47" i="10"/>
  <c r="R47" i="10" s="1"/>
  <c r="M7" i="10"/>
  <c r="R7" i="10" s="1"/>
  <c r="V8" i="17"/>
  <c r="N7" i="10"/>
  <c r="S7" i="10" s="1"/>
  <c r="Q46" i="10"/>
  <c r="T8" i="17"/>
  <c r="U8" i="17"/>
  <c r="AC6" i="10"/>
  <c r="AD6" i="10"/>
  <c r="AE6" i="10"/>
  <c r="AB6" i="10"/>
  <c r="U26" i="10"/>
  <c r="AI26" i="10"/>
  <c r="AG26" i="10"/>
  <c r="AH26" i="10"/>
  <c r="AF26" i="10"/>
  <c r="U46" i="10"/>
  <c r="AG46" i="10"/>
  <c r="AI46" i="10"/>
  <c r="AH46" i="10"/>
  <c r="AF46" i="10"/>
  <c r="U66" i="10"/>
  <c r="AI66" i="10"/>
  <c r="AH66" i="10"/>
  <c r="AG66" i="10"/>
  <c r="AF66" i="10"/>
  <c r="T86" i="10"/>
  <c r="AC86" i="10"/>
  <c r="AE86" i="10"/>
  <c r="AD86" i="10"/>
  <c r="AB86" i="10"/>
  <c r="T46" i="10"/>
  <c r="AE46" i="10"/>
  <c r="AD46" i="10"/>
  <c r="AC46" i="10"/>
  <c r="AB46" i="10"/>
  <c r="U86" i="10"/>
  <c r="AI86" i="10"/>
  <c r="AH86" i="10"/>
  <c r="AG86" i="10"/>
  <c r="AF86" i="10"/>
  <c r="U6" i="10"/>
  <c r="AG6" i="10"/>
  <c r="AH6" i="10"/>
  <c r="AI6" i="10"/>
  <c r="AF6" i="10"/>
  <c r="T66" i="10"/>
  <c r="AE66" i="10"/>
  <c r="AD66" i="10"/>
  <c r="AC66" i="10"/>
  <c r="AB66" i="10"/>
  <c r="T26" i="10"/>
  <c r="AD26" i="10"/>
  <c r="AC26" i="10"/>
  <c r="AE26" i="10"/>
  <c r="AB26" i="10"/>
  <c r="X8" i="17"/>
  <c r="P8" i="10" s="1"/>
  <c r="Q66" i="10"/>
  <c r="R86" i="10"/>
  <c r="W68" i="17"/>
  <c r="O68" i="10" s="1"/>
  <c r="X28" i="17"/>
  <c r="P28" i="10" s="1"/>
  <c r="U88" i="17"/>
  <c r="M88" i="10" s="1"/>
  <c r="R87" i="10"/>
  <c r="Q7" i="10"/>
  <c r="W28" i="17"/>
  <c r="O28" i="10" s="1"/>
  <c r="Q26" i="10"/>
  <c r="T68" i="17"/>
  <c r="L68" i="10" s="1"/>
  <c r="T28" i="17"/>
  <c r="L28" i="10" s="1"/>
  <c r="W48" i="17"/>
  <c r="O48" i="10" s="1"/>
  <c r="X68" i="17"/>
  <c r="P68" i="10" s="1"/>
  <c r="W88" i="17"/>
  <c r="O88" i="10" s="1"/>
  <c r="Q47" i="10"/>
  <c r="Q87" i="10"/>
  <c r="U68" i="17"/>
  <c r="M68" i="10" s="1"/>
  <c r="R67" i="10"/>
  <c r="T6" i="10"/>
  <c r="X88" i="17"/>
  <c r="P88" i="10" s="1"/>
  <c r="X48" i="17"/>
  <c r="P48" i="10" s="1"/>
  <c r="W8" i="17"/>
  <c r="O8" i="10" s="1"/>
  <c r="R63" i="4"/>
  <c r="X40" i="4"/>
  <c r="R19" i="4"/>
  <c r="R41" i="4"/>
  <c r="R64" i="4" s="1"/>
  <c r="R87" i="4" s="1"/>
  <c r="R110" i="4" s="1"/>
  <c r="X18" i="4"/>
  <c r="S63" i="4"/>
  <c r="Y40" i="4"/>
  <c r="O42" i="4"/>
  <c r="O20" i="4"/>
  <c r="S19" i="4"/>
  <c r="Y19" i="4" s="1"/>
  <c r="S41" i="4"/>
  <c r="S64" i="4" s="1"/>
  <c r="S87" i="4" s="1"/>
  <c r="S110" i="4" s="1"/>
  <c r="Y18" i="4"/>
  <c r="Q63" i="4"/>
  <c r="U40" i="4"/>
  <c r="V40" i="4"/>
  <c r="W40" i="4"/>
  <c r="Q19" i="4"/>
  <c r="Q41" i="4"/>
  <c r="Q64" i="4" s="1"/>
  <c r="Q87" i="4" s="1"/>
  <c r="Q110" i="4" s="1"/>
  <c r="U18" i="4"/>
  <c r="W18" i="4"/>
  <c r="V18" i="4"/>
  <c r="P20" i="4"/>
  <c r="P42" i="4"/>
  <c r="P65" i="4" s="1"/>
  <c r="P88" i="4" s="1"/>
  <c r="P111" i="4" s="1"/>
  <c r="O64" i="4"/>
  <c r="V41" i="4"/>
  <c r="AB35" i="4"/>
  <c r="AB58" i="4" s="1"/>
  <c r="AB81" i="4" s="1"/>
  <c r="AB36" i="4"/>
  <c r="AO72" i="11"/>
  <c r="AN72" i="11"/>
  <c r="AP12" i="11"/>
  <c r="AL12" i="11"/>
  <c r="AP32" i="11"/>
  <c r="AP52" i="11"/>
  <c r="AQ12" i="11"/>
  <c r="AL92" i="11"/>
  <c r="AQ32" i="11"/>
  <c r="AN52" i="11"/>
  <c r="AP72" i="11"/>
  <c r="AO32" i="11"/>
  <c r="AM12" i="11"/>
  <c r="AQ72" i="11"/>
  <c r="AL72" i="11"/>
  <c r="AN32" i="11"/>
  <c r="AL52" i="11"/>
  <c r="AM72" i="11"/>
  <c r="AO52" i="11"/>
  <c r="AL32" i="11"/>
  <c r="AO92" i="11"/>
  <c r="AP92" i="11"/>
  <c r="AN12" i="11"/>
  <c r="AQ92" i="11"/>
  <c r="AM92" i="11"/>
  <c r="AM52" i="11"/>
  <c r="AQ52" i="11"/>
  <c r="AM32" i="11"/>
  <c r="AN92" i="11"/>
  <c r="AO12" i="11"/>
  <c r="V19" i="4" l="1"/>
  <c r="T49" i="17"/>
  <c r="L49" i="10" s="1"/>
  <c r="U49" i="17"/>
  <c r="M49" i="10" s="1"/>
  <c r="R49" i="10" s="1"/>
  <c r="T89" i="17"/>
  <c r="L89" i="10" s="1"/>
  <c r="U29" i="17"/>
  <c r="M29" i="10" s="1"/>
  <c r="R29" i="10" s="1"/>
  <c r="N92" i="10"/>
  <c r="S92" i="10" s="1"/>
  <c r="N32" i="10"/>
  <c r="S32" i="10" s="1"/>
  <c r="N72" i="10"/>
  <c r="S72" i="10" s="1"/>
  <c r="N52" i="10"/>
  <c r="S52" i="10" s="1"/>
  <c r="U9" i="17"/>
  <c r="M9" i="10" s="1"/>
  <c r="R9" i="10" s="1"/>
  <c r="M8" i="10"/>
  <c r="R8" i="10" s="1"/>
  <c r="T9" i="17"/>
  <c r="L9" i="10" s="1"/>
  <c r="L8" i="10"/>
  <c r="N8" i="10"/>
  <c r="S8" i="10" s="1"/>
  <c r="V9" i="17"/>
  <c r="U7" i="10"/>
  <c r="AG7" i="10"/>
  <c r="AI7" i="10"/>
  <c r="AH7" i="10"/>
  <c r="AF7" i="10"/>
  <c r="T67" i="10"/>
  <c r="AC67" i="10"/>
  <c r="AD67" i="10"/>
  <c r="AE67" i="10"/>
  <c r="AB67" i="10"/>
  <c r="T47" i="10"/>
  <c r="AE47" i="10"/>
  <c r="AD47" i="10"/>
  <c r="AC47" i="10"/>
  <c r="AB47" i="10"/>
  <c r="U67" i="10"/>
  <c r="AI67" i="10"/>
  <c r="AH67" i="10"/>
  <c r="AG67" i="10"/>
  <c r="AF67" i="10"/>
  <c r="U47" i="10"/>
  <c r="AI47" i="10"/>
  <c r="AH47" i="10"/>
  <c r="AG47" i="10"/>
  <c r="AF47" i="10"/>
  <c r="T27" i="10"/>
  <c r="AE27" i="10"/>
  <c r="AD27" i="10"/>
  <c r="AC27" i="10"/>
  <c r="AB27" i="10"/>
  <c r="U27" i="10"/>
  <c r="AG27" i="10"/>
  <c r="AI27" i="10"/>
  <c r="AH27" i="10"/>
  <c r="AF27" i="10"/>
  <c r="T87" i="10"/>
  <c r="AE87" i="10"/>
  <c r="AC87" i="10"/>
  <c r="AD87" i="10"/>
  <c r="AB87" i="10"/>
  <c r="T7" i="10"/>
  <c r="AD7" i="10"/>
  <c r="AE7" i="10"/>
  <c r="AC7" i="10"/>
  <c r="AB7" i="10"/>
  <c r="U87" i="10"/>
  <c r="AG87" i="10"/>
  <c r="AH87" i="10"/>
  <c r="AI87" i="10"/>
  <c r="AF87" i="10"/>
  <c r="X29" i="17"/>
  <c r="P29" i="10" s="1"/>
  <c r="U89" i="17"/>
  <c r="M89" i="10" s="1"/>
  <c r="R88" i="10"/>
  <c r="Q67" i="10"/>
  <c r="Q27" i="10"/>
  <c r="U69" i="17"/>
  <c r="M69" i="10" s="1"/>
  <c r="R68" i="10"/>
  <c r="T69" i="17"/>
  <c r="L69" i="10" s="1"/>
  <c r="W69" i="17"/>
  <c r="O69" i="10" s="1"/>
  <c r="W9" i="17"/>
  <c r="O9" i="10" s="1"/>
  <c r="W89" i="17"/>
  <c r="O89" i="10" s="1"/>
  <c r="Q48" i="10"/>
  <c r="T29" i="17"/>
  <c r="L29" i="10" s="1"/>
  <c r="X69" i="17"/>
  <c r="P69" i="10" s="1"/>
  <c r="W29" i="17"/>
  <c r="O29" i="10" s="1"/>
  <c r="Q88" i="10"/>
  <c r="X89" i="17"/>
  <c r="P89" i="10" s="1"/>
  <c r="X49" i="17"/>
  <c r="P49" i="10" s="1"/>
  <c r="W49" i="17"/>
  <c r="O49" i="10" s="1"/>
  <c r="X9" i="17"/>
  <c r="P9" i="10" s="1"/>
  <c r="O65" i="4"/>
  <c r="S20" i="4"/>
  <c r="S42" i="4"/>
  <c r="S65" i="4" s="1"/>
  <c r="S88" i="4" s="1"/>
  <c r="S111" i="4" s="1"/>
  <c r="U41" i="4"/>
  <c r="Q20" i="4"/>
  <c r="Q42" i="4"/>
  <c r="Q65" i="4" s="1"/>
  <c r="Q88" i="4" s="1"/>
  <c r="Q111" i="4" s="1"/>
  <c r="X19" i="4"/>
  <c r="S86" i="4"/>
  <c r="Y63" i="4"/>
  <c r="Y41" i="4"/>
  <c r="O87" i="4"/>
  <c r="V64" i="4"/>
  <c r="Y64" i="4"/>
  <c r="X64" i="4"/>
  <c r="U64" i="4"/>
  <c r="W64" i="4"/>
  <c r="W19" i="4"/>
  <c r="Q86" i="4"/>
  <c r="W63" i="4"/>
  <c r="V63" i="4"/>
  <c r="U63" i="4"/>
  <c r="U19" i="4"/>
  <c r="P21" i="4"/>
  <c r="P44" i="4" s="1"/>
  <c r="P67" i="4" s="1"/>
  <c r="P90" i="4" s="1"/>
  <c r="P113" i="4" s="1"/>
  <c r="P43" i="4"/>
  <c r="P66" i="4" s="1"/>
  <c r="P89" i="4" s="1"/>
  <c r="P112" i="4" s="1"/>
  <c r="R20" i="4"/>
  <c r="R42" i="4"/>
  <c r="R65" i="4" s="1"/>
  <c r="R88" i="4" s="1"/>
  <c r="R111" i="4" s="1"/>
  <c r="W41" i="4"/>
  <c r="X41" i="4"/>
  <c r="O43" i="4"/>
  <c r="O21" i="4"/>
  <c r="X20" i="4"/>
  <c r="U20" i="4"/>
  <c r="V20" i="4"/>
  <c r="Y20" i="4"/>
  <c r="R86" i="4"/>
  <c r="X63" i="4"/>
  <c r="AA34" i="4"/>
  <c r="AA57" i="4" s="1"/>
  <c r="AB104" i="4"/>
  <c r="AB37" i="4"/>
  <c r="AB59" i="4"/>
  <c r="AN13" i="11"/>
  <c r="AL53" i="11"/>
  <c r="AO33" i="11"/>
  <c r="AQ53" i="11"/>
  <c r="AP53" i="11"/>
  <c r="AL93" i="11"/>
  <c r="AM33" i="11"/>
  <c r="AN93" i="11"/>
  <c r="AL33" i="11"/>
  <c r="AO93" i="11"/>
  <c r="AQ93" i="11"/>
  <c r="AL73" i="11"/>
  <c r="AN73" i="11"/>
  <c r="AL13" i="11"/>
  <c r="AM73" i="11"/>
  <c r="AM13" i="11"/>
  <c r="AM53" i="11"/>
  <c r="AP33" i="11"/>
  <c r="AQ73" i="11"/>
  <c r="AQ33" i="11"/>
  <c r="AQ13" i="11"/>
  <c r="AO73" i="11"/>
  <c r="AN53" i="11"/>
  <c r="AP73" i="11"/>
  <c r="AM93" i="11"/>
  <c r="AN33" i="11"/>
  <c r="AO53" i="11"/>
  <c r="AO13" i="11"/>
  <c r="AP93" i="11"/>
  <c r="AP13" i="11"/>
  <c r="U50" i="17" l="1"/>
  <c r="M50" i="10" s="1"/>
  <c r="R50" i="10" s="1"/>
  <c r="T50" i="17"/>
  <c r="L50" i="10" s="1"/>
  <c r="U30" i="17"/>
  <c r="M30" i="10" s="1"/>
  <c r="R30" i="10" s="1"/>
  <c r="T90" i="17"/>
  <c r="L90" i="10" s="1"/>
  <c r="T10" i="17"/>
  <c r="L10" i="10" s="1"/>
  <c r="N33" i="10"/>
  <c r="S33" i="10" s="1"/>
  <c r="N93" i="10"/>
  <c r="S93" i="10" s="1"/>
  <c r="N53" i="10"/>
  <c r="S53" i="10" s="1"/>
  <c r="N73" i="10"/>
  <c r="S73" i="10" s="1"/>
  <c r="U10" i="17"/>
  <c r="M10" i="10" s="1"/>
  <c r="R10" i="10" s="1"/>
  <c r="N9" i="10"/>
  <c r="S9" i="10" s="1"/>
  <c r="V10" i="17"/>
  <c r="Q8" i="10"/>
  <c r="T68" i="10"/>
  <c r="AE68" i="10"/>
  <c r="AD68" i="10"/>
  <c r="AC68" i="10"/>
  <c r="AB68" i="10"/>
  <c r="U28" i="10"/>
  <c r="AI28" i="10"/>
  <c r="AH28" i="10"/>
  <c r="AG28" i="10"/>
  <c r="AF28" i="10"/>
  <c r="U48" i="10"/>
  <c r="AI48" i="10"/>
  <c r="AH48" i="10"/>
  <c r="AG48" i="10"/>
  <c r="AF48" i="10"/>
  <c r="T88" i="10"/>
  <c r="AE88" i="10"/>
  <c r="AD88" i="10"/>
  <c r="AC88" i="10"/>
  <c r="AB88" i="10"/>
  <c r="T48" i="10"/>
  <c r="AC48" i="10"/>
  <c r="AD48" i="10"/>
  <c r="AE48" i="10"/>
  <c r="AB48" i="10"/>
  <c r="T28" i="10"/>
  <c r="AE28" i="10"/>
  <c r="AC28" i="10"/>
  <c r="AD28" i="10"/>
  <c r="AB28" i="10"/>
  <c r="U68" i="10"/>
  <c r="AG68" i="10"/>
  <c r="AI68" i="10"/>
  <c r="AH68" i="10"/>
  <c r="AF68" i="10"/>
  <c r="U88" i="10"/>
  <c r="AI88" i="10"/>
  <c r="AG88" i="10"/>
  <c r="AH88" i="10"/>
  <c r="AF88" i="10"/>
  <c r="U8" i="10"/>
  <c r="AH8" i="10"/>
  <c r="AG8" i="10"/>
  <c r="AI8" i="10"/>
  <c r="AF8" i="10"/>
  <c r="T8" i="10"/>
  <c r="AC8" i="10"/>
  <c r="AD8" i="10"/>
  <c r="AE8" i="10"/>
  <c r="AB8" i="10"/>
  <c r="Q89" i="10"/>
  <c r="Q9" i="10"/>
  <c r="X50" i="17"/>
  <c r="P50" i="10" s="1"/>
  <c r="T70" i="17"/>
  <c r="L70" i="10" s="1"/>
  <c r="U70" i="17"/>
  <c r="M70" i="10" s="1"/>
  <c r="R69" i="10"/>
  <c r="X90" i="17"/>
  <c r="P90" i="10" s="1"/>
  <c r="X70" i="17"/>
  <c r="P70" i="10" s="1"/>
  <c r="W10" i="17"/>
  <c r="O10" i="10" s="1"/>
  <c r="U90" i="17"/>
  <c r="M90" i="10" s="1"/>
  <c r="R89" i="10"/>
  <c r="Q28" i="10"/>
  <c r="T30" i="17"/>
  <c r="L30" i="10" s="1"/>
  <c r="W90" i="17"/>
  <c r="O90" i="10" s="1"/>
  <c r="X10" i="17"/>
  <c r="P10" i="10" s="1"/>
  <c r="Q49" i="10"/>
  <c r="W70" i="17"/>
  <c r="O70" i="10" s="1"/>
  <c r="X30" i="17"/>
  <c r="P30" i="10" s="1"/>
  <c r="W50" i="17"/>
  <c r="O50" i="10" s="1"/>
  <c r="W30" i="17"/>
  <c r="O30" i="10" s="1"/>
  <c r="Q68" i="10"/>
  <c r="Q109" i="4"/>
  <c r="W86" i="4"/>
  <c r="V86" i="4"/>
  <c r="U86" i="4"/>
  <c r="S21" i="4"/>
  <c r="S44" i="4" s="1"/>
  <c r="S67" i="4" s="1"/>
  <c r="S90" i="4" s="1"/>
  <c r="S113" i="4" s="1"/>
  <c r="S43" i="4"/>
  <c r="S66" i="4" s="1"/>
  <c r="S89" i="4" s="1"/>
  <c r="S112" i="4" s="1"/>
  <c r="W20" i="4"/>
  <c r="R21" i="4"/>
  <c r="R44" i="4" s="1"/>
  <c r="R67" i="4" s="1"/>
  <c r="R90" i="4" s="1"/>
  <c r="R113" i="4" s="1"/>
  <c r="R43" i="4"/>
  <c r="R66" i="4" s="1"/>
  <c r="R89" i="4" s="1"/>
  <c r="R112" i="4" s="1"/>
  <c r="Y42" i="4"/>
  <c r="O110" i="4"/>
  <c r="U87" i="4"/>
  <c r="V87" i="4"/>
  <c r="W87" i="4"/>
  <c r="X87" i="4"/>
  <c r="Y87" i="4"/>
  <c r="S109" i="4"/>
  <c r="Y86" i="4"/>
  <c r="U42" i="4"/>
  <c r="O66" i="4"/>
  <c r="U43" i="4"/>
  <c r="Q21" i="4"/>
  <c r="Q44" i="4" s="1"/>
  <c r="Q67" i="4" s="1"/>
  <c r="Q90" i="4" s="1"/>
  <c r="Q113" i="4" s="1"/>
  <c r="Q43" i="4"/>
  <c r="Q66" i="4" s="1"/>
  <c r="Q89" i="4" s="1"/>
  <c r="Q112" i="4" s="1"/>
  <c r="W42" i="4"/>
  <c r="V42" i="4"/>
  <c r="O44" i="4"/>
  <c r="V21" i="4"/>
  <c r="Y21" i="4"/>
  <c r="X42" i="4"/>
  <c r="R109" i="4"/>
  <c r="X109" i="4" s="1"/>
  <c r="X86" i="4"/>
  <c r="O88" i="4"/>
  <c r="U65" i="4"/>
  <c r="Y65" i="4"/>
  <c r="V65" i="4"/>
  <c r="X65" i="4"/>
  <c r="W65" i="4"/>
  <c r="AA35" i="4"/>
  <c r="AA58" i="4" s="1"/>
  <c r="AA80" i="4"/>
  <c r="AB82" i="4"/>
  <c r="AB60" i="4"/>
  <c r="AB38" i="4"/>
  <c r="AN34" i="11"/>
  <c r="AM54" i="11"/>
  <c r="AO54" i="11"/>
  <c r="AQ94" i="11"/>
  <c r="AM14" i="11"/>
  <c r="AN74" i="11"/>
  <c r="AP34" i="11"/>
  <c r="AN54" i="11"/>
  <c r="AO94" i="11"/>
  <c r="AL74" i="11"/>
  <c r="AO74" i="11"/>
  <c r="AQ74" i="11"/>
  <c r="AP54" i="11"/>
  <c r="AP14" i="11"/>
  <c r="AP94" i="11"/>
  <c r="AQ34" i="11"/>
  <c r="AQ14" i="11"/>
  <c r="AO34" i="11"/>
  <c r="AL54" i="11"/>
  <c r="AQ54" i="11"/>
  <c r="AL14" i="11"/>
  <c r="AN14" i="11"/>
  <c r="AM34" i="11"/>
  <c r="AO14" i="11"/>
  <c r="AL34" i="11"/>
  <c r="AL94" i="11"/>
  <c r="AN94" i="11"/>
  <c r="AM94" i="11"/>
  <c r="AP74" i="11"/>
  <c r="AM74" i="11"/>
  <c r="X43" i="4" l="1"/>
  <c r="W43" i="4"/>
  <c r="V43" i="4"/>
  <c r="U51" i="17"/>
  <c r="M51" i="10" s="1"/>
  <c r="R51" i="10" s="1"/>
  <c r="T51" i="17"/>
  <c r="L51" i="10" s="1"/>
  <c r="U11" i="17"/>
  <c r="U12" i="17" s="1"/>
  <c r="M12" i="10" s="1"/>
  <c r="T91" i="17"/>
  <c r="L91" i="10" s="1"/>
  <c r="U31" i="17"/>
  <c r="M31" i="10" s="1"/>
  <c r="R31" i="10" s="1"/>
  <c r="T11" i="17"/>
  <c r="L11" i="10" s="1"/>
  <c r="N74" i="10"/>
  <c r="S74" i="10" s="1"/>
  <c r="N54" i="10"/>
  <c r="S54" i="10" s="1"/>
  <c r="N94" i="10"/>
  <c r="S94" i="10" s="1"/>
  <c r="N34" i="10"/>
  <c r="S34" i="10" s="1"/>
  <c r="N10" i="10"/>
  <c r="S10" i="10" s="1"/>
  <c r="V11" i="17"/>
  <c r="U29" i="10"/>
  <c r="AI29" i="10"/>
  <c r="AG29" i="10"/>
  <c r="AH29" i="10"/>
  <c r="AF29" i="10"/>
  <c r="U49" i="10"/>
  <c r="AG49" i="10"/>
  <c r="AI49" i="10"/>
  <c r="AH49" i="10"/>
  <c r="AF49" i="10"/>
  <c r="T89" i="10"/>
  <c r="AC89" i="10"/>
  <c r="AE89" i="10"/>
  <c r="AD89" i="10"/>
  <c r="AB89" i="10"/>
  <c r="T9" i="10"/>
  <c r="AC9" i="10"/>
  <c r="AE9" i="10"/>
  <c r="AD9" i="10"/>
  <c r="AB9" i="10"/>
  <c r="U69" i="10"/>
  <c r="AI69" i="10"/>
  <c r="AH69" i="10"/>
  <c r="AG69" i="10"/>
  <c r="AF69" i="10"/>
  <c r="U89" i="10"/>
  <c r="AI89" i="10"/>
  <c r="AH89" i="10"/>
  <c r="AG89" i="10"/>
  <c r="AF89" i="10"/>
  <c r="T49" i="10"/>
  <c r="AE49" i="10"/>
  <c r="AD49" i="10"/>
  <c r="AC49" i="10"/>
  <c r="AB49" i="10"/>
  <c r="T29" i="10"/>
  <c r="AC29" i="10"/>
  <c r="AE29" i="10"/>
  <c r="AD29" i="10"/>
  <c r="AB29" i="10"/>
  <c r="T69" i="10"/>
  <c r="AE69" i="10"/>
  <c r="AD69" i="10"/>
  <c r="AC69" i="10"/>
  <c r="AB69" i="10"/>
  <c r="U9" i="10"/>
  <c r="AG9" i="10"/>
  <c r="AH9" i="10"/>
  <c r="AI9" i="10"/>
  <c r="AF9" i="10"/>
  <c r="T71" i="17"/>
  <c r="L71" i="10" s="1"/>
  <c r="W11" i="17"/>
  <c r="O11" i="10" s="1"/>
  <c r="W91" i="17"/>
  <c r="O91" i="10" s="1"/>
  <c r="X51" i="17"/>
  <c r="P51" i="10" s="1"/>
  <c r="Q10" i="10"/>
  <c r="W71" i="17"/>
  <c r="O71" i="10" s="1"/>
  <c r="Q29" i="10"/>
  <c r="X71" i="17"/>
  <c r="P71" i="10" s="1"/>
  <c r="U71" i="17"/>
  <c r="M71" i="10" s="1"/>
  <c r="R70" i="10"/>
  <c r="T31" i="17"/>
  <c r="L31" i="10" s="1"/>
  <c r="W31" i="17"/>
  <c r="O31" i="10" s="1"/>
  <c r="U91" i="17"/>
  <c r="M91" i="10" s="1"/>
  <c r="R90" i="10"/>
  <c r="Q50" i="10"/>
  <c r="W51" i="17"/>
  <c r="O51" i="10" s="1"/>
  <c r="X31" i="17"/>
  <c r="P31" i="10" s="1"/>
  <c r="Q69" i="10"/>
  <c r="X11" i="17"/>
  <c r="P11" i="10" s="1"/>
  <c r="Q90" i="10"/>
  <c r="X91" i="17"/>
  <c r="P91" i="10" s="1"/>
  <c r="O67" i="4"/>
  <c r="U44" i="4"/>
  <c r="V44" i="4"/>
  <c r="Y44" i="4"/>
  <c r="W44" i="4"/>
  <c r="X44" i="4"/>
  <c r="U21" i="4"/>
  <c r="Y110" i="4"/>
  <c r="X110" i="4"/>
  <c r="V110" i="4"/>
  <c r="W110" i="4"/>
  <c r="U110" i="4"/>
  <c r="W21" i="4"/>
  <c r="O111" i="4"/>
  <c r="X88" i="4"/>
  <c r="Y88" i="4"/>
  <c r="W88" i="4"/>
  <c r="U88" i="4"/>
  <c r="V88" i="4"/>
  <c r="O89" i="4"/>
  <c r="V66" i="4"/>
  <c r="X66" i="4"/>
  <c r="U66" i="4"/>
  <c r="W66" i="4"/>
  <c r="Y66" i="4"/>
  <c r="X21" i="4"/>
  <c r="Y43" i="4"/>
  <c r="Y109" i="4"/>
  <c r="W109" i="4"/>
  <c r="U109" i="4"/>
  <c r="V109" i="4"/>
  <c r="AA36" i="4"/>
  <c r="AA59" i="4" s="1"/>
  <c r="AB61" i="4"/>
  <c r="AB83" i="4"/>
  <c r="AB105" i="4"/>
  <c r="AA37" i="4"/>
  <c r="AA103" i="4"/>
  <c r="AA81" i="4"/>
  <c r="AL95" i="11"/>
  <c r="AN75" i="11"/>
  <c r="AM55" i="11"/>
  <c r="AO15" i="11"/>
  <c r="AP75" i="11"/>
  <c r="AQ35" i="11"/>
  <c r="AM95" i="11"/>
  <c r="AM35" i="11"/>
  <c r="AP55" i="11"/>
  <c r="AN35" i="11"/>
  <c r="AP95" i="11"/>
  <c r="AQ95" i="11"/>
  <c r="AM15" i="11"/>
  <c r="AO75" i="11"/>
  <c r="AP35" i="11"/>
  <c r="AQ15" i="11"/>
  <c r="AM75" i="11"/>
  <c r="AM141" i="3"/>
  <c r="AL15" i="11"/>
  <c r="AL55" i="11"/>
  <c r="AQ75" i="11"/>
  <c r="AQ55" i="11"/>
  <c r="AN55" i="11"/>
  <c r="AN95" i="11"/>
  <c r="AO35" i="11"/>
  <c r="AN15" i="11"/>
  <c r="AO55" i="11"/>
  <c r="AL75" i="11"/>
  <c r="AO95" i="11"/>
  <c r="AP15" i="11"/>
  <c r="AL35" i="11"/>
  <c r="U52" i="17" l="1"/>
  <c r="M52" i="10" s="1"/>
  <c r="R52" i="10" s="1"/>
  <c r="T52" i="17"/>
  <c r="L52" i="10" s="1"/>
  <c r="M11" i="10"/>
  <c r="R11" i="10" s="1"/>
  <c r="T92" i="17"/>
  <c r="L92" i="10" s="1"/>
  <c r="U32" i="17"/>
  <c r="M32" i="10" s="1"/>
  <c r="R32" i="10" s="1"/>
  <c r="T12" i="17"/>
  <c r="L12" i="10" s="1"/>
  <c r="N35" i="10"/>
  <c r="S35" i="10" s="1"/>
  <c r="N95" i="10"/>
  <c r="S95" i="10" s="1"/>
  <c r="N55" i="10"/>
  <c r="S55" i="10" s="1"/>
  <c r="N75" i="10"/>
  <c r="S75" i="10" s="1"/>
  <c r="N11" i="10"/>
  <c r="S11" i="10" s="1"/>
  <c r="V12" i="17"/>
  <c r="T90" i="10"/>
  <c r="AE90" i="10"/>
  <c r="AD90" i="10"/>
  <c r="AC90" i="10"/>
  <c r="AB90" i="10"/>
  <c r="T70" i="10"/>
  <c r="AC70" i="10"/>
  <c r="AE70" i="10"/>
  <c r="AD70" i="10"/>
  <c r="AB70" i="10"/>
  <c r="U30" i="10"/>
  <c r="AG30" i="10"/>
  <c r="AI30" i="10"/>
  <c r="AH30" i="10"/>
  <c r="AF30" i="10"/>
  <c r="T10" i="10"/>
  <c r="AC10" i="10"/>
  <c r="AD10" i="10"/>
  <c r="AE10" i="10"/>
  <c r="AB10" i="10"/>
  <c r="T30" i="10"/>
  <c r="AE30" i="10"/>
  <c r="AD30" i="10"/>
  <c r="AC30" i="10"/>
  <c r="AB30" i="10"/>
  <c r="U50" i="10"/>
  <c r="AI50" i="10"/>
  <c r="AH50" i="10"/>
  <c r="AG50" i="10"/>
  <c r="AF50" i="10"/>
  <c r="U70" i="10"/>
  <c r="AI70" i="10"/>
  <c r="AH70" i="10"/>
  <c r="AG70" i="10"/>
  <c r="AF70" i="10"/>
  <c r="U90" i="10"/>
  <c r="AG90" i="10"/>
  <c r="AI90" i="10"/>
  <c r="AH90" i="10"/>
  <c r="AF90" i="10"/>
  <c r="T50" i="10"/>
  <c r="AE50" i="10"/>
  <c r="AD50" i="10"/>
  <c r="AC50" i="10"/>
  <c r="AB50" i="10"/>
  <c r="U10" i="10"/>
  <c r="AG10" i="10"/>
  <c r="AH10" i="10"/>
  <c r="AI10" i="10"/>
  <c r="AF10" i="10"/>
  <c r="X32" i="17"/>
  <c r="P32" i="10" s="1"/>
  <c r="T32" i="17"/>
  <c r="L32" i="10" s="1"/>
  <c r="Q30" i="10"/>
  <c r="W52" i="17"/>
  <c r="O52" i="10" s="1"/>
  <c r="Q91" i="10"/>
  <c r="X12" i="17"/>
  <c r="P12" i="10" s="1"/>
  <c r="U72" i="17"/>
  <c r="M72" i="10" s="1"/>
  <c r="R71" i="10"/>
  <c r="X52" i="17"/>
  <c r="P52" i="10" s="1"/>
  <c r="U92" i="17"/>
  <c r="M92" i="10" s="1"/>
  <c r="R91" i="10"/>
  <c r="W72" i="17"/>
  <c r="O72" i="10" s="1"/>
  <c r="X92" i="17"/>
  <c r="P92" i="10" s="1"/>
  <c r="X72" i="17"/>
  <c r="P72" i="10" s="1"/>
  <c r="U13" i="17"/>
  <c r="M13" i="10" s="1"/>
  <c r="R12" i="10"/>
  <c r="Q51" i="10"/>
  <c r="W12" i="17"/>
  <c r="O12" i="10" s="1"/>
  <c r="W32" i="17"/>
  <c r="O32" i="10" s="1"/>
  <c r="W92" i="17"/>
  <c r="O92" i="10" s="1"/>
  <c r="Q70" i="10"/>
  <c r="Q11" i="10"/>
  <c r="T72" i="17"/>
  <c r="L72" i="10" s="1"/>
  <c r="U111" i="4"/>
  <c r="W111" i="4"/>
  <c r="X111" i="4"/>
  <c r="V111" i="4"/>
  <c r="Y111" i="4"/>
  <c r="O112" i="4"/>
  <c r="W89" i="4"/>
  <c r="Y89" i="4"/>
  <c r="X89" i="4"/>
  <c r="V89" i="4"/>
  <c r="U89" i="4"/>
  <c r="O90" i="4"/>
  <c r="Y67" i="4"/>
  <c r="U67" i="4"/>
  <c r="V67" i="4"/>
  <c r="X67" i="4"/>
  <c r="W67" i="4"/>
  <c r="AA104" i="4"/>
  <c r="AA38" i="4"/>
  <c r="AA60" i="4"/>
  <c r="AB106" i="4"/>
  <c r="AA82" i="4"/>
  <c r="AB84" i="4"/>
  <c r="AO141" i="3"/>
  <c r="AP36" i="11"/>
  <c r="AM96" i="11"/>
  <c r="AN76" i="11"/>
  <c r="AQ16" i="11"/>
  <c r="AO96" i="11"/>
  <c r="AQ56" i="11"/>
  <c r="AQ76" i="11"/>
  <c r="AO16" i="11"/>
  <c r="AN56" i="11"/>
  <c r="AO36" i="11"/>
  <c r="AL76" i="11"/>
  <c r="AP56" i="11"/>
  <c r="AM186" i="3"/>
  <c r="AM51" i="3"/>
  <c r="AP96" i="11"/>
  <c r="AQ36" i="11"/>
  <c r="AM36" i="11"/>
  <c r="AQ96" i="11"/>
  <c r="AN96" i="11"/>
  <c r="AM16" i="11"/>
  <c r="AN36" i="11"/>
  <c r="AM56" i="11"/>
  <c r="AO56" i="11"/>
  <c r="AL36" i="11"/>
  <c r="AM76" i="11"/>
  <c r="AP16" i="11"/>
  <c r="AM6" i="3"/>
  <c r="AL56" i="11"/>
  <c r="AL96" i="11"/>
  <c r="AL16" i="11"/>
  <c r="AN16" i="11"/>
  <c r="AM96" i="3"/>
  <c r="AO76" i="11"/>
  <c r="AP76" i="11"/>
  <c r="U53" i="17" l="1"/>
  <c r="M53" i="10" s="1"/>
  <c r="R53" i="10" s="1"/>
  <c r="T53" i="17"/>
  <c r="L53" i="10" s="1"/>
  <c r="T93" i="17"/>
  <c r="L93" i="10" s="1"/>
  <c r="U33" i="17"/>
  <c r="M33" i="10" s="1"/>
  <c r="R33" i="10" s="1"/>
  <c r="T13" i="17"/>
  <c r="L13" i="10" s="1"/>
  <c r="N76" i="10"/>
  <c r="S76" i="10" s="1"/>
  <c r="N56" i="10"/>
  <c r="S56" i="10" s="1"/>
  <c r="N96" i="10"/>
  <c r="S96" i="10" s="1"/>
  <c r="N36" i="10"/>
  <c r="S36" i="10" s="1"/>
  <c r="N12" i="10"/>
  <c r="S12" i="10" s="1"/>
  <c r="V13" i="17"/>
  <c r="U71" i="10"/>
  <c r="AG71" i="10"/>
  <c r="AI71" i="10"/>
  <c r="AH71" i="10"/>
  <c r="AF71" i="10"/>
  <c r="T51" i="10"/>
  <c r="AC51" i="10"/>
  <c r="AD51" i="10"/>
  <c r="AE51" i="10"/>
  <c r="AB51" i="10"/>
  <c r="U51" i="10"/>
  <c r="AI51" i="10"/>
  <c r="AH51" i="10"/>
  <c r="AG51" i="10"/>
  <c r="AF51" i="10"/>
  <c r="T31" i="10"/>
  <c r="AE31" i="10"/>
  <c r="AC31" i="10"/>
  <c r="AD31" i="10"/>
  <c r="AB31" i="10"/>
  <c r="T71" i="10"/>
  <c r="AE71" i="10"/>
  <c r="AC71" i="10"/>
  <c r="AD71" i="10"/>
  <c r="AB71" i="10"/>
  <c r="U11" i="10"/>
  <c r="AH11" i="10"/>
  <c r="AG11" i="10"/>
  <c r="AI11" i="10"/>
  <c r="AF11" i="10"/>
  <c r="U31" i="10"/>
  <c r="AI31" i="10"/>
  <c r="AH31" i="10"/>
  <c r="AG31" i="10"/>
  <c r="AF31" i="10"/>
  <c r="T91" i="10"/>
  <c r="AE91" i="10"/>
  <c r="AD91" i="10"/>
  <c r="AC91" i="10"/>
  <c r="AB91" i="10"/>
  <c r="U91" i="10"/>
  <c r="AI91" i="10"/>
  <c r="AG91" i="10"/>
  <c r="AH91" i="10"/>
  <c r="AF91" i="10"/>
  <c r="T11" i="10"/>
  <c r="AD11" i="10"/>
  <c r="AC11" i="10"/>
  <c r="AE11" i="10"/>
  <c r="AB11" i="10"/>
  <c r="T73" i="17"/>
  <c r="L73" i="10" s="1"/>
  <c r="W13" i="17"/>
  <c r="O13" i="10" s="1"/>
  <c r="W73" i="17"/>
  <c r="O73" i="10" s="1"/>
  <c r="W53" i="17"/>
  <c r="O53" i="10" s="1"/>
  <c r="U93" i="17"/>
  <c r="M93" i="10" s="1"/>
  <c r="R92" i="10"/>
  <c r="Q52" i="10"/>
  <c r="Q92" i="10"/>
  <c r="X53" i="17"/>
  <c r="P53" i="10" s="1"/>
  <c r="U14" i="17"/>
  <c r="M14" i="10" s="1"/>
  <c r="R13" i="10"/>
  <c r="U73" i="17"/>
  <c r="M73" i="10" s="1"/>
  <c r="R72" i="10"/>
  <c r="Q31" i="10"/>
  <c r="W33" i="17"/>
  <c r="O33" i="10" s="1"/>
  <c r="Q12" i="10"/>
  <c r="T33" i="17"/>
  <c r="L33" i="10" s="1"/>
  <c r="W93" i="17"/>
  <c r="O93" i="10" s="1"/>
  <c r="X73" i="17"/>
  <c r="P73" i="10" s="1"/>
  <c r="X13" i="17"/>
  <c r="P13" i="10" s="1"/>
  <c r="Q71" i="10"/>
  <c r="X93" i="17"/>
  <c r="P93" i="10" s="1"/>
  <c r="X33" i="17"/>
  <c r="P33" i="10" s="1"/>
  <c r="W112" i="4"/>
  <c r="X112" i="4"/>
  <c r="Y112" i="4"/>
  <c r="V112" i="4"/>
  <c r="U112" i="4"/>
  <c r="O113" i="4"/>
  <c r="V90" i="4"/>
  <c r="Y90" i="4"/>
  <c r="W90" i="4"/>
  <c r="X90" i="4"/>
  <c r="U90" i="4"/>
  <c r="AA105" i="4"/>
  <c r="AB107" i="4"/>
  <c r="AA61" i="4"/>
  <c r="AA83" i="4"/>
  <c r="AO186" i="3"/>
  <c r="AO6" i="3"/>
  <c r="AO51" i="3"/>
  <c r="AO96" i="3"/>
  <c r="AN77" i="11"/>
  <c r="AO17" i="11"/>
  <c r="AN17" i="11"/>
  <c r="AO97" i="11"/>
  <c r="AQ57" i="11"/>
  <c r="AP97" i="11"/>
  <c r="AQ97" i="11"/>
  <c r="AO37" i="11"/>
  <c r="AL17" i="11"/>
  <c r="AM97" i="11"/>
  <c r="AP57" i="11"/>
  <c r="AP77" i="11"/>
  <c r="AM17" i="11"/>
  <c r="AO77" i="11"/>
  <c r="AN57" i="11"/>
  <c r="AQ17" i="11"/>
  <c r="AP37" i="11"/>
  <c r="AN37" i="11"/>
  <c r="AM57" i="11"/>
  <c r="AL97" i="11"/>
  <c r="AM37" i="11"/>
  <c r="AL37" i="11"/>
  <c r="AO57" i="11"/>
  <c r="AQ77" i="11"/>
  <c r="AM77" i="11"/>
  <c r="AL77" i="11"/>
  <c r="AN97" i="11"/>
  <c r="AP17" i="11"/>
  <c r="AL57" i="11"/>
  <c r="AQ37" i="11"/>
  <c r="U54" i="17" l="1"/>
  <c r="M54" i="10" s="1"/>
  <c r="R54" i="10" s="1"/>
  <c r="T54" i="17"/>
  <c r="L54" i="10" s="1"/>
  <c r="T14" i="17"/>
  <c r="L14" i="10" s="1"/>
  <c r="T94" i="17"/>
  <c r="L94" i="10" s="1"/>
  <c r="U34" i="17"/>
  <c r="M34" i="10" s="1"/>
  <c r="R34" i="10" s="1"/>
  <c r="N37" i="10"/>
  <c r="S37" i="10" s="1"/>
  <c r="N97" i="10"/>
  <c r="S97" i="10" s="1"/>
  <c r="N57" i="10"/>
  <c r="S57" i="10" s="1"/>
  <c r="N77" i="10"/>
  <c r="S77" i="10" s="1"/>
  <c r="N13" i="10"/>
  <c r="S13" i="10" s="1"/>
  <c r="V14" i="17"/>
  <c r="T52" i="10"/>
  <c r="AE52" i="10"/>
  <c r="AD52" i="10"/>
  <c r="AC52" i="10"/>
  <c r="AB52" i="10"/>
  <c r="T12" i="10"/>
  <c r="AC12" i="10"/>
  <c r="AD12" i="10"/>
  <c r="AE12" i="10"/>
  <c r="AB12" i="10"/>
  <c r="T32" i="10"/>
  <c r="AC32" i="10"/>
  <c r="AE32" i="10"/>
  <c r="AD32" i="10"/>
  <c r="AB32" i="10"/>
  <c r="U12" i="10"/>
  <c r="AG12" i="10"/>
  <c r="AH12" i="10"/>
  <c r="AI12" i="10"/>
  <c r="AF12" i="10"/>
  <c r="U72" i="10"/>
  <c r="AI72" i="10"/>
  <c r="AH72" i="10"/>
  <c r="AG72" i="10"/>
  <c r="AF72" i="10"/>
  <c r="T92" i="10"/>
  <c r="AC92" i="10"/>
  <c r="AD92" i="10"/>
  <c r="AE92" i="10"/>
  <c r="AB92" i="10"/>
  <c r="U32" i="10"/>
  <c r="AI32" i="10"/>
  <c r="AH32" i="10"/>
  <c r="AG32" i="10"/>
  <c r="AF32" i="10"/>
  <c r="U92" i="10"/>
  <c r="AI92" i="10"/>
  <c r="AH92" i="10"/>
  <c r="AG92" i="10"/>
  <c r="AF92" i="10"/>
  <c r="U52" i="10"/>
  <c r="AG52" i="10"/>
  <c r="AI52" i="10"/>
  <c r="AH52" i="10"/>
  <c r="AF52" i="10"/>
  <c r="T72" i="10"/>
  <c r="AE72" i="10"/>
  <c r="AD72" i="10"/>
  <c r="AC72" i="10"/>
  <c r="AB72" i="10"/>
  <c r="Q93" i="10"/>
  <c r="U94" i="17"/>
  <c r="M94" i="10" s="1"/>
  <c r="R93" i="10"/>
  <c r="U55" i="17"/>
  <c r="M55" i="10" s="1"/>
  <c r="T34" i="17"/>
  <c r="L34" i="10" s="1"/>
  <c r="X14" i="17"/>
  <c r="P14" i="10" s="1"/>
  <c r="W34" i="17"/>
  <c r="O34" i="10" s="1"/>
  <c r="X54" i="17"/>
  <c r="P54" i="10" s="1"/>
  <c r="Q53" i="10"/>
  <c r="W54" i="17"/>
  <c r="O54" i="10" s="1"/>
  <c r="X74" i="17"/>
  <c r="P74" i="10" s="1"/>
  <c r="W74" i="17"/>
  <c r="O74" i="10" s="1"/>
  <c r="X34" i="17"/>
  <c r="P34" i="10" s="1"/>
  <c r="W94" i="17"/>
  <c r="O94" i="10" s="1"/>
  <c r="U74" i="17"/>
  <c r="M74" i="10" s="1"/>
  <c r="R73" i="10"/>
  <c r="Q13" i="10"/>
  <c r="W14" i="17"/>
  <c r="O14" i="10" s="1"/>
  <c r="X94" i="17"/>
  <c r="P94" i="10" s="1"/>
  <c r="U15" i="17"/>
  <c r="M15" i="10" s="1"/>
  <c r="R14" i="10"/>
  <c r="Q72" i="10"/>
  <c r="Q32" i="10"/>
  <c r="T74" i="17"/>
  <c r="L74" i="10" s="1"/>
  <c r="Y113" i="4"/>
  <c r="X113" i="4"/>
  <c r="U113" i="4"/>
  <c r="W113" i="4"/>
  <c r="V113" i="4"/>
  <c r="AA106" i="4"/>
  <c r="AA84" i="4"/>
  <c r="AP38" i="11"/>
  <c r="AN78" i="11"/>
  <c r="AN38" i="11"/>
  <c r="AQ58" i="11"/>
  <c r="AO38" i="11"/>
  <c r="AM58" i="11"/>
  <c r="AO58" i="11"/>
  <c r="AP98" i="11"/>
  <c r="AQ78" i="11"/>
  <c r="AN58" i="11"/>
  <c r="AM38" i="11"/>
  <c r="AL18" i="11"/>
  <c r="AQ18" i="11"/>
  <c r="AM78" i="11"/>
  <c r="AL98" i="11"/>
  <c r="AL38" i="11"/>
  <c r="AQ38" i="11"/>
  <c r="AP58" i="11"/>
  <c r="AM18" i="11"/>
  <c r="AN18" i="11"/>
  <c r="AN98" i="11"/>
  <c r="AM98" i="11"/>
  <c r="AL78" i="11"/>
  <c r="AQ98" i="11"/>
  <c r="AO78" i="11"/>
  <c r="AL58" i="11"/>
  <c r="AO98" i="11"/>
  <c r="AP78" i="11"/>
  <c r="AP18" i="11"/>
  <c r="AO18" i="11"/>
  <c r="T55" i="17" l="1"/>
  <c r="L55" i="10" s="1"/>
  <c r="T15" i="17"/>
  <c r="L15" i="10" s="1"/>
  <c r="T95" i="17"/>
  <c r="L95" i="10" s="1"/>
  <c r="U35" i="17"/>
  <c r="M35" i="10" s="1"/>
  <c r="R35" i="10" s="1"/>
  <c r="N78" i="10"/>
  <c r="S78" i="10" s="1"/>
  <c r="N58" i="10"/>
  <c r="S58" i="10" s="1"/>
  <c r="N38" i="10"/>
  <c r="S38" i="10" s="1"/>
  <c r="N98" i="10"/>
  <c r="S98" i="10" s="1"/>
  <c r="N14" i="10"/>
  <c r="S14" i="10" s="1"/>
  <c r="V15" i="17"/>
  <c r="U93" i="10"/>
  <c r="AG93" i="10"/>
  <c r="AI93" i="10"/>
  <c r="AH93" i="10"/>
  <c r="AF93" i="10"/>
  <c r="T73" i="10"/>
  <c r="AC73" i="10"/>
  <c r="AE73" i="10"/>
  <c r="AD73" i="10"/>
  <c r="AB73" i="10"/>
  <c r="U53" i="10"/>
  <c r="AI53" i="10"/>
  <c r="AH53" i="10"/>
  <c r="AG53" i="10"/>
  <c r="AF53" i="10"/>
  <c r="T33" i="10"/>
  <c r="AE33" i="10"/>
  <c r="AD33" i="10"/>
  <c r="AC33" i="10"/>
  <c r="AB33" i="10"/>
  <c r="U33" i="10"/>
  <c r="AG33" i="10"/>
  <c r="AH33" i="10"/>
  <c r="AI33" i="10"/>
  <c r="AF33" i="10"/>
  <c r="T93" i="10"/>
  <c r="AE93" i="10"/>
  <c r="AC93" i="10"/>
  <c r="AD93" i="10"/>
  <c r="AB93" i="10"/>
  <c r="T13" i="10"/>
  <c r="AC13" i="10"/>
  <c r="AD13" i="10"/>
  <c r="AE13" i="10"/>
  <c r="AB13" i="10"/>
  <c r="T53" i="10"/>
  <c r="AE53" i="10"/>
  <c r="AD53" i="10"/>
  <c r="AC53" i="10"/>
  <c r="AB53" i="10"/>
  <c r="U13" i="10"/>
  <c r="AG13" i="10"/>
  <c r="AH13" i="10"/>
  <c r="AI13" i="10"/>
  <c r="AF13" i="10"/>
  <c r="U73" i="10"/>
  <c r="AI73" i="10"/>
  <c r="AH73" i="10"/>
  <c r="AG73" i="10"/>
  <c r="AF73" i="10"/>
  <c r="Q94" i="10"/>
  <c r="X75" i="17"/>
  <c r="P75" i="10" s="1"/>
  <c r="U16" i="17"/>
  <c r="M16" i="10" s="1"/>
  <c r="R15" i="10"/>
  <c r="U75" i="17"/>
  <c r="M75" i="10" s="1"/>
  <c r="R74" i="10"/>
  <c r="Q33" i="10"/>
  <c r="Q14" i="10"/>
  <c r="W55" i="17"/>
  <c r="O55" i="10" s="1"/>
  <c r="T35" i="17"/>
  <c r="L35" i="10" s="1"/>
  <c r="W95" i="17"/>
  <c r="O95" i="10" s="1"/>
  <c r="U56" i="17"/>
  <c r="M56" i="10" s="1"/>
  <c r="R55" i="10"/>
  <c r="Q73" i="10"/>
  <c r="X95" i="17"/>
  <c r="P95" i="10" s="1"/>
  <c r="X35" i="17"/>
  <c r="P35" i="10" s="1"/>
  <c r="T75" i="17"/>
  <c r="L75" i="10" s="1"/>
  <c r="X55" i="17"/>
  <c r="P55" i="10" s="1"/>
  <c r="U95" i="17"/>
  <c r="M95" i="10" s="1"/>
  <c r="R94" i="10"/>
  <c r="W15" i="17"/>
  <c r="O15" i="10" s="1"/>
  <c r="W75" i="17"/>
  <c r="O75" i="10" s="1"/>
  <c r="W35" i="17"/>
  <c r="O35" i="10" s="1"/>
  <c r="X15" i="17"/>
  <c r="P15" i="10" s="1"/>
  <c r="Q54" i="10"/>
  <c r="AA107" i="4"/>
  <c r="AL99" i="11"/>
  <c r="AP59" i="11"/>
  <c r="AL19" i="11"/>
  <c r="AN59" i="11"/>
  <c r="AL79" i="11"/>
  <c r="AO39" i="11"/>
  <c r="AQ59" i="11"/>
  <c r="AO79" i="11"/>
  <c r="AM79" i="11"/>
  <c r="AQ79" i="11"/>
  <c r="AM59" i="11"/>
  <c r="AM39" i="11"/>
  <c r="AM99" i="11"/>
  <c r="AQ19" i="11"/>
  <c r="AP79" i="11"/>
  <c r="AO99" i="11"/>
  <c r="AP39" i="11"/>
  <c r="AN19" i="11"/>
  <c r="AN39" i="11"/>
  <c r="AL59" i="11"/>
  <c r="AQ39" i="11"/>
  <c r="AL39" i="11"/>
  <c r="AO19" i="11"/>
  <c r="AO59" i="11"/>
  <c r="AM19" i="11"/>
  <c r="AN99" i="11"/>
  <c r="AP19" i="11"/>
  <c r="AQ99" i="11"/>
  <c r="AN79" i="11"/>
  <c r="AP99" i="11"/>
  <c r="T96" i="17" l="1"/>
  <c r="L96" i="10" s="1"/>
  <c r="T56" i="17"/>
  <c r="L56" i="10" s="1"/>
  <c r="T16" i="17"/>
  <c r="L16" i="10" s="1"/>
  <c r="U36" i="17"/>
  <c r="M36" i="10" s="1"/>
  <c r="R36" i="10" s="1"/>
  <c r="N99" i="10"/>
  <c r="S99" i="10" s="1"/>
  <c r="N39" i="10"/>
  <c r="S39" i="10" s="1"/>
  <c r="N59" i="10"/>
  <c r="S59" i="10" s="1"/>
  <c r="N79" i="10"/>
  <c r="S79" i="10" s="1"/>
  <c r="N15" i="10"/>
  <c r="S15" i="10" s="1"/>
  <c r="V16" i="17"/>
  <c r="U34" i="10"/>
  <c r="AI34" i="10"/>
  <c r="AH34" i="10"/>
  <c r="AG34" i="10"/>
  <c r="AF34" i="10"/>
  <c r="T54" i="10"/>
  <c r="AC54" i="10"/>
  <c r="AE54" i="10"/>
  <c r="AD54" i="10"/>
  <c r="AB54" i="10"/>
  <c r="U94" i="10"/>
  <c r="AI94" i="10"/>
  <c r="AH94" i="10"/>
  <c r="AG94" i="10"/>
  <c r="AF94" i="10"/>
  <c r="U74" i="10"/>
  <c r="AG74" i="10"/>
  <c r="AI74" i="10"/>
  <c r="AH74" i="10"/>
  <c r="AF74" i="10"/>
  <c r="T14" i="10"/>
  <c r="AC14" i="10"/>
  <c r="AD14" i="10"/>
  <c r="AE14" i="10"/>
  <c r="AB14" i="10"/>
  <c r="U14" i="10"/>
  <c r="AH14" i="10"/>
  <c r="AG14" i="10"/>
  <c r="AI14" i="10"/>
  <c r="AF14" i="10"/>
  <c r="T74" i="10"/>
  <c r="AE74" i="10"/>
  <c r="AC74" i="10"/>
  <c r="AD74" i="10"/>
  <c r="AB74" i="10"/>
  <c r="T94" i="10"/>
  <c r="AE94" i="10"/>
  <c r="AD94" i="10"/>
  <c r="AC94" i="10"/>
  <c r="AB94" i="10"/>
  <c r="U54" i="10"/>
  <c r="AI54" i="10"/>
  <c r="AH54" i="10"/>
  <c r="AG54" i="10"/>
  <c r="AF54" i="10"/>
  <c r="T34" i="10"/>
  <c r="AE34" i="10"/>
  <c r="AD34" i="10"/>
  <c r="AC34" i="10"/>
  <c r="AB34" i="10"/>
  <c r="X56" i="17"/>
  <c r="P56" i="10" s="1"/>
  <c r="Q74" i="10"/>
  <c r="U76" i="17"/>
  <c r="M76" i="10" s="1"/>
  <c r="R75" i="10"/>
  <c r="W36" i="17"/>
  <c r="O36" i="10" s="1"/>
  <c r="U17" i="17"/>
  <c r="M17" i="10" s="1"/>
  <c r="R16" i="10"/>
  <c r="X36" i="17"/>
  <c r="P36" i="10" s="1"/>
  <c r="Q34" i="10"/>
  <c r="Q55" i="10"/>
  <c r="W76" i="17"/>
  <c r="O76" i="10" s="1"/>
  <c r="T36" i="17"/>
  <c r="L36" i="10" s="1"/>
  <c r="Q95" i="10"/>
  <c r="W16" i="17"/>
  <c r="O16" i="10" s="1"/>
  <c r="W56" i="17"/>
  <c r="O56" i="10" s="1"/>
  <c r="X96" i="17"/>
  <c r="P96" i="10" s="1"/>
  <c r="X76" i="17"/>
  <c r="P76" i="10" s="1"/>
  <c r="T76" i="17"/>
  <c r="L76" i="10" s="1"/>
  <c r="W96" i="17"/>
  <c r="O96" i="10" s="1"/>
  <c r="X16" i="17"/>
  <c r="P16" i="10" s="1"/>
  <c r="U96" i="17"/>
  <c r="M96" i="10" s="1"/>
  <c r="R95" i="10"/>
  <c r="U57" i="17"/>
  <c r="M57" i="10" s="1"/>
  <c r="R56" i="10"/>
  <c r="Q15" i="10"/>
  <c r="T38" i="4"/>
  <c r="T82" i="4"/>
  <c r="T98" i="4"/>
  <c r="T76" i="4"/>
  <c r="T81" i="4"/>
  <c r="T100" i="4"/>
  <c r="T103" i="4"/>
  <c r="T84" i="4"/>
  <c r="T104" i="4"/>
  <c r="T75" i="4"/>
  <c r="T107" i="4"/>
  <c r="T106" i="4"/>
  <c r="T102" i="4"/>
  <c r="T77" i="4"/>
  <c r="T83" i="4"/>
  <c r="T61" i="4"/>
  <c r="T101" i="4"/>
  <c r="T79" i="4"/>
  <c r="T105" i="4"/>
  <c r="T99" i="4"/>
  <c r="T78" i="4"/>
  <c r="T80" i="4"/>
  <c r="T55" i="4"/>
  <c r="T52" i="4"/>
  <c r="T57" i="4"/>
  <c r="T60" i="4"/>
  <c r="T54" i="4"/>
  <c r="T56" i="4"/>
  <c r="T58" i="4"/>
  <c r="T53" i="4"/>
  <c r="T59" i="4"/>
  <c r="T34" i="4"/>
  <c r="T35" i="4"/>
  <c r="T36" i="4"/>
  <c r="T29" i="4"/>
  <c r="T37" i="4"/>
  <c r="T30" i="4"/>
  <c r="T33" i="4"/>
  <c r="T31" i="4"/>
  <c r="T32" i="4"/>
  <c r="T97" i="17" l="1"/>
  <c r="L97" i="10" s="1"/>
  <c r="T57" i="17"/>
  <c r="L57" i="10" s="1"/>
  <c r="T17" i="17"/>
  <c r="L17" i="10" s="1"/>
  <c r="U37" i="17"/>
  <c r="M37" i="10" s="1"/>
  <c r="R37" i="10" s="1"/>
  <c r="N16" i="10"/>
  <c r="S16" i="10" s="1"/>
  <c r="V17" i="17"/>
  <c r="T35" i="10"/>
  <c r="AC35" i="10"/>
  <c r="AE35" i="10"/>
  <c r="AD35" i="10"/>
  <c r="AB35" i="10"/>
  <c r="T95" i="10"/>
  <c r="AC95" i="10"/>
  <c r="AE95" i="10"/>
  <c r="AD95" i="10"/>
  <c r="AB95" i="10"/>
  <c r="T75" i="10"/>
  <c r="AE75" i="10"/>
  <c r="AD75" i="10"/>
  <c r="AC75" i="10"/>
  <c r="AB75" i="10"/>
  <c r="U55" i="10"/>
  <c r="AG55" i="10"/>
  <c r="AH55" i="10"/>
  <c r="AI55" i="10"/>
  <c r="AF55" i="10"/>
  <c r="T55" i="10"/>
  <c r="AE55" i="10"/>
  <c r="AD55" i="10"/>
  <c r="AC55" i="10"/>
  <c r="AB55" i="10"/>
  <c r="U35" i="10"/>
  <c r="AI35" i="10"/>
  <c r="AH35" i="10"/>
  <c r="AG35" i="10"/>
  <c r="AF35" i="10"/>
  <c r="T15" i="10"/>
  <c r="AD15" i="10"/>
  <c r="AE15" i="10"/>
  <c r="AC15" i="10"/>
  <c r="AB15" i="10"/>
  <c r="U75" i="10"/>
  <c r="AI75" i="10"/>
  <c r="AH75" i="10"/>
  <c r="AG75" i="10"/>
  <c r="AF75" i="10"/>
  <c r="U15" i="10"/>
  <c r="AI15" i="10"/>
  <c r="AG15" i="10"/>
  <c r="AH15" i="10"/>
  <c r="AF15" i="10"/>
  <c r="U95" i="10"/>
  <c r="AI95" i="10"/>
  <c r="AH95" i="10"/>
  <c r="AG95" i="10"/>
  <c r="AF95" i="10"/>
  <c r="X97" i="17"/>
  <c r="P97" i="10" s="1"/>
  <c r="X37" i="17"/>
  <c r="P37" i="10" s="1"/>
  <c r="X17" i="17"/>
  <c r="P17" i="10" s="1"/>
  <c r="Q96" i="10"/>
  <c r="Q56" i="10"/>
  <c r="T37" i="17"/>
  <c r="L37" i="10" s="1"/>
  <c r="W97" i="17"/>
  <c r="O97" i="10" s="1"/>
  <c r="T77" i="17"/>
  <c r="L77" i="10" s="1"/>
  <c r="W37" i="17"/>
  <c r="O37" i="10" s="1"/>
  <c r="U18" i="17"/>
  <c r="M18" i="10" s="1"/>
  <c r="R17" i="10"/>
  <c r="W17" i="17"/>
  <c r="O17" i="10" s="1"/>
  <c r="W77" i="17"/>
  <c r="O77" i="10" s="1"/>
  <c r="W57" i="17"/>
  <c r="O57" i="10" s="1"/>
  <c r="U77" i="17"/>
  <c r="M77" i="10" s="1"/>
  <c r="R76" i="10"/>
  <c r="T98" i="17"/>
  <c r="L98" i="10" s="1"/>
  <c r="Q35" i="10"/>
  <c r="Q75" i="10"/>
  <c r="X77" i="17"/>
  <c r="P77" i="10" s="1"/>
  <c r="Q16" i="10"/>
  <c r="U58" i="17"/>
  <c r="M58" i="10" s="1"/>
  <c r="R57" i="10"/>
  <c r="U97" i="17"/>
  <c r="M97" i="10" s="1"/>
  <c r="R96" i="10"/>
  <c r="X57" i="17"/>
  <c r="P57" i="10" s="1"/>
  <c r="W55" i="4"/>
  <c r="V55" i="4"/>
  <c r="Y55" i="4"/>
  <c r="U55" i="4"/>
  <c r="X55" i="4"/>
  <c r="Y31" i="4"/>
  <c r="X31" i="4"/>
  <c r="V31" i="4"/>
  <c r="W31" i="4"/>
  <c r="U31" i="4"/>
  <c r="W35" i="4"/>
  <c r="Y35" i="4"/>
  <c r="V35" i="4"/>
  <c r="U35" i="4"/>
  <c r="X35" i="4"/>
  <c r="Y80" i="4"/>
  <c r="X80" i="4"/>
  <c r="U80" i="4"/>
  <c r="V80" i="4"/>
  <c r="W80" i="4"/>
  <c r="V61" i="4"/>
  <c r="Y61" i="4"/>
  <c r="U61" i="4"/>
  <c r="W61" i="4"/>
  <c r="X61" i="4"/>
  <c r="V75" i="4"/>
  <c r="X75" i="4"/>
  <c r="Y75" i="4"/>
  <c r="W75" i="4"/>
  <c r="U75" i="4"/>
  <c r="U76" i="4"/>
  <c r="Y76" i="4"/>
  <c r="X76" i="4"/>
  <c r="V76" i="4"/>
  <c r="W76" i="4"/>
  <c r="X107" i="4"/>
  <c r="V107" i="4"/>
  <c r="U107" i="4"/>
  <c r="Y107" i="4"/>
  <c r="W107" i="4"/>
  <c r="U33" i="4"/>
  <c r="X33" i="4"/>
  <c r="V33" i="4"/>
  <c r="W33" i="4"/>
  <c r="Y33" i="4"/>
  <c r="X34" i="4"/>
  <c r="Y34" i="4"/>
  <c r="V34" i="4"/>
  <c r="W34" i="4"/>
  <c r="U34" i="4"/>
  <c r="W54" i="4"/>
  <c r="X54" i="4"/>
  <c r="V54" i="4"/>
  <c r="Y54" i="4"/>
  <c r="U54" i="4"/>
  <c r="U78" i="4"/>
  <c r="W78" i="4"/>
  <c r="V78" i="4"/>
  <c r="X78" i="4"/>
  <c r="Y78" i="4"/>
  <c r="U83" i="4"/>
  <c r="Y83" i="4"/>
  <c r="V83" i="4"/>
  <c r="X83" i="4"/>
  <c r="W83" i="4"/>
  <c r="W104" i="4"/>
  <c r="V104" i="4"/>
  <c r="Y104" i="4"/>
  <c r="X104" i="4"/>
  <c r="U104" i="4"/>
  <c r="V98" i="4"/>
  <c r="Y98" i="4"/>
  <c r="U98" i="4"/>
  <c r="W98" i="4"/>
  <c r="X98" i="4"/>
  <c r="U32" i="4"/>
  <c r="Y32" i="4"/>
  <c r="X32" i="4"/>
  <c r="W32" i="4"/>
  <c r="V32" i="4"/>
  <c r="Y101" i="4"/>
  <c r="U101" i="4"/>
  <c r="X101" i="4"/>
  <c r="V101" i="4"/>
  <c r="W101" i="4"/>
  <c r="X30" i="4"/>
  <c r="U30" i="4"/>
  <c r="Y30" i="4"/>
  <c r="W30" i="4"/>
  <c r="V30" i="4"/>
  <c r="V59" i="4"/>
  <c r="U59" i="4"/>
  <c r="X59" i="4"/>
  <c r="W59" i="4"/>
  <c r="Y59" i="4"/>
  <c r="X60" i="4"/>
  <c r="Y60" i="4"/>
  <c r="W60" i="4"/>
  <c r="U60" i="4"/>
  <c r="V60" i="4"/>
  <c r="Y99" i="4"/>
  <c r="X99" i="4"/>
  <c r="V99" i="4"/>
  <c r="W99" i="4"/>
  <c r="U99" i="4"/>
  <c r="U77" i="4"/>
  <c r="W77" i="4"/>
  <c r="Y77" i="4"/>
  <c r="X77" i="4"/>
  <c r="V77" i="4"/>
  <c r="V84" i="4"/>
  <c r="Y84" i="4"/>
  <c r="W84" i="4"/>
  <c r="U84" i="4"/>
  <c r="X84" i="4"/>
  <c r="Y82" i="4"/>
  <c r="V82" i="4"/>
  <c r="U82" i="4"/>
  <c r="W82" i="4"/>
  <c r="X82" i="4"/>
  <c r="V56" i="4"/>
  <c r="U56" i="4"/>
  <c r="Y56" i="4"/>
  <c r="W56" i="4"/>
  <c r="X56" i="4"/>
  <c r="Y37" i="4"/>
  <c r="U37" i="4"/>
  <c r="V37" i="4"/>
  <c r="W37" i="4"/>
  <c r="X37" i="4"/>
  <c r="U53" i="4"/>
  <c r="X53" i="4"/>
  <c r="W53" i="4"/>
  <c r="Y53" i="4"/>
  <c r="V53" i="4"/>
  <c r="Y57" i="4"/>
  <c r="W57" i="4"/>
  <c r="X57" i="4"/>
  <c r="U57" i="4"/>
  <c r="V57" i="4"/>
  <c r="U105" i="4"/>
  <c r="X105" i="4"/>
  <c r="W105" i="4"/>
  <c r="Y105" i="4"/>
  <c r="V105" i="4"/>
  <c r="Y102" i="4"/>
  <c r="U102" i="4"/>
  <c r="V102" i="4"/>
  <c r="X102" i="4"/>
  <c r="W102" i="4"/>
  <c r="W103" i="4"/>
  <c r="V103" i="4"/>
  <c r="Y103" i="4"/>
  <c r="U103" i="4"/>
  <c r="X103" i="4"/>
  <c r="U38" i="4"/>
  <c r="Y38" i="4"/>
  <c r="X38" i="4"/>
  <c r="W38" i="4"/>
  <c r="V38" i="4"/>
  <c r="V36" i="4"/>
  <c r="W36" i="4"/>
  <c r="U36" i="4"/>
  <c r="X36" i="4"/>
  <c r="Y36" i="4"/>
  <c r="U81" i="4"/>
  <c r="W81" i="4"/>
  <c r="Y81" i="4"/>
  <c r="X81" i="4"/>
  <c r="V81" i="4"/>
  <c r="W29" i="4"/>
  <c r="V29" i="4"/>
  <c r="X29" i="4"/>
  <c r="U29" i="4"/>
  <c r="Y29" i="4"/>
  <c r="W58" i="4"/>
  <c r="U58" i="4"/>
  <c r="V58" i="4"/>
  <c r="X58" i="4"/>
  <c r="Y58" i="4"/>
  <c r="W52" i="4"/>
  <c r="V52" i="4"/>
  <c r="X52" i="4"/>
  <c r="Y52" i="4"/>
  <c r="U52" i="4"/>
  <c r="V79" i="4"/>
  <c r="U79" i="4"/>
  <c r="Y79" i="4"/>
  <c r="X79" i="4"/>
  <c r="W79" i="4"/>
  <c r="X106" i="4"/>
  <c r="W106" i="4"/>
  <c r="V106" i="4"/>
  <c r="U106" i="4"/>
  <c r="Y106" i="4"/>
  <c r="V100" i="4"/>
  <c r="U100" i="4"/>
  <c r="W100" i="4"/>
  <c r="Y100" i="4"/>
  <c r="X100" i="4"/>
  <c r="AO40" i="11"/>
  <c r="AN20" i="11"/>
  <c r="AO60" i="11"/>
  <c r="N11" i="4"/>
  <c r="AP100" i="11"/>
  <c r="AQ60" i="11"/>
  <c r="AP80" i="11"/>
  <c r="N13" i="4"/>
  <c r="N6" i="4"/>
  <c r="AP40" i="11"/>
  <c r="N14" i="4"/>
  <c r="AQ80" i="11"/>
  <c r="N8" i="4"/>
  <c r="AN40" i="11"/>
  <c r="AQ40" i="11"/>
  <c r="AN80" i="11"/>
  <c r="AL60" i="11"/>
  <c r="AW100" i="11"/>
  <c r="AW54" i="11"/>
  <c r="N9" i="4"/>
  <c r="AW101" i="11"/>
  <c r="AW55" i="11"/>
  <c r="N10" i="4"/>
  <c r="AW129" i="11"/>
  <c r="AW41" i="11"/>
  <c r="AW157" i="11"/>
  <c r="AP20" i="11"/>
  <c r="AW105" i="11"/>
  <c r="AW57" i="11"/>
  <c r="AW163" i="11"/>
  <c r="AW13" i="11"/>
  <c r="AW112" i="11"/>
  <c r="AL100" i="11"/>
  <c r="AW142" i="11"/>
  <c r="AW9" i="11"/>
  <c r="AW116" i="11"/>
  <c r="AY99" i="11"/>
  <c r="AY46" i="11"/>
  <c r="AY152" i="11"/>
  <c r="AQ100" i="11"/>
  <c r="AW108" i="11"/>
  <c r="AW48" i="11"/>
  <c r="AY56" i="11"/>
  <c r="AY77" i="11"/>
  <c r="AY71" i="11"/>
  <c r="AW159" i="11"/>
  <c r="AW15" i="11"/>
  <c r="AW117" i="11"/>
  <c r="AY146" i="11"/>
  <c r="AY68" i="11"/>
  <c r="AY100" i="11"/>
  <c r="AY93" i="11"/>
  <c r="AY101" i="11"/>
  <c r="AY115" i="11"/>
  <c r="AY27" i="11"/>
  <c r="AY139" i="11"/>
  <c r="AY90" i="11"/>
  <c r="AY43" i="11"/>
  <c r="AY11" i="11"/>
  <c r="AY59" i="11"/>
  <c r="AY105" i="11"/>
  <c r="AY72" i="11"/>
  <c r="AW87" i="11"/>
  <c r="AW49" i="11"/>
  <c r="AM40" i="11"/>
  <c r="AY50" i="11"/>
  <c r="AY82" i="11"/>
  <c r="AY21" i="11"/>
  <c r="AY141" i="11"/>
  <c r="AY107" i="11"/>
  <c r="AY42" i="11"/>
  <c r="AY145" i="11"/>
  <c r="AQ20" i="11"/>
  <c r="AW68" i="11"/>
  <c r="AW63" i="11"/>
  <c r="AM100" i="11"/>
  <c r="AW69" i="11"/>
  <c r="AW73" i="11"/>
  <c r="AM20" i="11"/>
  <c r="AW103" i="11"/>
  <c r="AW60" i="11"/>
  <c r="AL20" i="11"/>
  <c r="AW65" i="11"/>
  <c r="AW76" i="11"/>
  <c r="N12" i="4"/>
  <c r="AW143" i="11"/>
  <c r="AW18" i="11"/>
  <c r="AW119" i="11"/>
  <c r="AN100" i="11"/>
  <c r="AW123" i="11"/>
  <c r="AW42" i="11"/>
  <c r="AW132" i="11"/>
  <c r="AY97" i="11"/>
  <c r="AY67" i="11"/>
  <c r="AU61" i="11"/>
  <c r="AU77" i="11"/>
  <c r="AY65" i="11"/>
  <c r="AW160" i="11"/>
  <c r="AW71" i="11"/>
  <c r="AW66" i="11"/>
  <c r="AY47" i="11"/>
  <c r="AY83" i="11"/>
  <c r="AU8" i="11"/>
  <c r="AU94" i="11"/>
  <c r="N15" i="4"/>
  <c r="AW145" i="11"/>
  <c r="AW23" i="11"/>
  <c r="AW134" i="11"/>
  <c r="AY106" i="11"/>
  <c r="AU109" i="11"/>
  <c r="AU67" i="11"/>
  <c r="AU72" i="11"/>
  <c r="AY112" i="11"/>
  <c r="AU21" i="11"/>
  <c r="AU65" i="11"/>
  <c r="AU81" i="11"/>
  <c r="AU5" i="11"/>
  <c r="AU104" i="11"/>
  <c r="AU85" i="11"/>
  <c r="AU9" i="11"/>
  <c r="AU162" i="11"/>
  <c r="AU76" i="11"/>
  <c r="AU114" i="11"/>
  <c r="AU27" i="11"/>
  <c r="AU153" i="11"/>
  <c r="AY151" i="11"/>
  <c r="AY45" i="11"/>
  <c r="AY124" i="11"/>
  <c r="AY91" i="11"/>
  <c r="AY121" i="11"/>
  <c r="AY103" i="11"/>
  <c r="AY29" i="11"/>
  <c r="AY158" i="11"/>
  <c r="AY61" i="11"/>
  <c r="AY120" i="11"/>
  <c r="AW29" i="11"/>
  <c r="AW47" i="11"/>
  <c r="AY84" i="11"/>
  <c r="AY114" i="11"/>
  <c r="AO80" i="11"/>
  <c r="AU75" i="11"/>
  <c r="AY89" i="11"/>
  <c r="AO100" i="11"/>
  <c r="AW52" i="11"/>
  <c r="AW84" i="11"/>
  <c r="AM80" i="11"/>
  <c r="AW50" i="11"/>
  <c r="AW91" i="11"/>
  <c r="AL40" i="11"/>
  <c r="AW67" i="11"/>
  <c r="AW74" i="11"/>
  <c r="AV122" i="11"/>
  <c r="AV8" i="11"/>
  <c r="AV140" i="11"/>
  <c r="AV154" i="11"/>
  <c r="AN60" i="11"/>
  <c r="AW45" i="11"/>
  <c r="AW90" i="11"/>
  <c r="AL80" i="11"/>
  <c r="AW128" i="11"/>
  <c r="AW21" i="11"/>
  <c r="AW138" i="11"/>
  <c r="AX19" i="11"/>
  <c r="AX93" i="11"/>
  <c r="AV108" i="11"/>
  <c r="AV132" i="11"/>
  <c r="AM60" i="11"/>
  <c r="AW106" i="11"/>
  <c r="AW46" i="11"/>
  <c r="AW155" i="11"/>
  <c r="AX24" i="11"/>
  <c r="AX109" i="11"/>
  <c r="AY55" i="11"/>
  <c r="AY76" i="11"/>
  <c r="AV125" i="11"/>
  <c r="AV14" i="11"/>
  <c r="AV137" i="11"/>
  <c r="AU47" i="11"/>
  <c r="AU95" i="11"/>
  <c r="AY36" i="11"/>
  <c r="AY162" i="11"/>
  <c r="AW56" i="11"/>
  <c r="AW78" i="11"/>
  <c r="AX124" i="11"/>
  <c r="AX23" i="11"/>
  <c r="AX139" i="11"/>
  <c r="AY31" i="11"/>
  <c r="AY95" i="11"/>
  <c r="AV107" i="11"/>
  <c r="AV61" i="11"/>
  <c r="AU143" i="11"/>
  <c r="AU17" i="11"/>
  <c r="AU111" i="11"/>
  <c r="AX132" i="11"/>
  <c r="AO20" i="11"/>
  <c r="AW141" i="11"/>
  <c r="AW30" i="11"/>
  <c r="AW137" i="11"/>
  <c r="AX25" i="11"/>
  <c r="AY35" i="11"/>
  <c r="AU25" i="11"/>
  <c r="AU87" i="11"/>
  <c r="AU88" i="11"/>
  <c r="AV147" i="11"/>
  <c r="AV7" i="11"/>
  <c r="AV113" i="11"/>
  <c r="AV134" i="11"/>
  <c r="AV17" i="11"/>
  <c r="AV123" i="11"/>
  <c r="AV46" i="11"/>
  <c r="AV97" i="11"/>
  <c r="AV48" i="11"/>
  <c r="AU96" i="11"/>
  <c r="AU63" i="11"/>
  <c r="AU39" i="11"/>
  <c r="AU107" i="11"/>
  <c r="AU62" i="11"/>
  <c r="AU146" i="11"/>
  <c r="AU91" i="11"/>
  <c r="AU55" i="11"/>
  <c r="AU99" i="11"/>
  <c r="AU22" i="11"/>
  <c r="AU89" i="11"/>
  <c r="AU11" i="11"/>
  <c r="AX156" i="11"/>
  <c r="AX43" i="11"/>
  <c r="AX126" i="11"/>
  <c r="AX85" i="11"/>
  <c r="AX35" i="11"/>
  <c r="AX153" i="11"/>
  <c r="AX38" i="11"/>
  <c r="AX122" i="11"/>
  <c r="AX84" i="11"/>
  <c r="AX42" i="11"/>
  <c r="AY131" i="11"/>
  <c r="AY22" i="11"/>
  <c r="AY128" i="11"/>
  <c r="AY41" i="11"/>
  <c r="AY126" i="11"/>
  <c r="AY92" i="11"/>
  <c r="AY38" i="11"/>
  <c r="AY69" i="11"/>
  <c r="AY51" i="11"/>
  <c r="AY102" i="11"/>
  <c r="AY138" i="11"/>
  <c r="AW25" i="11"/>
  <c r="AP60" i="11"/>
  <c r="AW27" i="11"/>
  <c r="AX21" i="11"/>
  <c r="AX143" i="11"/>
  <c r="AV157" i="11"/>
  <c r="AX99" i="11"/>
  <c r="AU128" i="11"/>
  <c r="AX141" i="11"/>
  <c r="AV133" i="11"/>
  <c r="AV71" i="11"/>
  <c r="AU159" i="11"/>
  <c r="AX137" i="11"/>
  <c r="AX119" i="11"/>
  <c r="AY148" i="11"/>
  <c r="AY9" i="11"/>
  <c r="AW122" i="11"/>
  <c r="AW83" i="11"/>
  <c r="AW93" i="11"/>
  <c r="AW95" i="11"/>
  <c r="AW8" i="11"/>
  <c r="AW131" i="11"/>
  <c r="AW36" i="11"/>
  <c r="AW124" i="11"/>
  <c r="AW53" i="11"/>
  <c r="AW111" i="11"/>
  <c r="AW33" i="11"/>
  <c r="AW150" i="11"/>
  <c r="AW97" i="11"/>
  <c r="AW5" i="11"/>
  <c r="AW152" i="11"/>
  <c r="AW39" i="11"/>
  <c r="AW102" i="11"/>
  <c r="AW133" i="11"/>
  <c r="AW35" i="11"/>
  <c r="AW121" i="11"/>
  <c r="AW156" i="11"/>
  <c r="AW40" i="11"/>
  <c r="AW125" i="11"/>
  <c r="AW153" i="11"/>
  <c r="AW38" i="11"/>
  <c r="AW120" i="11"/>
  <c r="AW43" i="11"/>
  <c r="AW20" i="11"/>
  <c r="AW72" i="11"/>
  <c r="AW107" i="11"/>
  <c r="AW96" i="11"/>
  <c r="AW82" i="11"/>
  <c r="AW51" i="11"/>
  <c r="AW158" i="11"/>
  <c r="AW139" i="11"/>
  <c r="AW24" i="11"/>
  <c r="AW148" i="11"/>
  <c r="AW98" i="11"/>
  <c r="AW17" i="11"/>
  <c r="AW164" i="11"/>
  <c r="AW81" i="11"/>
  <c r="AW37" i="11"/>
  <c r="AW135" i="11"/>
  <c r="AW34" i="11"/>
  <c r="AW126" i="11"/>
  <c r="AW118" i="11"/>
  <c r="AW11" i="11"/>
  <c r="AW147" i="11"/>
  <c r="AW136" i="11"/>
  <c r="AW32" i="11"/>
  <c r="AW127" i="11"/>
  <c r="AW140" i="11"/>
  <c r="AW19" i="11"/>
  <c r="AW130" i="11"/>
  <c r="AW62" i="11"/>
  <c r="AW154" i="11"/>
  <c r="AW80" i="11"/>
  <c r="AW64" i="11"/>
  <c r="AW114" i="11"/>
  <c r="AW7" i="11"/>
  <c r="AW149" i="11"/>
  <c r="AW85" i="11"/>
  <c r="AW44" i="11"/>
  <c r="AW77" i="11"/>
  <c r="AW58" i="11"/>
  <c r="AW109" i="11"/>
  <c r="AW10" i="11"/>
  <c r="AW151" i="11"/>
  <c r="AW99" i="11"/>
  <c r="AW14" i="11"/>
  <c r="AW115" i="11"/>
  <c r="AW22" i="11"/>
  <c r="AW144" i="11"/>
  <c r="AW113" i="11"/>
  <c r="AW12" i="11"/>
  <c r="AW146" i="11"/>
  <c r="AW88" i="11"/>
  <c r="AW70" i="11"/>
  <c r="AW104" i="11"/>
  <c r="AW94" i="11"/>
  <c r="AW28" i="11"/>
  <c r="AW161" i="11"/>
  <c r="AW75" i="11"/>
  <c r="AW59" i="11"/>
  <c r="AW61" i="11"/>
  <c r="AW79" i="11"/>
  <c r="AW110" i="11"/>
  <c r="AW31" i="11"/>
  <c r="AW86" i="11"/>
  <c r="AW6" i="11"/>
  <c r="AW92" i="11"/>
  <c r="AW16" i="11"/>
  <c r="AW89" i="11"/>
  <c r="AW26" i="11"/>
  <c r="AW162" i="11"/>
  <c r="AY113" i="11"/>
  <c r="AY30" i="11"/>
  <c r="AY13" i="11"/>
  <c r="AY39" i="11"/>
  <c r="AY64" i="11"/>
  <c r="AY74" i="11"/>
  <c r="AY150" i="11"/>
  <c r="AY34" i="11"/>
  <c r="AY81" i="11"/>
  <c r="AY118" i="11"/>
  <c r="AY14" i="11"/>
  <c r="AY130" i="11"/>
  <c r="AY60" i="11"/>
  <c r="AY108" i="11"/>
  <c r="AY62" i="11"/>
  <c r="AY73" i="11"/>
  <c r="AY23" i="11"/>
  <c r="AY70" i="11"/>
  <c r="AY66" i="11"/>
  <c r="AY134" i="11"/>
  <c r="AY10" i="11"/>
  <c r="AY127" i="11"/>
  <c r="AY122" i="11"/>
  <c r="AY147" i="11"/>
  <c r="AY87" i="11"/>
  <c r="AY143" i="11"/>
  <c r="AY153" i="11"/>
  <c r="AY57" i="11"/>
  <c r="AY79" i="11"/>
  <c r="AY156" i="11"/>
  <c r="AY7" i="11"/>
  <c r="AY88" i="11"/>
  <c r="AY119" i="11"/>
  <c r="AY40" i="11"/>
  <c r="AY155" i="11"/>
  <c r="AY49" i="11"/>
  <c r="AY117" i="11"/>
  <c r="AY48" i="11"/>
  <c r="AY85" i="11"/>
  <c r="AY129" i="11"/>
  <c r="AY135" i="11"/>
  <c r="AY6" i="11"/>
  <c r="AY44" i="11"/>
  <c r="AY98" i="11"/>
  <c r="AY110" i="11"/>
  <c r="AY26" i="11"/>
  <c r="AY144" i="11"/>
  <c r="AY37" i="11"/>
  <c r="AY15" i="11"/>
  <c r="AY16" i="11"/>
  <c r="AY161" i="11"/>
  <c r="AY33" i="11"/>
  <c r="AY78" i="11"/>
  <c r="AY140" i="11"/>
  <c r="AY32" i="11"/>
  <c r="AY116" i="11"/>
  <c r="AY104" i="11"/>
  <c r="AY52" i="11"/>
  <c r="AY53" i="11"/>
  <c r="AY5" i="11"/>
  <c r="AY133" i="11"/>
  <c r="AY20" i="11"/>
  <c r="AY94" i="11"/>
  <c r="AY80" i="11"/>
  <c r="AY54" i="11"/>
  <c r="AY163" i="11"/>
  <c r="AY137" i="11"/>
  <c r="AY24" i="11"/>
  <c r="AY125" i="11"/>
  <c r="AY109" i="11"/>
  <c r="AY25" i="11"/>
  <c r="AY154" i="11"/>
  <c r="AY159" i="11"/>
  <c r="AY19" i="11"/>
  <c r="AY96" i="11"/>
  <c r="AY142" i="11"/>
  <c r="AY18" i="11"/>
  <c r="AY136" i="11"/>
  <c r="AY63" i="11"/>
  <c r="AY75" i="11"/>
  <c r="AY157" i="11"/>
  <c r="AY17" i="11"/>
  <c r="AY160" i="11"/>
  <c r="AY28" i="11"/>
  <c r="AY111" i="11"/>
  <c r="AY58" i="11"/>
  <c r="AY123" i="11"/>
  <c r="AY132" i="11"/>
  <c r="AY12" i="11"/>
  <c r="AY149" i="11"/>
  <c r="AY86" i="11"/>
  <c r="AY8" i="11"/>
  <c r="AY164" i="11"/>
  <c r="AU35" i="11"/>
  <c r="AU127" i="11"/>
  <c r="AU134" i="11"/>
  <c r="AU131" i="11"/>
  <c r="AU151" i="11"/>
  <c r="AU13" i="11"/>
  <c r="AU121" i="11"/>
  <c r="AU115" i="11"/>
  <c r="AU152" i="11"/>
  <c r="AU19" i="11"/>
  <c r="AU113" i="11"/>
  <c r="AU45" i="11"/>
  <c r="AU74" i="11"/>
  <c r="AU58" i="11"/>
  <c r="AU78" i="11"/>
  <c r="AU41" i="11"/>
  <c r="AU49" i="11"/>
  <c r="AU83" i="11"/>
  <c r="AU46" i="11"/>
  <c r="AU69" i="11"/>
  <c r="AU70" i="11"/>
  <c r="AU135" i="11"/>
  <c r="AU84" i="11"/>
  <c r="AU132" i="11"/>
  <c r="AU16" i="11"/>
  <c r="AU123" i="11"/>
  <c r="AU38" i="11"/>
  <c r="AU140" i="11"/>
  <c r="AU161" i="11"/>
  <c r="AU147" i="11"/>
  <c r="AU33" i="11"/>
  <c r="AU112" i="11"/>
  <c r="AU6" i="11"/>
  <c r="AU116" i="11"/>
  <c r="AU44" i="11"/>
  <c r="AU93" i="11"/>
  <c r="AU92" i="11"/>
  <c r="AU29" i="11"/>
  <c r="AU31" i="11"/>
  <c r="AU86" i="11"/>
  <c r="AU53" i="11"/>
  <c r="AU50" i="11"/>
  <c r="AU103" i="11"/>
  <c r="AU48" i="11"/>
  <c r="AU122" i="11"/>
  <c r="AU101" i="11"/>
  <c r="AU10" i="11"/>
  <c r="AU158" i="11"/>
  <c r="AU150" i="11"/>
  <c r="AU126" i="11"/>
  <c r="AU37" i="11"/>
  <c r="AU141" i="11"/>
  <c r="AU59" i="11"/>
  <c r="AU164" i="11"/>
  <c r="AU20" i="11"/>
  <c r="AU90" i="11"/>
  <c r="AU137" i="11"/>
  <c r="AU15" i="11"/>
  <c r="AU100" i="11"/>
  <c r="AU155" i="11"/>
  <c r="AU68" i="11"/>
  <c r="AU71" i="11"/>
  <c r="AU154" i="11"/>
  <c r="AU30" i="11"/>
  <c r="AU130" i="11"/>
  <c r="AU160" i="11"/>
  <c r="AU32" i="11"/>
  <c r="AU24" i="11"/>
  <c r="AU136" i="11"/>
  <c r="AU79" i="11"/>
  <c r="AU51" i="11"/>
  <c r="AU129" i="11"/>
  <c r="AU66" i="11"/>
  <c r="AU102" i="11"/>
  <c r="AU40" i="11"/>
  <c r="AU157" i="11"/>
  <c r="AU98" i="11"/>
  <c r="AU145" i="11"/>
  <c r="AU7" i="11"/>
  <c r="AU120" i="11"/>
  <c r="AU105" i="11"/>
  <c r="AU148" i="11"/>
  <c r="AU52" i="11"/>
  <c r="AU138" i="11"/>
  <c r="AU124" i="11"/>
  <c r="AU108" i="11"/>
  <c r="AU54" i="11"/>
  <c r="AU110" i="11"/>
  <c r="AU139" i="11"/>
  <c r="AU14" i="11"/>
  <c r="AU125" i="11"/>
  <c r="AU43" i="11"/>
  <c r="AU57" i="11"/>
  <c r="AU64" i="11"/>
  <c r="AU34" i="11"/>
  <c r="AU97" i="11"/>
  <c r="AU163" i="11"/>
  <c r="AU60" i="11"/>
  <c r="AU82" i="11"/>
  <c r="AU73" i="11"/>
  <c r="AU28" i="11"/>
  <c r="AU80" i="11"/>
  <c r="AU56" i="11"/>
  <c r="AU119" i="11"/>
  <c r="AU133" i="11"/>
  <c r="AU144" i="11"/>
  <c r="AU12" i="11"/>
  <c r="AU142" i="11"/>
  <c r="AU36" i="11"/>
  <c r="AU23" i="11"/>
  <c r="AU118" i="11"/>
  <c r="AU156" i="11"/>
  <c r="AU26" i="11"/>
  <c r="AU106" i="11"/>
  <c r="AU117" i="11"/>
  <c r="AU18" i="11"/>
  <c r="AU149" i="11"/>
  <c r="AU42" i="11"/>
  <c r="AV79" i="11"/>
  <c r="AV29" i="11"/>
  <c r="AV160" i="11"/>
  <c r="AV153" i="11"/>
  <c r="AV162" i="11"/>
  <c r="AV36" i="11"/>
  <c r="AV87" i="11"/>
  <c r="AV82" i="11"/>
  <c r="AV106" i="11"/>
  <c r="AV42" i="11"/>
  <c r="AV127" i="11"/>
  <c r="AV73" i="11"/>
  <c r="AV124" i="11"/>
  <c r="AV156" i="11"/>
  <c r="AV20" i="11"/>
  <c r="AV104" i="11"/>
  <c r="AV114" i="11"/>
  <c r="AV11" i="11"/>
  <c r="AV149" i="11"/>
  <c r="AV89" i="11"/>
  <c r="AV119" i="11"/>
  <c r="AV92" i="11"/>
  <c r="AV115" i="11"/>
  <c r="AV6" i="11"/>
  <c r="AV152" i="11"/>
  <c r="AV135" i="11"/>
  <c r="AV37" i="11"/>
  <c r="AV145" i="11"/>
  <c r="AV12" i="11"/>
  <c r="AV111" i="11"/>
  <c r="AV136" i="11"/>
  <c r="AV74" i="11"/>
  <c r="AV58" i="11"/>
  <c r="AV69" i="11"/>
  <c r="AV45" i="11"/>
  <c r="AV72" i="11"/>
  <c r="AV75" i="11"/>
  <c r="AV117" i="11"/>
  <c r="AV94" i="11"/>
  <c r="AV138" i="11"/>
  <c r="AV19" i="11"/>
  <c r="AV129" i="11"/>
  <c r="AV93" i="11"/>
  <c r="AV24" i="11"/>
  <c r="AV56" i="11"/>
  <c r="AV126" i="11"/>
  <c r="AV64" i="11"/>
  <c r="AV98" i="11"/>
  <c r="AV22" i="11"/>
  <c r="AV131" i="11"/>
  <c r="AV158" i="11"/>
  <c r="AV68" i="11"/>
  <c r="AV65" i="11"/>
  <c r="AV121" i="11"/>
  <c r="AV148" i="11"/>
  <c r="AV10" i="11"/>
  <c r="AV141" i="11"/>
  <c r="AV13" i="11"/>
  <c r="AV62" i="11"/>
  <c r="AV80" i="11"/>
  <c r="AV15" i="11"/>
  <c r="AV102" i="11"/>
  <c r="AV34" i="11"/>
  <c r="AV144" i="11"/>
  <c r="AV51" i="11"/>
  <c r="AV116" i="11"/>
  <c r="AV30" i="11"/>
  <c r="AV142" i="11"/>
  <c r="AV86" i="11"/>
  <c r="AV44" i="11"/>
  <c r="AV55" i="11"/>
  <c r="AV151" i="11"/>
  <c r="AV31" i="11"/>
  <c r="AV99" i="11"/>
  <c r="AV43" i="11"/>
  <c r="AV18" i="11"/>
  <c r="AV78" i="11"/>
  <c r="AV100" i="11"/>
  <c r="AV128" i="11"/>
  <c r="AV28" i="11"/>
  <c r="AV139" i="11"/>
  <c r="AV90" i="11"/>
  <c r="AV40" i="11"/>
  <c r="AV96" i="11"/>
  <c r="AV16" i="11"/>
  <c r="AV25" i="11"/>
  <c r="AV120" i="11"/>
  <c r="AV35" i="11"/>
  <c r="AV146" i="11"/>
  <c r="AV84" i="11"/>
  <c r="AV54" i="11"/>
  <c r="AV9" i="11"/>
  <c r="AV38" i="11"/>
  <c r="AV76" i="11"/>
  <c r="AV49" i="11"/>
  <c r="AV26" i="11"/>
  <c r="AV32" i="11"/>
  <c r="AV21" i="11"/>
  <c r="AV103" i="11"/>
  <c r="AV39" i="11"/>
  <c r="AV130" i="11"/>
  <c r="AV163" i="11"/>
  <c r="AV5" i="11"/>
  <c r="AV91" i="11"/>
  <c r="AV81" i="11"/>
  <c r="AV85" i="11"/>
  <c r="AV33" i="11"/>
  <c r="AV67" i="11"/>
  <c r="AV70" i="11"/>
  <c r="AV27" i="11"/>
  <c r="AV161" i="11"/>
  <c r="AV155" i="11"/>
  <c r="AV105" i="11"/>
  <c r="AV57" i="11"/>
  <c r="AV66" i="11"/>
  <c r="AV159" i="11"/>
  <c r="AV41" i="11"/>
  <c r="AV77" i="11"/>
  <c r="AV60" i="11"/>
  <c r="AV53" i="11"/>
  <c r="AV143" i="11"/>
  <c r="AV23" i="11"/>
  <c r="AV112" i="11"/>
  <c r="AV110" i="11"/>
  <c r="AV118" i="11"/>
  <c r="AV63" i="11"/>
  <c r="AV83" i="11"/>
  <c r="AV95" i="11"/>
  <c r="AV52" i="11"/>
  <c r="AV59" i="11"/>
  <c r="AV109" i="11"/>
  <c r="AV47" i="11"/>
  <c r="AV164" i="11"/>
  <c r="AV88" i="11"/>
  <c r="AV150" i="11"/>
  <c r="AV50" i="11"/>
  <c r="AV101" i="11"/>
  <c r="AX87" i="11"/>
  <c r="AX10" i="11"/>
  <c r="AX158" i="11"/>
  <c r="AX29" i="11"/>
  <c r="AX95" i="11"/>
  <c r="AX98" i="11"/>
  <c r="AX59" i="11"/>
  <c r="AX162" i="11"/>
  <c r="AX17" i="11"/>
  <c r="AX94" i="11"/>
  <c r="AX103" i="11"/>
  <c r="AX61" i="11"/>
  <c r="AX7" i="11"/>
  <c r="AX90" i="11"/>
  <c r="AX130" i="11"/>
  <c r="AX12" i="11"/>
  <c r="AX145" i="11"/>
  <c r="AX97" i="11"/>
  <c r="AX15" i="11"/>
  <c r="AX92" i="11"/>
  <c r="AX46" i="11"/>
  <c r="AX79" i="11"/>
  <c r="AX149" i="11"/>
  <c r="AX9" i="11"/>
  <c r="AX113" i="11"/>
  <c r="AX65" i="11"/>
  <c r="AX62" i="11"/>
  <c r="AX144" i="11"/>
  <c r="AX34" i="11"/>
  <c r="AX108" i="11"/>
  <c r="AX64" i="11"/>
  <c r="AX72" i="11"/>
  <c r="AX50" i="11"/>
  <c r="AX67" i="11"/>
  <c r="AX116" i="11"/>
  <c r="AX16" i="11"/>
  <c r="AX150" i="11"/>
  <c r="AX83" i="11"/>
  <c r="AX91" i="11"/>
  <c r="AX48" i="11"/>
  <c r="AX71" i="11"/>
  <c r="AX53" i="11"/>
  <c r="AX133" i="11"/>
  <c r="AX18" i="11"/>
  <c r="AX142" i="11"/>
  <c r="AX31" i="11"/>
  <c r="AX138" i="11"/>
  <c r="AX52" i="11"/>
  <c r="AX86" i="11"/>
  <c r="AX127" i="11"/>
  <c r="AX27" i="11"/>
  <c r="AX131" i="11"/>
  <c r="AX49" i="11"/>
  <c r="AX81" i="11"/>
  <c r="AX134" i="11"/>
  <c r="AX54" i="11"/>
  <c r="AX157" i="11"/>
  <c r="AX8" i="11"/>
  <c r="AX88" i="11"/>
  <c r="AX14" i="11"/>
  <c r="AX70" i="11"/>
  <c r="AX55" i="11"/>
  <c r="AX57" i="11"/>
  <c r="AX100" i="11"/>
  <c r="AX160" i="11"/>
  <c r="AX6" i="11"/>
  <c r="AX121" i="11"/>
  <c r="AX30" i="11"/>
  <c r="AX155" i="11"/>
  <c r="AX36" i="11"/>
  <c r="AX80" i="11"/>
  <c r="AX125" i="11"/>
  <c r="AX39" i="11"/>
  <c r="AX154" i="11"/>
  <c r="AX26" i="11"/>
  <c r="AX89" i="11"/>
  <c r="AX112" i="11"/>
  <c r="AX74" i="11"/>
  <c r="AX140" i="11"/>
  <c r="AX82" i="11"/>
  <c r="AX51" i="11"/>
  <c r="AX66" i="11"/>
  <c r="AX106" i="11"/>
  <c r="AX152" i="11"/>
  <c r="AX37" i="11"/>
  <c r="AX107" i="11"/>
  <c r="AX45" i="11"/>
  <c r="AX41" i="11"/>
  <c r="AX102" i="11"/>
  <c r="AX44" i="11"/>
  <c r="AX163" i="11"/>
  <c r="AX33" i="11"/>
  <c r="AX96" i="11"/>
  <c r="AX104" i="11"/>
  <c r="AX58" i="11"/>
  <c r="AX164" i="11"/>
  <c r="AX28" i="11"/>
  <c r="AX118" i="11"/>
  <c r="AX73" i="11"/>
  <c r="AX101" i="11"/>
  <c r="AX77" i="11"/>
  <c r="AX56" i="11"/>
  <c r="AX151" i="11"/>
  <c r="AX40" i="11"/>
  <c r="AX105" i="11"/>
  <c r="AX159" i="11"/>
  <c r="AX136" i="11"/>
  <c r="AX22" i="11"/>
  <c r="AX120" i="11"/>
  <c r="AX60" i="11"/>
  <c r="AX128" i="11"/>
  <c r="AX11" i="11"/>
  <c r="AX161" i="11"/>
  <c r="AX111" i="11"/>
  <c r="AX117" i="11"/>
  <c r="AX75" i="11"/>
  <c r="AX63" i="11"/>
  <c r="AX147" i="11"/>
  <c r="AX13" i="11"/>
  <c r="AX115" i="11"/>
  <c r="AX69" i="11"/>
  <c r="AX78" i="11"/>
  <c r="AX146" i="11"/>
  <c r="AX20" i="11"/>
  <c r="AX110" i="11"/>
  <c r="AX47" i="11"/>
  <c r="AX123" i="11"/>
  <c r="AX68" i="11"/>
  <c r="AX76" i="11"/>
  <c r="AX135" i="11"/>
  <c r="AX5" i="11"/>
  <c r="AX129" i="11"/>
  <c r="AX114" i="11"/>
  <c r="AX32" i="11"/>
  <c r="AX148" i="11"/>
  <c r="T58" i="17" l="1"/>
  <c r="L58" i="10" s="1"/>
  <c r="N80" i="10"/>
  <c r="S80" i="10" s="1"/>
  <c r="T16" i="4"/>
  <c r="T15" i="4"/>
  <c r="W15" i="4" s="1"/>
  <c r="T11" i="4"/>
  <c r="U11" i="4" s="1"/>
  <c r="T8" i="4"/>
  <c r="X8" i="4" s="1"/>
  <c r="T6" i="4"/>
  <c r="X6" i="4" s="1"/>
  <c r="T7" i="4"/>
  <c r="W7" i="4" s="1"/>
  <c r="N60" i="10"/>
  <c r="X60" i="10" s="1"/>
  <c r="X59" i="10" s="1"/>
  <c r="X58" i="10" s="1"/>
  <c r="X57" i="10" s="1"/>
  <c r="X56" i="10" s="1"/>
  <c r="X55" i="10" s="1"/>
  <c r="X54" i="10" s="1"/>
  <c r="X53" i="10" s="1"/>
  <c r="X52" i="10" s="1"/>
  <c r="X51" i="10" s="1"/>
  <c r="X50" i="10" s="1"/>
  <c r="X49" i="10" s="1"/>
  <c r="X48" i="10" s="1"/>
  <c r="X47" i="10" s="1"/>
  <c r="X46" i="10" s="1"/>
  <c r="X45" i="10" s="1"/>
  <c r="T12" i="4"/>
  <c r="X12" i="4" s="1"/>
  <c r="T13" i="4"/>
  <c r="W13" i="4" s="1"/>
  <c r="T10" i="4"/>
  <c r="W10" i="4" s="1"/>
  <c r="N40" i="10"/>
  <c r="X40" i="10" s="1"/>
  <c r="X39" i="10" s="1"/>
  <c r="X38" i="10" s="1"/>
  <c r="X37" i="10" s="1"/>
  <c r="X36" i="10" s="1"/>
  <c r="X35" i="10" s="1"/>
  <c r="X34" i="10" s="1"/>
  <c r="X33" i="10" s="1"/>
  <c r="X32" i="10" s="1"/>
  <c r="X31" i="10" s="1"/>
  <c r="X30" i="10" s="1"/>
  <c r="X29" i="10" s="1"/>
  <c r="X28" i="10" s="1"/>
  <c r="X27" i="10" s="1"/>
  <c r="X26" i="10" s="1"/>
  <c r="X25" i="10" s="1"/>
  <c r="T9" i="4"/>
  <c r="V9" i="4" s="1"/>
  <c r="N100" i="10"/>
  <c r="S100" i="10" s="1"/>
  <c r="T14" i="4"/>
  <c r="V14" i="4" s="1"/>
  <c r="T18" i="17"/>
  <c r="L18" i="10" s="1"/>
  <c r="U38" i="17"/>
  <c r="M38" i="10" s="1"/>
  <c r="R38" i="10" s="1"/>
  <c r="N17" i="10"/>
  <c r="S17" i="10" s="1"/>
  <c r="V18" i="17"/>
  <c r="U36" i="10"/>
  <c r="AG36" i="10"/>
  <c r="AI36" i="10"/>
  <c r="AH36" i="10"/>
  <c r="AF36" i="10"/>
  <c r="T96" i="10"/>
  <c r="AE96" i="10"/>
  <c r="AC96" i="10"/>
  <c r="AD96" i="10"/>
  <c r="AB96" i="10"/>
  <c r="U96" i="10"/>
  <c r="AG96" i="10"/>
  <c r="AH96" i="10"/>
  <c r="AI96" i="10"/>
  <c r="AF96" i="10"/>
  <c r="T56" i="10"/>
  <c r="AE56" i="10"/>
  <c r="AD56" i="10"/>
  <c r="AC56" i="10"/>
  <c r="AB56" i="10"/>
  <c r="T76" i="10"/>
  <c r="AC76" i="10"/>
  <c r="AE76" i="10"/>
  <c r="AD76" i="10"/>
  <c r="AB76" i="10"/>
  <c r="U76" i="10"/>
  <c r="AI76" i="10"/>
  <c r="AH76" i="10"/>
  <c r="AG76" i="10"/>
  <c r="AF76" i="10"/>
  <c r="U56" i="10"/>
  <c r="AI56" i="10"/>
  <c r="AH56" i="10"/>
  <c r="AG56" i="10"/>
  <c r="AF56" i="10"/>
  <c r="T16" i="10"/>
  <c r="AC16" i="10"/>
  <c r="AD16" i="10"/>
  <c r="AE16" i="10"/>
  <c r="AB16" i="10"/>
  <c r="T36" i="10"/>
  <c r="AE36" i="10"/>
  <c r="AD36" i="10"/>
  <c r="AC36" i="10"/>
  <c r="AB36" i="10"/>
  <c r="U16" i="10"/>
  <c r="AG16" i="10"/>
  <c r="AI16" i="10"/>
  <c r="AH16" i="10"/>
  <c r="AF16" i="10"/>
  <c r="Q97" i="10"/>
  <c r="U59" i="17"/>
  <c r="M59" i="10" s="1"/>
  <c r="R58" i="10"/>
  <c r="T99" i="17"/>
  <c r="L99" i="10" s="1"/>
  <c r="U19" i="17"/>
  <c r="M19" i="10" s="1"/>
  <c r="R18" i="10"/>
  <c r="W38" i="17"/>
  <c r="O38" i="10" s="1"/>
  <c r="Q57" i="10"/>
  <c r="Q76" i="10"/>
  <c r="U78" i="17"/>
  <c r="M78" i="10" s="1"/>
  <c r="R77" i="10"/>
  <c r="T59" i="17"/>
  <c r="L59" i="10" s="1"/>
  <c r="T78" i="17"/>
  <c r="L78" i="10" s="1"/>
  <c r="X18" i="17"/>
  <c r="P18" i="10" s="1"/>
  <c r="X58" i="17"/>
  <c r="P58" i="10" s="1"/>
  <c r="X78" i="17"/>
  <c r="P78" i="10" s="1"/>
  <c r="W58" i="17"/>
  <c r="O58" i="10" s="1"/>
  <c r="X38" i="17"/>
  <c r="P38" i="10" s="1"/>
  <c r="U98" i="17"/>
  <c r="M98" i="10" s="1"/>
  <c r="R97" i="10"/>
  <c r="W78" i="17"/>
  <c r="O78" i="10" s="1"/>
  <c r="W98" i="17"/>
  <c r="O98" i="10" s="1"/>
  <c r="Q17" i="10"/>
  <c r="Q36" i="10"/>
  <c r="W18" i="17"/>
  <c r="O18" i="10" s="1"/>
  <c r="T38" i="17"/>
  <c r="L38" i="10" s="1"/>
  <c r="X98" i="17"/>
  <c r="P98" i="10" s="1"/>
  <c r="V6" i="4"/>
  <c r="AK6" i="4" s="1"/>
  <c r="Y13" i="4"/>
  <c r="X7" i="4"/>
  <c r="AM8" i="4" s="1"/>
  <c r="U7" i="4"/>
  <c r="Y7" i="4"/>
  <c r="Y11" i="4"/>
  <c r="Y15" i="4"/>
  <c r="W11" i="4"/>
  <c r="X11" i="4"/>
  <c r="V13" i="4"/>
  <c r="X13" i="4"/>
  <c r="U10" i="4"/>
  <c r="V11" i="4"/>
  <c r="U13" i="4"/>
  <c r="V8" i="4"/>
  <c r="V12" i="4"/>
  <c r="X9" i="4"/>
  <c r="U15" i="4"/>
  <c r="Y6" i="4"/>
  <c r="AN6" i="4" s="1"/>
  <c r="V15" i="4"/>
  <c r="W6" i="4"/>
  <c r="AL7" i="4" s="1"/>
  <c r="U6" i="4"/>
  <c r="X15" i="4"/>
  <c r="W8" i="4"/>
  <c r="Y8" i="4"/>
  <c r="U8" i="4"/>
  <c r="U14" i="4"/>
  <c r="U9" i="4"/>
  <c r="W12" i="4"/>
  <c r="Y10" i="4"/>
  <c r="V10" i="4"/>
  <c r="U12" i="4"/>
  <c r="X10" i="4"/>
  <c r="Y9" i="4"/>
  <c r="Y12" i="4"/>
  <c r="W9" i="4"/>
  <c r="U16" i="4"/>
  <c r="V16" i="4"/>
  <c r="X16" i="4"/>
  <c r="W16" i="4"/>
  <c r="Y16" i="4"/>
  <c r="AM6" i="4"/>
  <c r="BI6" i="4"/>
  <c r="BK5" i="4"/>
  <c r="BH5" i="4"/>
  <c r="BH6" i="4"/>
  <c r="BL6" i="4"/>
  <c r="BL5" i="4"/>
  <c r="BK6" i="4"/>
  <c r="BI5" i="4"/>
  <c r="BH7" i="4"/>
  <c r="BK7" i="4"/>
  <c r="BL7" i="4"/>
  <c r="BJ5" i="4"/>
  <c r="BJ6" i="4"/>
  <c r="BJ7" i="4"/>
  <c r="BI7" i="4"/>
  <c r="X80" i="10" l="1"/>
  <c r="X79" i="10" s="1"/>
  <c r="X78" i="10" s="1"/>
  <c r="X77" i="10" s="1"/>
  <c r="X76" i="10" s="1"/>
  <c r="X75" i="10" s="1"/>
  <c r="X74" i="10" s="1"/>
  <c r="X73" i="10" s="1"/>
  <c r="X72" i="10" s="1"/>
  <c r="X71" i="10" s="1"/>
  <c r="X70" i="10" s="1"/>
  <c r="X69" i="10" s="1"/>
  <c r="X68" i="10" s="1"/>
  <c r="X67" i="10" s="1"/>
  <c r="X66" i="10" s="1"/>
  <c r="X65" i="10" s="1"/>
  <c r="S40" i="10"/>
  <c r="X100" i="10"/>
  <c r="X99" i="10" s="1"/>
  <c r="X98" i="10" s="1"/>
  <c r="X97" i="10" s="1"/>
  <c r="X96" i="10" s="1"/>
  <c r="X95" i="10" s="1"/>
  <c r="X94" i="10" s="1"/>
  <c r="X93" i="10" s="1"/>
  <c r="X92" i="10" s="1"/>
  <c r="X91" i="10" s="1"/>
  <c r="X90" i="10" s="1"/>
  <c r="X89" i="10" s="1"/>
  <c r="X88" i="10" s="1"/>
  <c r="X87" i="10" s="1"/>
  <c r="X86" i="10" s="1"/>
  <c r="X85" i="10" s="1"/>
  <c r="T19" i="17"/>
  <c r="L19" i="10" s="1"/>
  <c r="S60" i="10"/>
  <c r="X14" i="4"/>
  <c r="AM34" i="4" s="1"/>
  <c r="V7" i="4"/>
  <c r="AK7" i="4" s="1"/>
  <c r="W14" i="4"/>
  <c r="AL77" i="4" s="1"/>
  <c r="Y14" i="4"/>
  <c r="U39" i="17"/>
  <c r="M39" i="10" s="1"/>
  <c r="R39" i="10" s="1"/>
  <c r="N18" i="10"/>
  <c r="S18" i="10" s="1"/>
  <c r="V19" i="17"/>
  <c r="U37" i="10"/>
  <c r="AI37" i="10"/>
  <c r="AH37" i="10"/>
  <c r="AG37" i="10"/>
  <c r="AF37" i="10"/>
  <c r="T57" i="10"/>
  <c r="AC57" i="10"/>
  <c r="AE57" i="10"/>
  <c r="AD57" i="10"/>
  <c r="AB57" i="10"/>
  <c r="U77" i="10"/>
  <c r="AG77" i="10"/>
  <c r="AI77" i="10"/>
  <c r="AH77" i="10"/>
  <c r="AF77" i="10"/>
  <c r="T97" i="10"/>
  <c r="AE97" i="10"/>
  <c r="AD97" i="10"/>
  <c r="AC97" i="10"/>
  <c r="AB97" i="10"/>
  <c r="U97" i="10"/>
  <c r="AI97" i="10"/>
  <c r="AH97" i="10"/>
  <c r="AG97" i="10"/>
  <c r="AF97" i="10"/>
  <c r="T77" i="10"/>
  <c r="AE77" i="10"/>
  <c r="AC77" i="10"/>
  <c r="AD77" i="10"/>
  <c r="AB77" i="10"/>
  <c r="T17" i="10"/>
  <c r="AC17" i="10"/>
  <c r="AD17" i="10"/>
  <c r="AE17" i="10"/>
  <c r="AB17" i="10"/>
  <c r="U57" i="10"/>
  <c r="AI57" i="10"/>
  <c r="AH57" i="10"/>
  <c r="AG57" i="10"/>
  <c r="AF57" i="10"/>
  <c r="T37" i="10"/>
  <c r="AE37" i="10"/>
  <c r="AD37" i="10"/>
  <c r="AC37" i="10"/>
  <c r="AB37" i="10"/>
  <c r="U17" i="10"/>
  <c r="AH17" i="10"/>
  <c r="AG17" i="10"/>
  <c r="AI17" i="10"/>
  <c r="AF17" i="10"/>
  <c r="AM7" i="4"/>
  <c r="T39" i="17"/>
  <c r="L39" i="10" s="1"/>
  <c r="W99" i="17"/>
  <c r="O99" i="10" s="1"/>
  <c r="X59" i="17"/>
  <c r="P59" i="10" s="1"/>
  <c r="W19" i="17"/>
  <c r="O19" i="10" s="1"/>
  <c r="W79" i="17"/>
  <c r="O79" i="10" s="1"/>
  <c r="X19" i="17"/>
  <c r="P19" i="10" s="1"/>
  <c r="W39" i="17"/>
  <c r="O39" i="10" s="1"/>
  <c r="Q18" i="10"/>
  <c r="Q77" i="10"/>
  <c r="U99" i="17"/>
  <c r="M99" i="10" s="1"/>
  <c r="R98" i="10"/>
  <c r="T79" i="17"/>
  <c r="L79" i="10" s="1"/>
  <c r="U20" i="17"/>
  <c r="M20" i="10" s="1"/>
  <c r="R19" i="10"/>
  <c r="Q58" i="10"/>
  <c r="Q98" i="10"/>
  <c r="X39" i="17"/>
  <c r="P39" i="10" s="1"/>
  <c r="T60" i="17"/>
  <c r="T100" i="17"/>
  <c r="W59" i="17"/>
  <c r="O59" i="10" s="1"/>
  <c r="U79" i="17"/>
  <c r="M79" i="10" s="1"/>
  <c r="R78" i="10"/>
  <c r="U60" i="17"/>
  <c r="M60" i="10" s="1"/>
  <c r="R59" i="10"/>
  <c r="Q37" i="10"/>
  <c r="X99" i="17"/>
  <c r="P99" i="10" s="1"/>
  <c r="X79" i="17"/>
  <c r="P79" i="10" s="1"/>
  <c r="AM13" i="4"/>
  <c r="AM9" i="4"/>
  <c r="AL6" i="4"/>
  <c r="AM11" i="4"/>
  <c r="AJ65" i="4"/>
  <c r="AM10" i="4"/>
  <c r="AN8" i="4"/>
  <c r="AJ100" i="4"/>
  <c r="AJ109" i="4"/>
  <c r="AM12" i="4"/>
  <c r="AJ101" i="4"/>
  <c r="AJ82" i="4"/>
  <c r="AJ15" i="4"/>
  <c r="AJ10" i="4"/>
  <c r="AJ7" i="4"/>
  <c r="AM105" i="4"/>
  <c r="AJ9" i="4"/>
  <c r="AJ107" i="4"/>
  <c r="AJ6" i="4"/>
  <c r="AN36" i="4"/>
  <c r="L49" i="2" s="1"/>
  <c r="R36" i="3" s="1"/>
  <c r="AJ103" i="4"/>
  <c r="AL19" i="4"/>
  <c r="AM54" i="4"/>
  <c r="AJ35" i="4"/>
  <c r="AJ85" i="4"/>
  <c r="AJ38" i="4"/>
  <c r="AJ75" i="4"/>
  <c r="AJ43" i="4"/>
  <c r="AJ110" i="4"/>
  <c r="AL59" i="4"/>
  <c r="AN56" i="4"/>
  <c r="L69" i="2" s="1"/>
  <c r="R69" i="2" s="1"/>
  <c r="AN9" i="4"/>
  <c r="L22" i="2" s="1"/>
  <c r="AK106" i="4"/>
  <c r="AJ63" i="4"/>
  <c r="AN55" i="4"/>
  <c r="L68" i="2" s="1"/>
  <c r="R68" i="2" s="1"/>
  <c r="AN7" i="4"/>
  <c r="L20" i="2" s="1"/>
  <c r="AN103" i="4"/>
  <c r="L116" i="2" s="1"/>
  <c r="R103" i="3" s="1"/>
  <c r="AN98" i="4"/>
  <c r="L111" i="2" s="1"/>
  <c r="R98" i="3" s="1"/>
  <c r="AK79" i="4"/>
  <c r="AK75" i="4"/>
  <c r="AJ30" i="4"/>
  <c r="AJ80" i="4"/>
  <c r="AJ8" i="4"/>
  <c r="AL8" i="4"/>
  <c r="AJ67" i="4"/>
  <c r="AM56" i="4"/>
  <c r="AK29" i="4"/>
  <c r="AJ31" i="4"/>
  <c r="AJ55" i="4"/>
  <c r="AJ37" i="4"/>
  <c r="AJ40" i="4"/>
  <c r="AN75" i="4"/>
  <c r="L88" i="2" s="1"/>
  <c r="R88" i="2" s="1"/>
  <c r="AK76" i="4"/>
  <c r="AK99" i="4"/>
  <c r="AM55" i="4"/>
  <c r="AM57" i="4"/>
  <c r="AJ60" i="4"/>
  <c r="AJ32" i="4"/>
  <c r="AJ77" i="4"/>
  <c r="AJ57" i="4"/>
  <c r="AJ54" i="4"/>
  <c r="AJ76" i="4"/>
  <c r="AJ98" i="4"/>
  <c r="AJ11" i="4"/>
  <c r="AL84" i="4"/>
  <c r="AJ112" i="4"/>
  <c r="AJ89" i="4"/>
  <c r="AJ66" i="4"/>
  <c r="AJ18" i="4"/>
  <c r="AK43" i="4"/>
  <c r="AM90" i="4"/>
  <c r="AN35" i="4"/>
  <c r="L48" i="2" s="1"/>
  <c r="AM36" i="4"/>
  <c r="AM53" i="4"/>
  <c r="AJ33" i="4"/>
  <c r="AJ79" i="4"/>
  <c r="AJ59" i="4"/>
  <c r="AJ56" i="4"/>
  <c r="AJ78" i="4"/>
  <c r="AJ58" i="4"/>
  <c r="AJ81" i="4"/>
  <c r="AJ13" i="4"/>
  <c r="AJ16" i="4"/>
  <c r="AJ87" i="4"/>
  <c r="AJ20" i="4"/>
  <c r="AJ42" i="4"/>
  <c r="AN18" i="4"/>
  <c r="L31" i="2" s="1"/>
  <c r="AM32" i="4"/>
  <c r="AM82" i="4"/>
  <c r="AJ102" i="4"/>
  <c r="AJ99" i="4"/>
  <c r="AJ104" i="4"/>
  <c r="AJ52" i="4"/>
  <c r="AJ53" i="4"/>
  <c r="AJ105" i="4"/>
  <c r="AJ14" i="4"/>
  <c r="AL61" i="4"/>
  <c r="AJ111" i="4"/>
  <c r="AJ86" i="4"/>
  <c r="AJ64" i="4"/>
  <c r="AJ41" i="4"/>
  <c r="AK108" i="4"/>
  <c r="AK37" i="4"/>
  <c r="AK34" i="4"/>
  <c r="AK10" i="4"/>
  <c r="AJ83" i="4"/>
  <c r="AJ61" i="4"/>
  <c r="AJ106" i="4"/>
  <c r="AJ34" i="4"/>
  <c r="AJ84" i="4"/>
  <c r="AJ36" i="4"/>
  <c r="AJ29" i="4"/>
  <c r="AJ12" i="4"/>
  <c r="AJ113" i="4"/>
  <c r="AJ90" i="4"/>
  <c r="AJ21" i="4"/>
  <c r="AN13" i="4"/>
  <c r="L26" i="2" s="1"/>
  <c r="AL12" i="4"/>
  <c r="AN109" i="4"/>
  <c r="L122" i="2" s="1"/>
  <c r="AN79" i="4"/>
  <c r="L92" i="2" s="1"/>
  <c r="R79" i="3" s="1"/>
  <c r="AL29" i="4"/>
  <c r="AL98" i="4"/>
  <c r="AL38" i="4"/>
  <c r="AL100" i="4"/>
  <c r="AL99" i="4"/>
  <c r="AL10" i="4"/>
  <c r="AN17" i="4"/>
  <c r="AK86" i="4"/>
  <c r="AK62" i="4"/>
  <c r="AK42" i="4"/>
  <c r="AL111" i="4"/>
  <c r="AL108" i="4"/>
  <c r="AL65" i="4"/>
  <c r="AL67" i="4"/>
  <c r="AN87" i="4"/>
  <c r="L100" i="2" s="1"/>
  <c r="AN44" i="4"/>
  <c r="L57" i="2" s="1"/>
  <c r="AN65" i="4"/>
  <c r="L78" i="2" s="1"/>
  <c r="AN39" i="4"/>
  <c r="L52" i="2" s="1"/>
  <c r="AL20" i="4"/>
  <c r="AN67" i="4"/>
  <c r="L80" i="2" s="1"/>
  <c r="AN57" i="4"/>
  <c r="L70" i="2" s="1"/>
  <c r="AN101" i="4"/>
  <c r="L114" i="2" s="1"/>
  <c r="R114" i="2" s="1"/>
  <c r="AN32" i="4"/>
  <c r="L45" i="2" s="1"/>
  <c r="R45" i="2" s="1"/>
  <c r="AN14" i="4"/>
  <c r="L27" i="2" s="1"/>
  <c r="AL32" i="4"/>
  <c r="AL102" i="4"/>
  <c r="AL107" i="4"/>
  <c r="AL37" i="4"/>
  <c r="AL104" i="4"/>
  <c r="AL105" i="4"/>
  <c r="AL13" i="4"/>
  <c r="AK63" i="4"/>
  <c r="AK44" i="4"/>
  <c r="AM113" i="4"/>
  <c r="AL113" i="4"/>
  <c r="AL109" i="4"/>
  <c r="AL66" i="4"/>
  <c r="AL44" i="4"/>
  <c r="AL16" i="4"/>
  <c r="AN112" i="4"/>
  <c r="L125" i="2" s="1"/>
  <c r="AN89" i="4"/>
  <c r="L102" i="2" s="1"/>
  <c r="AN64" i="4"/>
  <c r="L77" i="2" s="1"/>
  <c r="AN43" i="4"/>
  <c r="L56" i="2" s="1"/>
  <c r="AN20" i="4"/>
  <c r="AL110" i="4"/>
  <c r="AL42" i="4"/>
  <c r="AN62" i="4"/>
  <c r="L75" i="2" s="1"/>
  <c r="AN37" i="4"/>
  <c r="L50" i="2" s="1"/>
  <c r="R50" i="2" s="1"/>
  <c r="AN100" i="4"/>
  <c r="L113" i="2" s="1"/>
  <c r="R113" i="2" s="1"/>
  <c r="AL55" i="4"/>
  <c r="AL80" i="4"/>
  <c r="AL83" i="4"/>
  <c r="AL56" i="4"/>
  <c r="AL52" i="4"/>
  <c r="AL106" i="4"/>
  <c r="AL34" i="4"/>
  <c r="AK39" i="4"/>
  <c r="AK20" i="4"/>
  <c r="AM110" i="4"/>
  <c r="AL112" i="4"/>
  <c r="AL90" i="4"/>
  <c r="AL64" i="4"/>
  <c r="AL41" i="4"/>
  <c r="AL18" i="4"/>
  <c r="AN110" i="4"/>
  <c r="L123" i="2" s="1"/>
  <c r="AN88" i="4"/>
  <c r="L101" i="2" s="1"/>
  <c r="AN63" i="4"/>
  <c r="L76" i="2" s="1"/>
  <c r="AN40" i="4"/>
  <c r="L53" i="2" s="1"/>
  <c r="AN21" i="4"/>
  <c r="AL39" i="4"/>
  <c r="AN90" i="4"/>
  <c r="L103" i="2" s="1"/>
  <c r="AN53" i="4"/>
  <c r="L66" i="2" s="1"/>
  <c r="AN61" i="4"/>
  <c r="L74" i="2" s="1"/>
  <c r="R61" i="3" s="1"/>
  <c r="AN105" i="4"/>
  <c r="L118" i="2" s="1"/>
  <c r="AN34" i="4"/>
  <c r="L47" i="2" s="1"/>
  <c r="AN60" i="4"/>
  <c r="L73" i="2" s="1"/>
  <c r="R60" i="3" s="1"/>
  <c r="AN76" i="4"/>
  <c r="L89" i="2" s="1"/>
  <c r="R89" i="2" s="1"/>
  <c r="AN82" i="4"/>
  <c r="L95" i="2" s="1"/>
  <c r="R95" i="2" s="1"/>
  <c r="AN77" i="4"/>
  <c r="L90" i="2" s="1"/>
  <c r="AN30" i="4"/>
  <c r="L43" i="2" s="1"/>
  <c r="R43" i="2" s="1"/>
  <c r="AN33" i="4"/>
  <c r="L46" i="2" s="1"/>
  <c r="R46" i="2" s="1"/>
  <c r="AN31" i="4"/>
  <c r="L44" i="2" s="1"/>
  <c r="R44" i="2" s="1"/>
  <c r="AN80" i="4"/>
  <c r="L93" i="2" s="1"/>
  <c r="AN104" i="4"/>
  <c r="L117" i="2" s="1"/>
  <c r="R117" i="2" s="1"/>
  <c r="AN59" i="4"/>
  <c r="L72" i="2" s="1"/>
  <c r="R59" i="3" s="1"/>
  <c r="AN84" i="4"/>
  <c r="L97" i="2" s="1"/>
  <c r="R84" i="3" s="1"/>
  <c r="AN10" i="4"/>
  <c r="L23" i="2" s="1"/>
  <c r="AN12" i="4"/>
  <c r="L25" i="2" s="1"/>
  <c r="AL79" i="4"/>
  <c r="AL15" i="4"/>
  <c r="AL81" i="4"/>
  <c r="AL101" i="4"/>
  <c r="AL78" i="4"/>
  <c r="AL57" i="4"/>
  <c r="AL14" i="4"/>
  <c r="AL9" i="4"/>
  <c r="AJ19" i="4"/>
  <c r="AJ44" i="4"/>
  <c r="AJ17" i="4"/>
  <c r="AK110" i="4"/>
  <c r="AK87" i="4"/>
  <c r="AK21" i="4"/>
  <c r="AK41" i="4"/>
  <c r="AM88" i="4"/>
  <c r="AM21" i="4"/>
  <c r="AL89" i="4"/>
  <c r="AL63" i="4"/>
  <c r="AL21" i="4"/>
  <c r="AL62" i="4"/>
  <c r="AL17" i="4"/>
  <c r="AN108" i="4"/>
  <c r="L121" i="2" s="1"/>
  <c r="AN86" i="4"/>
  <c r="L99" i="2" s="1"/>
  <c r="AN66" i="4"/>
  <c r="L79" i="2" s="1"/>
  <c r="AN42" i="4"/>
  <c r="L55" i="2" s="1"/>
  <c r="AN19" i="4"/>
  <c r="AL87" i="4"/>
  <c r="AN16" i="4"/>
  <c r="AN15" i="4"/>
  <c r="AN78" i="4"/>
  <c r="L91" i="2" s="1"/>
  <c r="AN83" i="4"/>
  <c r="L96" i="2" s="1"/>
  <c r="R83" i="3" s="1"/>
  <c r="AN102" i="4"/>
  <c r="L115" i="2" s="1"/>
  <c r="R115" i="2" s="1"/>
  <c r="AN106" i="4"/>
  <c r="L119" i="2" s="1"/>
  <c r="R119" i="2" s="1"/>
  <c r="AN11" i="4"/>
  <c r="L24" i="2" s="1"/>
  <c r="AN81" i="4"/>
  <c r="L94" i="2" s="1"/>
  <c r="R94" i="2" s="1"/>
  <c r="AN58" i="4"/>
  <c r="L71" i="2" s="1"/>
  <c r="R71" i="2" s="1"/>
  <c r="AN29" i="4"/>
  <c r="L42" i="2" s="1"/>
  <c r="AN38" i="4"/>
  <c r="L51" i="2" s="1"/>
  <c r="R38" i="3" s="1"/>
  <c r="AN99" i="4"/>
  <c r="L112" i="2" s="1"/>
  <c r="R99" i="3" s="1"/>
  <c r="AN107" i="4"/>
  <c r="L120" i="2" s="1"/>
  <c r="R107" i="3" s="1"/>
  <c r="AN52" i="4"/>
  <c r="L65" i="2" s="1"/>
  <c r="R52" i="3" s="1"/>
  <c r="AN54" i="4"/>
  <c r="L67" i="2" s="1"/>
  <c r="R54" i="3" s="1"/>
  <c r="AL35" i="4"/>
  <c r="AL53" i="4"/>
  <c r="AL36" i="4"/>
  <c r="AL58" i="4"/>
  <c r="AL54" i="4"/>
  <c r="AL30" i="4"/>
  <c r="AL33" i="4"/>
  <c r="AL11" i="4"/>
  <c r="AJ108" i="4"/>
  <c r="AJ88" i="4"/>
  <c r="AJ62" i="4"/>
  <c r="AJ39" i="4"/>
  <c r="AK112" i="4"/>
  <c r="AK85" i="4"/>
  <c r="AK66" i="4"/>
  <c r="AK40" i="4"/>
  <c r="AM85" i="4"/>
  <c r="AM66" i="4"/>
  <c r="AL88" i="4"/>
  <c r="AL85" i="4"/>
  <c r="AL86" i="4"/>
  <c r="AL43" i="4"/>
  <c r="AN111" i="4"/>
  <c r="L124" i="2" s="1"/>
  <c r="AN85" i="4"/>
  <c r="L98" i="2" s="1"/>
  <c r="AN113" i="4"/>
  <c r="L126" i="2" s="1"/>
  <c r="AN41" i="4"/>
  <c r="L54" i="2" s="1"/>
  <c r="L21" i="2"/>
  <c r="L19" i="2"/>
  <c r="BH12" i="4"/>
  <c r="BL9" i="4"/>
  <c r="BJ34" i="4"/>
  <c r="BJ19" i="4"/>
  <c r="BK19" i="4"/>
  <c r="BL32" i="4"/>
  <c r="BI8" i="4"/>
  <c r="BL12" i="4"/>
  <c r="BH27" i="4"/>
  <c r="BJ12" i="4"/>
  <c r="BL22" i="4"/>
  <c r="BL28" i="4"/>
  <c r="BJ14" i="4"/>
  <c r="BK12" i="4"/>
  <c r="BH25" i="4"/>
  <c r="BJ18" i="4"/>
  <c r="BK16" i="4"/>
  <c r="BH21" i="4"/>
  <c r="BJ29" i="4"/>
  <c r="BJ8" i="4"/>
  <c r="BL14" i="4"/>
  <c r="BL26" i="4"/>
  <c r="BL24" i="4"/>
  <c r="BH32" i="4"/>
  <c r="BH23" i="4"/>
  <c r="BJ24" i="4"/>
  <c r="BH24" i="4"/>
  <c r="BH13" i="4"/>
  <c r="BH29" i="4"/>
  <c r="BI36" i="4"/>
  <c r="BJ11" i="4"/>
  <c r="BH22" i="4"/>
  <c r="BH10" i="4"/>
  <c r="BL8" i="4"/>
  <c r="BL10" i="4"/>
  <c r="BJ16" i="4"/>
  <c r="BL34" i="4"/>
  <c r="BH15" i="4"/>
  <c r="BL29" i="4"/>
  <c r="BK14" i="4"/>
  <c r="BL17" i="4"/>
  <c r="BL25" i="4"/>
  <c r="BL33" i="4"/>
  <c r="BH28" i="4"/>
  <c r="BH8" i="4"/>
  <c r="BL13" i="4"/>
  <c r="BL15" i="4"/>
  <c r="BL36" i="4"/>
  <c r="BH11" i="4"/>
  <c r="BL18" i="4"/>
  <c r="BK9" i="4"/>
  <c r="BK15" i="4"/>
  <c r="BL21" i="4"/>
  <c r="BK11" i="4"/>
  <c r="BH36" i="4"/>
  <c r="BH34" i="4"/>
  <c r="BL27" i="4"/>
  <c r="BI35" i="4"/>
  <c r="BJ26" i="4"/>
  <c r="BH9" i="4"/>
  <c r="BJ31" i="4"/>
  <c r="BI34" i="4"/>
  <c r="BH35" i="4"/>
  <c r="BK17" i="4"/>
  <c r="BH33" i="4"/>
  <c r="BH17" i="4"/>
  <c r="BJ10" i="4"/>
  <c r="BL16" i="4"/>
  <c r="BH19" i="4"/>
  <c r="BJ15" i="4"/>
  <c r="BL19" i="4"/>
  <c r="BJ35" i="4"/>
  <c r="BL23" i="4"/>
  <c r="BJ25" i="4"/>
  <c r="BK18" i="4"/>
  <c r="BJ33" i="4"/>
  <c r="BK8" i="4"/>
  <c r="BH18" i="4"/>
  <c r="BJ13" i="4"/>
  <c r="BJ21" i="4"/>
  <c r="BJ27" i="4"/>
  <c r="BK13" i="4"/>
  <c r="BH31" i="4"/>
  <c r="BH26" i="4"/>
  <c r="BJ20" i="4"/>
  <c r="BL11" i="4"/>
  <c r="BJ22" i="4"/>
  <c r="BH20" i="4"/>
  <c r="BK36" i="4"/>
  <c r="BJ32" i="4"/>
  <c r="BJ36" i="4"/>
  <c r="BJ23" i="4"/>
  <c r="BK10" i="4"/>
  <c r="BJ28" i="4"/>
  <c r="BL35" i="4"/>
  <c r="BL20" i="4"/>
  <c r="BH30" i="4"/>
  <c r="BH14" i="4"/>
  <c r="BH16" i="4"/>
  <c r="BJ30" i="4"/>
  <c r="BJ9" i="4"/>
  <c r="BL30" i="4"/>
  <c r="BJ17" i="4"/>
  <c r="BL31" i="4"/>
  <c r="T20" i="17" l="1"/>
  <c r="AM39" i="4"/>
  <c r="AK109" i="4"/>
  <c r="AM40" i="4"/>
  <c r="AK111" i="4"/>
  <c r="AM86" i="4"/>
  <c r="AM31" i="4"/>
  <c r="AK89" i="4"/>
  <c r="AM52" i="4"/>
  <c r="AK33" i="4"/>
  <c r="AM79" i="4"/>
  <c r="AK82" i="4"/>
  <c r="AM77" i="4"/>
  <c r="K90" i="2" s="1"/>
  <c r="AM14" i="4"/>
  <c r="AM109" i="4"/>
  <c r="AM63" i="4"/>
  <c r="AM62" i="4"/>
  <c r="AM108" i="4"/>
  <c r="AM112" i="4"/>
  <c r="AM103" i="4"/>
  <c r="K116" i="2" s="1"/>
  <c r="Q103" i="3" s="1"/>
  <c r="AM19" i="4"/>
  <c r="AM15" i="4"/>
  <c r="AM38" i="4"/>
  <c r="AM20" i="4"/>
  <c r="AK11" i="4"/>
  <c r="AK58" i="4"/>
  <c r="AM111" i="4"/>
  <c r="AK18" i="4"/>
  <c r="AM89" i="4"/>
  <c r="AM87" i="4"/>
  <c r="AK19" i="4"/>
  <c r="AM84" i="4"/>
  <c r="AM16" i="4"/>
  <c r="AM75" i="4"/>
  <c r="AM58" i="4"/>
  <c r="AM64" i="4"/>
  <c r="AK101" i="4"/>
  <c r="AM43" i="4"/>
  <c r="AM60" i="4"/>
  <c r="AM78" i="4"/>
  <c r="AM102" i="4"/>
  <c r="AK103" i="4"/>
  <c r="AM30" i="4"/>
  <c r="AK104" i="4"/>
  <c r="AK65" i="4"/>
  <c r="AM98" i="4"/>
  <c r="AK107" i="4"/>
  <c r="AM41" i="4"/>
  <c r="AK64" i="4"/>
  <c r="AK67" i="4"/>
  <c r="AM44" i="4"/>
  <c r="AM80" i="4"/>
  <c r="K93" i="2" s="1"/>
  <c r="Q93" i="2" s="1"/>
  <c r="AK77" i="4"/>
  <c r="AM37" i="4"/>
  <c r="AM107" i="4"/>
  <c r="AK60" i="4"/>
  <c r="AM106" i="4"/>
  <c r="AM29" i="4"/>
  <c r="AM35" i="4"/>
  <c r="K48" i="2" s="1"/>
  <c r="AM42" i="4"/>
  <c r="AM65" i="4"/>
  <c r="AM17" i="4"/>
  <c r="AK88" i="4"/>
  <c r="AM18" i="4"/>
  <c r="AK90" i="4"/>
  <c r="AM67" i="4"/>
  <c r="AM33" i="4"/>
  <c r="K46" i="2" s="1"/>
  <c r="J46" i="2" s="1"/>
  <c r="AK31" i="4"/>
  <c r="AK78" i="4"/>
  <c r="AM81" i="4"/>
  <c r="AK56" i="4"/>
  <c r="AM100" i="4"/>
  <c r="AK16" i="4"/>
  <c r="AK52" i="4"/>
  <c r="AM59" i="4"/>
  <c r="AM99" i="4"/>
  <c r="AL76" i="4"/>
  <c r="AK14" i="4"/>
  <c r="AK57" i="4"/>
  <c r="AL103" i="4"/>
  <c r="AK105" i="4"/>
  <c r="AK83" i="4"/>
  <c r="AK80" i="4"/>
  <c r="AK35" i="4"/>
  <c r="AK102" i="4"/>
  <c r="AM76" i="4"/>
  <c r="AK36" i="4"/>
  <c r="AK13" i="4"/>
  <c r="AL40" i="4"/>
  <c r="AL31" i="4"/>
  <c r="AK54" i="4"/>
  <c r="AK38" i="4"/>
  <c r="AK59" i="4"/>
  <c r="AK17" i="4"/>
  <c r="AL75" i="4"/>
  <c r="AK53" i="4"/>
  <c r="AK15" i="4"/>
  <c r="AK32" i="4"/>
  <c r="AK100" i="4"/>
  <c r="AM104" i="4"/>
  <c r="AK12" i="4"/>
  <c r="AK30" i="4"/>
  <c r="AK8" i="4"/>
  <c r="AL60" i="4"/>
  <c r="AK113" i="4"/>
  <c r="AL82" i="4"/>
  <c r="AK98" i="4"/>
  <c r="AK61" i="4"/>
  <c r="AK84" i="4"/>
  <c r="AM83" i="4"/>
  <c r="K96" i="2" s="1"/>
  <c r="J96" i="2" s="1"/>
  <c r="AK81" i="4"/>
  <c r="AK55" i="4"/>
  <c r="AM101" i="4"/>
  <c r="K114" i="2" s="1"/>
  <c r="Q114" i="2" s="1"/>
  <c r="AM61" i="4"/>
  <c r="AK9" i="4"/>
  <c r="U40" i="17"/>
  <c r="M40" i="10" s="1"/>
  <c r="R40" i="10" s="1"/>
  <c r="L20" i="10"/>
  <c r="V20" i="10" s="1"/>
  <c r="V19" i="10" s="1"/>
  <c r="L100" i="10"/>
  <c r="V100" i="10" s="1"/>
  <c r="V99" i="10" s="1"/>
  <c r="L60" i="10"/>
  <c r="V60" i="10" s="1"/>
  <c r="V59" i="10" s="1"/>
  <c r="N19" i="10"/>
  <c r="S19" i="10" s="1"/>
  <c r="V20" i="17"/>
  <c r="N20" i="10" s="1"/>
  <c r="R60" i="10"/>
  <c r="W60" i="10"/>
  <c r="W59" i="10" s="1"/>
  <c r="W58" i="10" s="1"/>
  <c r="W57" i="10" s="1"/>
  <c r="W56" i="10" s="1"/>
  <c r="W55" i="10" s="1"/>
  <c r="W54" i="10" s="1"/>
  <c r="W53" i="10" s="1"/>
  <c r="W52" i="10" s="1"/>
  <c r="W51" i="10" s="1"/>
  <c r="W50" i="10" s="1"/>
  <c r="W49" i="10" s="1"/>
  <c r="W48" i="10" s="1"/>
  <c r="W47" i="10" s="1"/>
  <c r="W46" i="10" s="1"/>
  <c r="W45" i="10" s="1"/>
  <c r="R20" i="10"/>
  <c r="W20" i="10"/>
  <c r="W19" i="10" s="1"/>
  <c r="W18" i="10" s="1"/>
  <c r="W17" i="10" s="1"/>
  <c r="W16" i="10" s="1"/>
  <c r="W15" i="10" s="1"/>
  <c r="W14" i="10" s="1"/>
  <c r="W13" i="10" s="1"/>
  <c r="W12" i="10" s="1"/>
  <c r="W11" i="10" s="1"/>
  <c r="W10" i="10" s="1"/>
  <c r="W9" i="10" s="1"/>
  <c r="W8" i="10" s="1"/>
  <c r="W7" i="10" s="1"/>
  <c r="W6" i="10" s="1"/>
  <c r="W5" i="10" s="1"/>
  <c r="R56" i="3"/>
  <c r="K69" i="2"/>
  <c r="Q56" i="3" s="1"/>
  <c r="K70" i="2"/>
  <c r="Q57" i="3" s="1"/>
  <c r="T18" i="10"/>
  <c r="AC18" i="10"/>
  <c r="AD18" i="10"/>
  <c r="AE18" i="10"/>
  <c r="AB18" i="10"/>
  <c r="U58" i="10"/>
  <c r="AG58" i="10"/>
  <c r="AH58" i="10"/>
  <c r="AI58" i="10"/>
  <c r="AF58" i="10"/>
  <c r="T98" i="10"/>
  <c r="AC98" i="10"/>
  <c r="AE98" i="10"/>
  <c r="AD98" i="10"/>
  <c r="AB98" i="10"/>
  <c r="U78" i="10"/>
  <c r="AI78" i="10"/>
  <c r="AG78" i="10"/>
  <c r="AH78" i="10"/>
  <c r="AF78" i="10"/>
  <c r="T38" i="10"/>
  <c r="AC38" i="10"/>
  <c r="AE38" i="10"/>
  <c r="AD38" i="10"/>
  <c r="AB38" i="10"/>
  <c r="T58" i="10"/>
  <c r="AE58" i="10"/>
  <c r="AD58" i="10"/>
  <c r="AC58" i="10"/>
  <c r="AB58" i="10"/>
  <c r="U18" i="10"/>
  <c r="AG18" i="10"/>
  <c r="AH18" i="10"/>
  <c r="AI18" i="10"/>
  <c r="AF18" i="10"/>
  <c r="U38" i="10"/>
  <c r="AI38" i="10"/>
  <c r="AH38" i="10"/>
  <c r="AG38" i="10"/>
  <c r="AF38" i="10"/>
  <c r="U98" i="10"/>
  <c r="AI98" i="10"/>
  <c r="AH98" i="10"/>
  <c r="AG98" i="10"/>
  <c r="AF98" i="10"/>
  <c r="T78" i="10"/>
  <c r="AE78" i="10"/>
  <c r="AD78" i="10"/>
  <c r="AC78" i="10"/>
  <c r="AB78" i="10"/>
  <c r="R37" i="3"/>
  <c r="K42" i="2"/>
  <c r="Q42" i="2" s="1"/>
  <c r="X100" i="17"/>
  <c r="T80" i="17"/>
  <c r="X20" i="17"/>
  <c r="Q59" i="10"/>
  <c r="U100" i="17"/>
  <c r="M100" i="10" s="1"/>
  <c r="R99" i="10"/>
  <c r="W80" i="17"/>
  <c r="Q19" i="10"/>
  <c r="R111" i="2"/>
  <c r="X40" i="17"/>
  <c r="W20" i="17"/>
  <c r="U80" i="17"/>
  <c r="M80" i="10" s="1"/>
  <c r="R79" i="10"/>
  <c r="X60" i="17"/>
  <c r="Q99" i="10"/>
  <c r="R49" i="2"/>
  <c r="X80" i="17"/>
  <c r="W60" i="17"/>
  <c r="W100" i="17"/>
  <c r="Q38" i="10"/>
  <c r="Q78" i="10"/>
  <c r="W40" i="17"/>
  <c r="T40" i="17"/>
  <c r="K66" i="2"/>
  <c r="Q66" i="2" s="1"/>
  <c r="K111" i="2"/>
  <c r="Q111" i="2" s="1"/>
  <c r="R76" i="3"/>
  <c r="K88" i="2"/>
  <c r="Q75" i="3" s="1"/>
  <c r="R97" i="2"/>
  <c r="R66" i="2"/>
  <c r="R102" i="3"/>
  <c r="R35" i="3"/>
  <c r="R80" i="3"/>
  <c r="R75" i="3"/>
  <c r="K68" i="2"/>
  <c r="J68" i="2" s="1"/>
  <c r="R51" i="2"/>
  <c r="R93" i="2"/>
  <c r="K118" i="2"/>
  <c r="Q118" i="2" s="1"/>
  <c r="R58" i="3"/>
  <c r="K89" i="2"/>
  <c r="J89" i="2" s="1"/>
  <c r="K92" i="2"/>
  <c r="Q92" i="2" s="1"/>
  <c r="K113" i="2"/>
  <c r="Q100" i="3" s="1"/>
  <c r="K31" i="2"/>
  <c r="Q18" i="3" s="1"/>
  <c r="K115" i="2"/>
  <c r="J115" i="2" s="1"/>
  <c r="K51" i="2"/>
  <c r="Q51" i="2" s="1"/>
  <c r="R53" i="3"/>
  <c r="K91" i="2"/>
  <c r="Q91" i="2" s="1"/>
  <c r="K47" i="2"/>
  <c r="Q47" i="2" s="1"/>
  <c r="K49" i="2"/>
  <c r="J49" i="2" s="1"/>
  <c r="K112" i="2"/>
  <c r="Q112" i="2" s="1"/>
  <c r="R96" i="2"/>
  <c r="R112" i="2"/>
  <c r="K72" i="2"/>
  <c r="Q72" i="2" s="1"/>
  <c r="K117" i="2"/>
  <c r="Q117" i="2" s="1"/>
  <c r="K73" i="2"/>
  <c r="Q60" i="3" s="1"/>
  <c r="R92" i="2"/>
  <c r="R104" i="3"/>
  <c r="R73" i="2"/>
  <c r="K44" i="2"/>
  <c r="Q44" i="2" s="1"/>
  <c r="R48" i="2"/>
  <c r="R118" i="2"/>
  <c r="R42" i="2"/>
  <c r="K50" i="2"/>
  <c r="Q37" i="3" s="1"/>
  <c r="R31" i="3"/>
  <c r="R55" i="3"/>
  <c r="R30" i="3"/>
  <c r="R18" i="3"/>
  <c r="R29" i="3"/>
  <c r="R100" i="3"/>
  <c r="R116" i="2"/>
  <c r="R70" i="2"/>
  <c r="K95" i="2"/>
  <c r="R57" i="3"/>
  <c r="R77" i="3"/>
  <c r="R82" i="3"/>
  <c r="R106" i="3"/>
  <c r="K119" i="2"/>
  <c r="J119" i="2" s="1"/>
  <c r="R65" i="2"/>
  <c r="K97" i="2"/>
  <c r="Q97" i="2" s="1"/>
  <c r="R105" i="3"/>
  <c r="R31" i="2"/>
  <c r="K94" i="2"/>
  <c r="Q81" i="3" s="1"/>
  <c r="K43" i="2"/>
  <c r="Q43" i="2" s="1"/>
  <c r="R81" i="3"/>
  <c r="K45" i="2"/>
  <c r="Q45" i="2" s="1"/>
  <c r="K65" i="2"/>
  <c r="J65" i="2" s="1"/>
  <c r="R32" i="3"/>
  <c r="R67" i="2"/>
  <c r="R34" i="3"/>
  <c r="R91" i="2"/>
  <c r="K71" i="2"/>
  <c r="Q71" i="2" s="1"/>
  <c r="R33" i="3"/>
  <c r="R78" i="3"/>
  <c r="K67" i="2"/>
  <c r="Q67" i="2" s="1"/>
  <c r="R47" i="2"/>
  <c r="L29" i="2"/>
  <c r="R76" i="2"/>
  <c r="R63" i="3"/>
  <c r="K76" i="2"/>
  <c r="L33" i="2"/>
  <c r="R120" i="2"/>
  <c r="R72" i="2"/>
  <c r="R90" i="2"/>
  <c r="R101" i="3"/>
  <c r="R126" i="2"/>
  <c r="R113" i="3"/>
  <c r="K126" i="2"/>
  <c r="R101" i="2"/>
  <c r="R88" i="3"/>
  <c r="K101" i="2"/>
  <c r="R56" i="2"/>
  <c r="R43" i="3"/>
  <c r="K56" i="2"/>
  <c r="R100" i="2"/>
  <c r="R87" i="3"/>
  <c r="K100" i="2"/>
  <c r="R44" i="3"/>
  <c r="R57" i="2"/>
  <c r="K57" i="2"/>
  <c r="K120" i="2"/>
  <c r="Q107" i="3" s="1"/>
  <c r="R98" i="2"/>
  <c r="R85" i="3"/>
  <c r="K98" i="2"/>
  <c r="L32" i="2"/>
  <c r="R103" i="2"/>
  <c r="R90" i="3"/>
  <c r="K103" i="2"/>
  <c r="R123" i="2"/>
  <c r="R110" i="3"/>
  <c r="K123" i="2"/>
  <c r="R77" i="2"/>
  <c r="R64" i="3"/>
  <c r="K77" i="2"/>
  <c r="R80" i="2"/>
  <c r="R67" i="3"/>
  <c r="K80" i="2"/>
  <c r="R122" i="2"/>
  <c r="R109" i="3"/>
  <c r="K122" i="2"/>
  <c r="R74" i="2"/>
  <c r="R124" i="2"/>
  <c r="R111" i="3"/>
  <c r="K124" i="2"/>
  <c r="K55" i="2"/>
  <c r="R42" i="3"/>
  <c r="R55" i="2"/>
  <c r="R75" i="2"/>
  <c r="R62" i="3"/>
  <c r="K75" i="2"/>
  <c r="R102" i="2"/>
  <c r="R89" i="3"/>
  <c r="K102" i="2"/>
  <c r="R54" i="2"/>
  <c r="R41" i="3"/>
  <c r="K54" i="2"/>
  <c r="R121" i="2"/>
  <c r="R108" i="3"/>
  <c r="K121" i="2"/>
  <c r="K74" i="2"/>
  <c r="Q74" i="2" s="1"/>
  <c r="R79" i="2"/>
  <c r="R66" i="3"/>
  <c r="K79" i="2"/>
  <c r="L34" i="2"/>
  <c r="R125" i="2"/>
  <c r="R112" i="3"/>
  <c r="K125" i="2"/>
  <c r="R52" i="2"/>
  <c r="R39" i="3"/>
  <c r="K52" i="2"/>
  <c r="L30" i="2"/>
  <c r="L28" i="2"/>
  <c r="R99" i="2"/>
  <c r="R86" i="3"/>
  <c r="K99" i="2"/>
  <c r="K53" i="2"/>
  <c r="R40" i="3"/>
  <c r="R53" i="2"/>
  <c r="R78" i="2"/>
  <c r="R65" i="3"/>
  <c r="K78" i="2"/>
  <c r="R13" i="3"/>
  <c r="K26" i="2"/>
  <c r="R26" i="2"/>
  <c r="K24" i="2"/>
  <c r="R24" i="2"/>
  <c r="R11" i="3"/>
  <c r="K27" i="2"/>
  <c r="R14" i="3"/>
  <c r="R27" i="2"/>
  <c r="R19" i="2"/>
  <c r="R6" i="3"/>
  <c r="K19" i="2"/>
  <c r="R21" i="2"/>
  <c r="K21" i="2"/>
  <c r="R8" i="3"/>
  <c r="R22" i="2"/>
  <c r="R9" i="3"/>
  <c r="K22" i="2"/>
  <c r="R25" i="2"/>
  <c r="R12" i="3"/>
  <c r="K25" i="2"/>
  <c r="K23" i="2"/>
  <c r="R23" i="2"/>
  <c r="R10" i="3"/>
  <c r="K20" i="2"/>
  <c r="R20" i="2"/>
  <c r="R7" i="3"/>
  <c r="BI16" i="4"/>
  <c r="BI15" i="4"/>
  <c r="BK26" i="4"/>
  <c r="BK27" i="4"/>
  <c r="BK30" i="4"/>
  <c r="BK31" i="4"/>
  <c r="BI22" i="4"/>
  <c r="BI9" i="4"/>
  <c r="BI21" i="4"/>
  <c r="BI29" i="4"/>
  <c r="BI27" i="4"/>
  <c r="BI26" i="4"/>
  <c r="BK33" i="4"/>
  <c r="BK32" i="4"/>
  <c r="BI30" i="4"/>
  <c r="BI31" i="4"/>
  <c r="BK23" i="4"/>
  <c r="BK22" i="4"/>
  <c r="BK20" i="4"/>
  <c r="BK21" i="4"/>
  <c r="BK24" i="4"/>
  <c r="BK25" i="4"/>
  <c r="BI18" i="4"/>
  <c r="BI17" i="4"/>
  <c r="BI12" i="4"/>
  <c r="BI14" i="4"/>
  <c r="BI23" i="4"/>
  <c r="BI20" i="4"/>
  <c r="BI28" i="4"/>
  <c r="BI32" i="4"/>
  <c r="BI33" i="4"/>
  <c r="BK29" i="4"/>
  <c r="BK28" i="4"/>
  <c r="BI19" i="4"/>
  <c r="BI11" i="4"/>
  <c r="BI13" i="4"/>
  <c r="BK35" i="4"/>
  <c r="BK34" i="4"/>
  <c r="BI10" i="4"/>
  <c r="BI25" i="4"/>
  <c r="BI24" i="4"/>
  <c r="Q90" i="2" l="1"/>
  <c r="Q77" i="3"/>
  <c r="J90" i="2"/>
  <c r="I90" i="2" s="1"/>
  <c r="Q48" i="2"/>
  <c r="J48" i="2"/>
  <c r="I48" i="2" s="1"/>
  <c r="Q35" i="3"/>
  <c r="J95" i="2"/>
  <c r="W40" i="10"/>
  <c r="W39" i="10" s="1"/>
  <c r="W38" i="10" s="1"/>
  <c r="W37" i="10" s="1"/>
  <c r="W36" i="10" s="1"/>
  <c r="W35" i="10" s="1"/>
  <c r="W34" i="10" s="1"/>
  <c r="W33" i="10" s="1"/>
  <c r="W32" i="10" s="1"/>
  <c r="W31" i="10" s="1"/>
  <c r="W30" i="10" s="1"/>
  <c r="W29" i="10" s="1"/>
  <c r="W28" i="10" s="1"/>
  <c r="W27" i="10" s="1"/>
  <c r="W26" i="10" s="1"/>
  <c r="W25" i="10" s="1"/>
  <c r="Q60" i="10"/>
  <c r="Q100" i="10"/>
  <c r="L80" i="10"/>
  <c r="V80" i="10" s="1"/>
  <c r="V79" i="10" s="1"/>
  <c r="P40" i="10"/>
  <c r="Z40" i="10" s="1"/>
  <c r="Z39" i="10" s="1"/>
  <c r="Z38" i="10" s="1"/>
  <c r="Z37" i="10" s="1"/>
  <c r="Z36" i="10" s="1"/>
  <c r="Z35" i="10" s="1"/>
  <c r="Z34" i="10" s="1"/>
  <c r="Z33" i="10" s="1"/>
  <c r="Z32" i="10" s="1"/>
  <c r="Z31" i="10" s="1"/>
  <c r="Z30" i="10" s="1"/>
  <c r="Z29" i="10" s="1"/>
  <c r="Z28" i="10" s="1"/>
  <c r="Z27" i="10" s="1"/>
  <c r="Z26" i="10" s="1"/>
  <c r="Z25" i="10" s="1"/>
  <c r="P100" i="10"/>
  <c r="Z100" i="10" s="1"/>
  <c r="Z99" i="10" s="1"/>
  <c r="Z98" i="10" s="1"/>
  <c r="Z97" i="10" s="1"/>
  <c r="Z96" i="10" s="1"/>
  <c r="Z95" i="10" s="1"/>
  <c r="Z94" i="10" s="1"/>
  <c r="Z93" i="10" s="1"/>
  <c r="Z92" i="10" s="1"/>
  <c r="Z91" i="10" s="1"/>
  <c r="Z90" i="10" s="1"/>
  <c r="Z89" i="10" s="1"/>
  <c r="Z88" i="10" s="1"/>
  <c r="Z87" i="10" s="1"/>
  <c r="Z86" i="10" s="1"/>
  <c r="Z85" i="10" s="1"/>
  <c r="O100" i="10"/>
  <c r="Y100" i="10" s="1"/>
  <c r="Y99" i="10" s="1"/>
  <c r="Y98" i="10" s="1"/>
  <c r="Y97" i="10" s="1"/>
  <c r="Y96" i="10" s="1"/>
  <c r="Y95" i="10" s="1"/>
  <c r="Y94" i="10" s="1"/>
  <c r="Y93" i="10" s="1"/>
  <c r="Y92" i="10" s="1"/>
  <c r="Y91" i="10" s="1"/>
  <c r="Y90" i="10" s="1"/>
  <c r="Y89" i="10" s="1"/>
  <c r="Y88" i="10" s="1"/>
  <c r="Y87" i="10" s="1"/>
  <c r="Y86" i="10" s="1"/>
  <c r="Y85" i="10" s="1"/>
  <c r="L40" i="10"/>
  <c r="Q40" i="10" s="1"/>
  <c r="O40" i="10"/>
  <c r="T40" i="10" s="1"/>
  <c r="O60" i="10"/>
  <c r="Y60" i="10" s="1"/>
  <c r="O80" i="10"/>
  <c r="AD80" i="10" s="1"/>
  <c r="S20" i="10"/>
  <c r="X20" i="10"/>
  <c r="X19" i="10" s="1"/>
  <c r="X18" i="10" s="1"/>
  <c r="X17" i="10" s="1"/>
  <c r="X16" i="10" s="1"/>
  <c r="X15" i="10" s="1"/>
  <c r="X14" i="10" s="1"/>
  <c r="X13" i="10" s="1"/>
  <c r="X12" i="10" s="1"/>
  <c r="X11" i="10" s="1"/>
  <c r="X10" i="10" s="1"/>
  <c r="X9" i="10" s="1"/>
  <c r="X8" i="10" s="1"/>
  <c r="X7" i="10" s="1"/>
  <c r="X6" i="10" s="1"/>
  <c r="X5" i="10" s="1"/>
  <c r="O20" i="10"/>
  <c r="Y20" i="10" s="1"/>
  <c r="P80" i="10"/>
  <c r="AG80" i="10" s="1"/>
  <c r="P60" i="10"/>
  <c r="AG60" i="10" s="1"/>
  <c r="P20" i="10"/>
  <c r="Z20" i="10" s="1"/>
  <c r="Z19" i="10" s="1"/>
  <c r="Z18" i="10" s="1"/>
  <c r="Z17" i="10" s="1"/>
  <c r="Z16" i="10" s="1"/>
  <c r="Z15" i="10" s="1"/>
  <c r="Z14" i="10" s="1"/>
  <c r="Z13" i="10" s="1"/>
  <c r="Z12" i="10" s="1"/>
  <c r="Z11" i="10" s="1"/>
  <c r="Z10" i="10" s="1"/>
  <c r="Z9" i="10" s="1"/>
  <c r="Z8" i="10" s="1"/>
  <c r="Z7" i="10" s="1"/>
  <c r="Z6" i="10" s="1"/>
  <c r="Z5" i="10" s="1"/>
  <c r="Q20" i="10"/>
  <c r="V58" i="10"/>
  <c r="V98" i="10"/>
  <c r="R80" i="10"/>
  <c r="W80" i="10"/>
  <c r="W79" i="10" s="1"/>
  <c r="W78" i="10" s="1"/>
  <c r="W77" i="10" s="1"/>
  <c r="W76" i="10" s="1"/>
  <c r="W75" i="10" s="1"/>
  <c r="W74" i="10" s="1"/>
  <c r="W73" i="10" s="1"/>
  <c r="W72" i="10" s="1"/>
  <c r="W71" i="10" s="1"/>
  <c r="W70" i="10" s="1"/>
  <c r="W69" i="10" s="1"/>
  <c r="W68" i="10" s="1"/>
  <c r="W67" i="10" s="1"/>
  <c r="W66" i="10" s="1"/>
  <c r="W65" i="10" s="1"/>
  <c r="R100" i="10"/>
  <c r="W100" i="10"/>
  <c r="V18" i="10"/>
  <c r="J70" i="2"/>
  <c r="P70" i="2" s="1"/>
  <c r="J93" i="2"/>
  <c r="I93" i="2" s="1"/>
  <c r="Q70" i="2"/>
  <c r="J69" i="2"/>
  <c r="I69" i="2" s="1"/>
  <c r="Q69" i="2"/>
  <c r="Q116" i="2"/>
  <c r="Q80" i="3"/>
  <c r="J42" i="2"/>
  <c r="I42" i="2" s="1"/>
  <c r="Q29" i="3"/>
  <c r="Q115" i="2"/>
  <c r="U19" i="10"/>
  <c r="AG19" i="10"/>
  <c r="AI19" i="10"/>
  <c r="AH19" i="10"/>
  <c r="AF19" i="10"/>
  <c r="U79" i="10"/>
  <c r="AI79" i="10"/>
  <c r="AH79" i="10"/>
  <c r="AG79" i="10"/>
  <c r="AF79" i="10"/>
  <c r="U59" i="10"/>
  <c r="AI59" i="10"/>
  <c r="AH59" i="10"/>
  <c r="AG59" i="10"/>
  <c r="AF59" i="10"/>
  <c r="U99" i="10"/>
  <c r="AG99" i="10"/>
  <c r="AI99" i="10"/>
  <c r="AH99" i="10"/>
  <c r="AF99" i="10"/>
  <c r="T79" i="10"/>
  <c r="AC79" i="10"/>
  <c r="AE79" i="10"/>
  <c r="AD79" i="10"/>
  <c r="AB79" i="10"/>
  <c r="T99" i="10"/>
  <c r="AE99" i="10"/>
  <c r="AC99" i="10"/>
  <c r="AD99" i="10"/>
  <c r="AB99" i="10"/>
  <c r="T19" i="10"/>
  <c r="AD19" i="10"/>
  <c r="AC19" i="10"/>
  <c r="AE19" i="10"/>
  <c r="AB19" i="10"/>
  <c r="U39" i="10"/>
  <c r="AG39" i="10"/>
  <c r="AH39" i="10"/>
  <c r="AI39" i="10"/>
  <c r="AF39" i="10"/>
  <c r="T59" i="10"/>
  <c r="AE59" i="10"/>
  <c r="AD59" i="10"/>
  <c r="AC59" i="10"/>
  <c r="AB59" i="10"/>
  <c r="T39" i="10"/>
  <c r="AE39" i="10"/>
  <c r="AD39" i="10"/>
  <c r="AC39" i="10"/>
  <c r="AB39" i="10"/>
  <c r="J116" i="2"/>
  <c r="P116" i="2" s="1"/>
  <c r="J97" i="2"/>
  <c r="P84" i="3" s="1"/>
  <c r="J51" i="2"/>
  <c r="P38" i="3" s="1"/>
  <c r="Q38" i="3"/>
  <c r="Q79" i="10"/>
  <c r="Q39" i="10"/>
  <c r="Q53" i="3"/>
  <c r="J66" i="2"/>
  <c r="P66" i="2" s="1"/>
  <c r="Q98" i="3"/>
  <c r="Q84" i="3"/>
  <c r="J73" i="2"/>
  <c r="P73" i="2" s="1"/>
  <c r="Q105" i="3"/>
  <c r="J111" i="2"/>
  <c r="P98" i="3" s="1"/>
  <c r="Q73" i="2"/>
  <c r="Q88" i="2"/>
  <c r="Q55" i="3"/>
  <c r="Q68" i="2"/>
  <c r="J88" i="2"/>
  <c r="P88" i="2" s="1"/>
  <c r="Q34" i="3"/>
  <c r="J44" i="2"/>
  <c r="P31" i="3" s="1"/>
  <c r="J47" i="2"/>
  <c r="P47" i="2" s="1"/>
  <c r="Q30" i="3"/>
  <c r="J118" i="2"/>
  <c r="P118" i="2" s="1"/>
  <c r="Q89" i="2"/>
  <c r="Q65" i="2"/>
  <c r="Q50" i="2"/>
  <c r="Q76" i="3"/>
  <c r="J92" i="2"/>
  <c r="P92" i="2" s="1"/>
  <c r="J50" i="2"/>
  <c r="P37" i="3" s="1"/>
  <c r="Q113" i="2"/>
  <c r="J113" i="2"/>
  <c r="I113" i="2" s="1"/>
  <c r="Q59" i="3"/>
  <c r="J72" i="2"/>
  <c r="I72" i="2" s="1"/>
  <c r="Q31" i="2"/>
  <c r="Q101" i="3"/>
  <c r="Q33" i="3"/>
  <c r="Q46" i="2"/>
  <c r="J91" i="2"/>
  <c r="I91" i="2" s="1"/>
  <c r="Q79" i="3"/>
  <c r="J112" i="2"/>
  <c r="I112" i="2" s="1"/>
  <c r="Q99" i="3"/>
  <c r="J117" i="2"/>
  <c r="P117" i="2" s="1"/>
  <c r="Q104" i="3"/>
  <c r="J31" i="2"/>
  <c r="P18" i="3" s="1"/>
  <c r="J120" i="2"/>
  <c r="P120" i="2" s="1"/>
  <c r="Q78" i="3"/>
  <c r="Q96" i="2"/>
  <c r="Q83" i="3"/>
  <c r="Q102" i="3"/>
  <c r="Q31" i="3"/>
  <c r="Q82" i="3"/>
  <c r="Q49" i="2"/>
  <c r="Q54" i="3"/>
  <c r="Q52" i="3"/>
  <c r="Q95" i="2"/>
  <c r="Q36" i="3"/>
  <c r="Q119" i="2"/>
  <c r="Q106" i="3"/>
  <c r="Q58" i="3"/>
  <c r="Q94" i="2"/>
  <c r="J43" i="2"/>
  <c r="I43" i="2" s="1"/>
  <c r="J45" i="2"/>
  <c r="I45" i="2" s="1"/>
  <c r="J67" i="2"/>
  <c r="I67" i="2" s="1"/>
  <c r="J94" i="2"/>
  <c r="P81" i="3" s="1"/>
  <c r="J114" i="2"/>
  <c r="P101" i="3" s="1"/>
  <c r="Q32" i="3"/>
  <c r="J71" i="2"/>
  <c r="I71" i="2" s="1"/>
  <c r="Q61" i="3"/>
  <c r="Q62" i="3"/>
  <c r="J75" i="2"/>
  <c r="Q75" i="2"/>
  <c r="Q40" i="3"/>
  <c r="Q53" i="2"/>
  <c r="J53" i="2"/>
  <c r="Q52" i="2"/>
  <c r="Q39" i="3"/>
  <c r="J52" i="2"/>
  <c r="K34" i="2"/>
  <c r="R21" i="3"/>
  <c r="R34" i="2"/>
  <c r="Q67" i="3"/>
  <c r="Q80" i="2"/>
  <c r="J80" i="2"/>
  <c r="Q123" i="2"/>
  <c r="Q110" i="3"/>
  <c r="J123" i="2"/>
  <c r="K32" i="2"/>
  <c r="R19" i="3"/>
  <c r="R32" i="2"/>
  <c r="J57" i="2"/>
  <c r="Q44" i="3"/>
  <c r="Q57" i="2"/>
  <c r="Q43" i="3"/>
  <c r="Q56" i="2"/>
  <c r="J56" i="2"/>
  <c r="Q113" i="3"/>
  <c r="Q126" i="2"/>
  <c r="J126" i="2"/>
  <c r="Q120" i="2"/>
  <c r="J74" i="2"/>
  <c r="P74" i="2" s="1"/>
  <c r="Q65" i="3"/>
  <c r="Q78" i="2"/>
  <c r="J78" i="2"/>
  <c r="Q86" i="3"/>
  <c r="J99" i="2"/>
  <c r="Q99" i="2"/>
  <c r="Q79" i="2"/>
  <c r="Q66" i="3"/>
  <c r="J79" i="2"/>
  <c r="Q85" i="3"/>
  <c r="Q98" i="2"/>
  <c r="J98" i="2"/>
  <c r="K33" i="2"/>
  <c r="R20" i="3"/>
  <c r="R33" i="2"/>
  <c r="Q108" i="3"/>
  <c r="J121" i="2"/>
  <c r="Q121" i="2"/>
  <c r="Q89" i="3"/>
  <c r="Q102" i="2"/>
  <c r="J102" i="2"/>
  <c r="Q76" i="2"/>
  <c r="Q63" i="3"/>
  <c r="J76" i="2"/>
  <c r="Q112" i="3"/>
  <c r="Q125" i="2"/>
  <c r="J125" i="2"/>
  <c r="Q122" i="2"/>
  <c r="Q109" i="3"/>
  <c r="J122" i="2"/>
  <c r="Q64" i="3"/>
  <c r="J77" i="2"/>
  <c r="Q77" i="2"/>
  <c r="Q90" i="3"/>
  <c r="Q103" i="2"/>
  <c r="J103" i="2"/>
  <c r="Q87" i="3"/>
  <c r="Q100" i="2"/>
  <c r="J100" i="2"/>
  <c r="Q101" i="2"/>
  <c r="Q88" i="3"/>
  <c r="J101" i="2"/>
  <c r="R28" i="2"/>
  <c r="K28" i="2"/>
  <c r="R15" i="3"/>
  <c r="Q42" i="3"/>
  <c r="Q55" i="2"/>
  <c r="J55" i="2"/>
  <c r="K30" i="2"/>
  <c r="R17" i="3"/>
  <c r="R30" i="2"/>
  <c r="Q41" i="3"/>
  <c r="J54" i="2"/>
  <c r="Q54" i="2"/>
  <c r="Q111" i="3"/>
  <c r="Q124" i="2"/>
  <c r="J124" i="2"/>
  <c r="K29" i="2"/>
  <c r="R16" i="3"/>
  <c r="R29" i="2"/>
  <c r="I119" i="2"/>
  <c r="P119" i="2"/>
  <c r="P106" i="3"/>
  <c r="Q7" i="3"/>
  <c r="Q20" i="2"/>
  <c r="J20" i="2"/>
  <c r="Q10" i="3"/>
  <c r="Q23" i="2"/>
  <c r="J23" i="2"/>
  <c r="I89" i="2"/>
  <c r="P89" i="2"/>
  <c r="P76" i="3"/>
  <c r="I96" i="2"/>
  <c r="P83" i="3"/>
  <c r="P96" i="2"/>
  <c r="Q24" i="2"/>
  <c r="Q11" i="3"/>
  <c r="J24" i="2"/>
  <c r="P65" i="2"/>
  <c r="I65" i="2"/>
  <c r="P52" i="3"/>
  <c r="I68" i="2"/>
  <c r="P55" i="3"/>
  <c r="P68" i="2"/>
  <c r="J25" i="2"/>
  <c r="Q12" i="3"/>
  <c r="Q25" i="2"/>
  <c r="J22" i="2"/>
  <c r="Q22" i="2"/>
  <c r="Q9" i="3"/>
  <c r="Q6" i="3"/>
  <c r="J19" i="2"/>
  <c r="P19" i="2" s="1"/>
  <c r="Q19" i="2"/>
  <c r="Q8" i="3"/>
  <c r="J21" i="2"/>
  <c r="Q21" i="2"/>
  <c r="J26" i="2"/>
  <c r="Q13" i="3"/>
  <c r="Q26" i="2"/>
  <c r="I95" i="2"/>
  <c r="P82" i="3"/>
  <c r="P95" i="2"/>
  <c r="P49" i="2"/>
  <c r="P36" i="3"/>
  <c r="I49" i="2"/>
  <c r="I115" i="2"/>
  <c r="P115" i="2"/>
  <c r="P102" i="3"/>
  <c r="Q14" i="3"/>
  <c r="J27" i="2"/>
  <c r="Q27" i="2"/>
  <c r="P46" i="2"/>
  <c r="I46" i="2"/>
  <c r="P33" i="3"/>
  <c r="P90" i="2" l="1"/>
  <c r="P48" i="2"/>
  <c r="P77" i="3"/>
  <c r="P35" i="3"/>
  <c r="AF40" i="10"/>
  <c r="AC40" i="10"/>
  <c r="AD40" i="10"/>
  <c r="AE100" i="10"/>
  <c r="AE40" i="10"/>
  <c r="T100" i="10"/>
  <c r="AG40" i="10"/>
  <c r="AF100" i="10"/>
  <c r="AI100" i="10"/>
  <c r="U100" i="10"/>
  <c r="AH100" i="10"/>
  <c r="AC100" i="10"/>
  <c r="AD100" i="10"/>
  <c r="AI40" i="10"/>
  <c r="U40" i="10"/>
  <c r="AB100" i="10"/>
  <c r="AH60" i="10"/>
  <c r="AI60" i="10"/>
  <c r="AB60" i="10"/>
  <c r="U60" i="10"/>
  <c r="AD20" i="10"/>
  <c r="AC20" i="10"/>
  <c r="AH20" i="10"/>
  <c r="AE20" i="10"/>
  <c r="AH40" i="10"/>
  <c r="T20" i="10"/>
  <c r="AH80" i="10"/>
  <c r="AG100" i="10"/>
  <c r="AB20" i="10"/>
  <c r="H20" i="16"/>
  <c r="K20" i="16" s="1"/>
  <c r="Y19" i="10"/>
  <c r="Y18" i="10" s="1"/>
  <c r="Y17" i="10" s="1"/>
  <c r="Y16" i="10" s="1"/>
  <c r="Y15" i="10" s="1"/>
  <c r="Y14" i="10" s="1"/>
  <c r="Y13" i="10" s="1"/>
  <c r="Y12" i="10" s="1"/>
  <c r="Y11" i="10" s="1"/>
  <c r="Y10" i="10" s="1"/>
  <c r="Y9" i="10" s="1"/>
  <c r="Y8" i="10" s="1"/>
  <c r="Y7" i="10" s="1"/>
  <c r="Y6" i="10" s="1"/>
  <c r="Y5" i="10" s="1"/>
  <c r="Y80" i="10"/>
  <c r="Y79" i="10" s="1"/>
  <c r="Y78" i="10" s="1"/>
  <c r="Y77" i="10" s="1"/>
  <c r="Y76" i="10" s="1"/>
  <c r="Y75" i="10" s="1"/>
  <c r="Y74" i="10" s="1"/>
  <c r="Y73" i="10" s="1"/>
  <c r="Y72" i="10" s="1"/>
  <c r="Y71" i="10" s="1"/>
  <c r="Y70" i="10" s="1"/>
  <c r="Y69" i="10" s="1"/>
  <c r="Y68" i="10" s="1"/>
  <c r="Y67" i="10" s="1"/>
  <c r="Y66" i="10" s="1"/>
  <c r="Y65" i="10" s="1"/>
  <c r="AB80" i="10"/>
  <c r="AC80" i="10"/>
  <c r="AE80" i="10"/>
  <c r="T80" i="10"/>
  <c r="T60" i="10"/>
  <c r="AB40" i="10"/>
  <c r="Y59" i="10"/>
  <c r="Y58" i="10" s="1"/>
  <c r="Y57" i="10" s="1"/>
  <c r="Y56" i="10" s="1"/>
  <c r="Y55" i="10" s="1"/>
  <c r="Y54" i="10" s="1"/>
  <c r="Y53" i="10" s="1"/>
  <c r="Y52" i="10" s="1"/>
  <c r="Y51" i="10" s="1"/>
  <c r="Y50" i="10" s="1"/>
  <c r="Y49" i="10" s="1"/>
  <c r="Y48" i="10" s="1"/>
  <c r="Y47" i="10" s="1"/>
  <c r="Y46" i="10" s="1"/>
  <c r="Y45" i="10" s="1"/>
  <c r="AE60" i="10"/>
  <c r="U80" i="10"/>
  <c r="AG20" i="10"/>
  <c r="AI80" i="10"/>
  <c r="AC60" i="10"/>
  <c r="AI20" i="10"/>
  <c r="Z60" i="10"/>
  <c r="Z59" i="10" s="1"/>
  <c r="Z58" i="10" s="1"/>
  <c r="Z57" i="10" s="1"/>
  <c r="Z56" i="10" s="1"/>
  <c r="Z55" i="10" s="1"/>
  <c r="Z54" i="10" s="1"/>
  <c r="Z53" i="10" s="1"/>
  <c r="Z52" i="10" s="1"/>
  <c r="Z51" i="10" s="1"/>
  <c r="Z50" i="10" s="1"/>
  <c r="Z49" i="10" s="1"/>
  <c r="Z48" i="10" s="1"/>
  <c r="Z47" i="10" s="1"/>
  <c r="Z46" i="10" s="1"/>
  <c r="Z45" i="10" s="1"/>
  <c r="Y40" i="10"/>
  <c r="Y39" i="10" s="1"/>
  <c r="Y38" i="10" s="1"/>
  <c r="Y37" i="10" s="1"/>
  <c r="Y36" i="10" s="1"/>
  <c r="Y35" i="10" s="1"/>
  <c r="Y34" i="10" s="1"/>
  <c r="Y33" i="10" s="1"/>
  <c r="Y32" i="10" s="1"/>
  <c r="Y31" i="10" s="1"/>
  <c r="Y30" i="10" s="1"/>
  <c r="Y29" i="10" s="1"/>
  <c r="Y28" i="10" s="1"/>
  <c r="Y27" i="10" s="1"/>
  <c r="Y26" i="10" s="1"/>
  <c r="Y25" i="10" s="1"/>
  <c r="Q80" i="10"/>
  <c r="U20" i="10"/>
  <c r="Z80" i="10"/>
  <c r="Z79" i="10" s="1"/>
  <c r="Z78" i="10" s="1"/>
  <c r="Z77" i="10" s="1"/>
  <c r="Z76" i="10" s="1"/>
  <c r="Z75" i="10" s="1"/>
  <c r="Z74" i="10" s="1"/>
  <c r="Z73" i="10" s="1"/>
  <c r="Z72" i="10" s="1"/>
  <c r="Z71" i="10" s="1"/>
  <c r="Z70" i="10" s="1"/>
  <c r="Z69" i="10" s="1"/>
  <c r="Z68" i="10" s="1"/>
  <c r="Z67" i="10" s="1"/>
  <c r="Z66" i="10" s="1"/>
  <c r="Z65" i="10" s="1"/>
  <c r="V40" i="10"/>
  <c r="AF60" i="10"/>
  <c r="AF80" i="10"/>
  <c r="AD60" i="10"/>
  <c r="AF20" i="10"/>
  <c r="P69" i="2"/>
  <c r="W99" i="10"/>
  <c r="H100" i="16"/>
  <c r="I100" i="16" s="1"/>
  <c r="J100" i="13" s="1"/>
  <c r="V97" i="10"/>
  <c r="V17" i="10"/>
  <c r="V78" i="10"/>
  <c r="V57" i="10"/>
  <c r="P56" i="3"/>
  <c r="P93" i="2"/>
  <c r="P80" i="3"/>
  <c r="I70" i="2"/>
  <c r="H70" i="2" s="1"/>
  <c r="P57" i="3"/>
  <c r="I116" i="2"/>
  <c r="H116" i="2" s="1"/>
  <c r="I97" i="2"/>
  <c r="H97" i="2" s="1"/>
  <c r="P103" i="3"/>
  <c r="P60" i="3"/>
  <c r="P29" i="3"/>
  <c r="P97" i="2"/>
  <c r="I111" i="2"/>
  <c r="H111" i="2" s="1"/>
  <c r="P51" i="2"/>
  <c r="I51" i="2"/>
  <c r="O38" i="3" s="1"/>
  <c r="P42" i="2"/>
  <c r="P111" i="2"/>
  <c r="I73" i="2"/>
  <c r="O60" i="3" s="1"/>
  <c r="P75" i="3"/>
  <c r="I66" i="2"/>
  <c r="H66" i="2" s="1"/>
  <c r="P53" i="3"/>
  <c r="I88" i="2"/>
  <c r="H88" i="2" s="1"/>
  <c r="I44" i="2"/>
  <c r="O31" i="3" s="1"/>
  <c r="I118" i="2"/>
  <c r="O118" i="2" s="1"/>
  <c r="P105" i="3"/>
  <c r="P79" i="3"/>
  <c r="I92" i="2"/>
  <c r="H92" i="2" s="1"/>
  <c r="I47" i="2"/>
  <c r="H47" i="2" s="1"/>
  <c r="P34" i="3"/>
  <c r="P30" i="3"/>
  <c r="P78" i="3"/>
  <c r="P44" i="2"/>
  <c r="P43" i="2"/>
  <c r="P113" i="2"/>
  <c r="P50" i="2"/>
  <c r="P100" i="3"/>
  <c r="P72" i="2"/>
  <c r="P59" i="3"/>
  <c r="P107" i="3"/>
  <c r="I50" i="2"/>
  <c r="O50" i="2" s="1"/>
  <c r="P99" i="3"/>
  <c r="P104" i="3"/>
  <c r="P112" i="2"/>
  <c r="I117" i="2"/>
  <c r="O104" i="3" s="1"/>
  <c r="P114" i="2"/>
  <c r="P91" i="2"/>
  <c r="I120" i="2"/>
  <c r="H120" i="2" s="1"/>
  <c r="P58" i="3"/>
  <c r="I31" i="2"/>
  <c r="O18" i="3" s="1"/>
  <c r="P31" i="2"/>
  <c r="P67" i="2"/>
  <c r="I114" i="2"/>
  <c r="O101" i="3" s="1"/>
  <c r="P45" i="2"/>
  <c r="P54" i="3"/>
  <c r="P32" i="3"/>
  <c r="I94" i="2"/>
  <c r="O81" i="3" s="1"/>
  <c r="P94" i="2"/>
  <c r="P71" i="2"/>
  <c r="I74" i="2"/>
  <c r="H74" i="2" s="1"/>
  <c r="P111" i="3"/>
  <c r="P124" i="2"/>
  <c r="I124" i="2"/>
  <c r="P87" i="3"/>
  <c r="P100" i="2"/>
  <c r="I100" i="2"/>
  <c r="P112" i="3"/>
  <c r="P125" i="2"/>
  <c r="I125" i="2"/>
  <c r="P89" i="3"/>
  <c r="P102" i="2"/>
  <c r="I102" i="2"/>
  <c r="P65" i="3"/>
  <c r="P78" i="2"/>
  <c r="I78" i="2"/>
  <c r="P61" i="3"/>
  <c r="Q17" i="3"/>
  <c r="Q30" i="2"/>
  <c r="J30" i="2"/>
  <c r="Q20" i="3"/>
  <c r="J33" i="2"/>
  <c r="Q33" i="2"/>
  <c r="P43" i="3"/>
  <c r="I56" i="2"/>
  <c r="P56" i="2"/>
  <c r="P67" i="3"/>
  <c r="I80" i="2"/>
  <c r="P80" i="2"/>
  <c r="P40" i="3"/>
  <c r="P53" i="2"/>
  <c r="I53" i="2"/>
  <c r="P101" i="2"/>
  <c r="P88" i="3"/>
  <c r="I101" i="2"/>
  <c r="P42" i="3"/>
  <c r="I55" i="2"/>
  <c r="P55" i="2"/>
  <c r="P109" i="3"/>
  <c r="P122" i="2"/>
  <c r="I122" i="2"/>
  <c r="P41" i="3"/>
  <c r="I54" i="2"/>
  <c r="P54" i="2"/>
  <c r="P108" i="3"/>
  <c r="P121" i="2"/>
  <c r="I121" i="2"/>
  <c r="P86" i="3"/>
  <c r="P99" i="2"/>
  <c r="I99" i="2"/>
  <c r="J32" i="2"/>
  <c r="Q19" i="3"/>
  <c r="Q32" i="2"/>
  <c r="J34" i="2"/>
  <c r="Q21" i="3"/>
  <c r="Q34" i="2"/>
  <c r="P90" i="3"/>
  <c r="P103" i="2"/>
  <c r="I103" i="2"/>
  <c r="P76" i="2"/>
  <c r="P63" i="3"/>
  <c r="I76" i="2"/>
  <c r="P85" i="3"/>
  <c r="P98" i="2"/>
  <c r="I98" i="2"/>
  <c r="Q16" i="3"/>
  <c r="J29" i="2"/>
  <c r="Q29" i="2"/>
  <c r="P113" i="3"/>
  <c r="P126" i="2"/>
  <c r="I126" i="2"/>
  <c r="P110" i="3"/>
  <c r="I123" i="2"/>
  <c r="P123" i="2"/>
  <c r="P39" i="3"/>
  <c r="P52" i="2"/>
  <c r="I52" i="2"/>
  <c r="P66" i="3"/>
  <c r="I79" i="2"/>
  <c r="P79" i="2"/>
  <c r="P62" i="3"/>
  <c r="P75" i="2"/>
  <c r="I75" i="2"/>
  <c r="J28" i="2"/>
  <c r="Q15" i="3"/>
  <c r="Q28" i="2"/>
  <c r="P64" i="3"/>
  <c r="I77" i="2"/>
  <c r="P77" i="2"/>
  <c r="P44" i="3"/>
  <c r="P57" i="2"/>
  <c r="I57" i="2"/>
  <c r="O36" i="3"/>
  <c r="H49" i="2"/>
  <c r="O49" i="2"/>
  <c r="P11" i="3"/>
  <c r="I24" i="2"/>
  <c r="P24" i="2"/>
  <c r="I20" i="2"/>
  <c r="P7" i="3"/>
  <c r="P20" i="2"/>
  <c r="O43" i="2"/>
  <c r="O30" i="3"/>
  <c r="H43" i="2"/>
  <c r="O35" i="3"/>
  <c r="O48" i="2"/>
  <c r="H48" i="2"/>
  <c r="O46" i="2"/>
  <c r="H46" i="2"/>
  <c r="O33" i="3"/>
  <c r="I27" i="2"/>
  <c r="P27" i="2"/>
  <c r="P14" i="3"/>
  <c r="O52" i="3"/>
  <c r="O65" i="2"/>
  <c r="H65" i="2"/>
  <c r="H69" i="2"/>
  <c r="O69" i="2"/>
  <c r="O56" i="3"/>
  <c r="I25" i="2"/>
  <c r="P25" i="2"/>
  <c r="P12" i="3"/>
  <c r="O96" i="2"/>
  <c r="O83" i="3"/>
  <c r="H96" i="2"/>
  <c r="H91" i="2"/>
  <c r="O91" i="2"/>
  <c r="O78" i="3"/>
  <c r="H93" i="2"/>
  <c r="O80" i="3"/>
  <c r="O93" i="2"/>
  <c r="P23" i="2"/>
  <c r="I23" i="2"/>
  <c r="P10" i="3"/>
  <c r="H71" i="2"/>
  <c r="O71" i="2"/>
  <c r="O58" i="3"/>
  <c r="H72" i="2"/>
  <c r="O59" i="3"/>
  <c r="O72" i="2"/>
  <c r="O90" i="2"/>
  <c r="O77" i="3"/>
  <c r="H90" i="2"/>
  <c r="P21" i="2"/>
  <c r="P8" i="3"/>
  <c r="I21" i="2"/>
  <c r="I19" i="2"/>
  <c r="P6" i="3"/>
  <c r="O99" i="3"/>
  <c r="H112" i="2"/>
  <c r="O112" i="2"/>
  <c r="O67" i="2"/>
  <c r="H67" i="2"/>
  <c r="O54" i="3"/>
  <c r="O115" i="2"/>
  <c r="O102" i="3"/>
  <c r="H115" i="2"/>
  <c r="O95" i="2"/>
  <c r="O82" i="3"/>
  <c r="H95" i="2"/>
  <c r="P13" i="3"/>
  <c r="I26" i="2"/>
  <c r="P26" i="2"/>
  <c r="I22" i="2"/>
  <c r="P22" i="2"/>
  <c r="P9" i="3"/>
  <c r="O68" i="2"/>
  <c r="O55" i="3"/>
  <c r="H68" i="2"/>
  <c r="O100" i="3"/>
  <c r="H113" i="2"/>
  <c r="O113" i="2"/>
  <c r="O76" i="3"/>
  <c r="H89" i="2"/>
  <c r="O89" i="2"/>
  <c r="H45" i="2"/>
  <c r="O32" i="3"/>
  <c r="O45" i="2"/>
  <c r="O29" i="3"/>
  <c r="H42" i="2"/>
  <c r="O42" i="2"/>
  <c r="H119" i="2"/>
  <c r="O106" i="3"/>
  <c r="O119" i="2"/>
  <c r="L20" i="16" l="1"/>
  <c r="H60" i="16"/>
  <c r="L60" i="16" s="1"/>
  <c r="I20" i="16"/>
  <c r="J20" i="13" s="1"/>
  <c r="H18" i="16"/>
  <c r="K18" i="16" s="1"/>
  <c r="H80" i="16"/>
  <c r="K80" i="16" s="1"/>
  <c r="H19" i="16"/>
  <c r="K19" i="16" s="1"/>
  <c r="V39" i="10"/>
  <c r="H40" i="16"/>
  <c r="H59" i="16"/>
  <c r="I59" i="16" s="1"/>
  <c r="J59" i="13" s="1"/>
  <c r="H58" i="16"/>
  <c r="K58" i="16" s="1"/>
  <c r="H79" i="16"/>
  <c r="K79" i="16" s="1"/>
  <c r="L100" i="16"/>
  <c r="K100" i="16"/>
  <c r="O98" i="3"/>
  <c r="V56" i="10"/>
  <c r="H57" i="16"/>
  <c r="V77" i="10"/>
  <c r="H78" i="16"/>
  <c r="V16" i="10"/>
  <c r="H17" i="16"/>
  <c r="V96" i="10"/>
  <c r="W98" i="10"/>
  <c r="H99" i="16"/>
  <c r="O103" i="3"/>
  <c r="O116" i="2"/>
  <c r="O57" i="3"/>
  <c r="O70" i="2"/>
  <c r="O84" i="3"/>
  <c r="O97" i="2"/>
  <c r="O73" i="2"/>
  <c r="O111" i="2"/>
  <c r="O75" i="3"/>
  <c r="H44" i="2"/>
  <c r="N44" i="2" s="1"/>
  <c r="O51" i="2"/>
  <c r="H51" i="2"/>
  <c r="N51" i="2" s="1"/>
  <c r="O88" i="2"/>
  <c r="O92" i="2"/>
  <c r="O44" i="2"/>
  <c r="O34" i="3"/>
  <c r="H73" i="2"/>
  <c r="N60" i="3" s="1"/>
  <c r="S60" i="3" s="1"/>
  <c r="O47" i="2"/>
  <c r="O66" i="2"/>
  <c r="O53" i="3"/>
  <c r="O105" i="3"/>
  <c r="H118" i="2"/>
  <c r="N118" i="2" s="1"/>
  <c r="S118" i="2" s="1"/>
  <c r="AH193" i="3" s="1"/>
  <c r="AJ193" i="3" s="1"/>
  <c r="O79" i="3"/>
  <c r="H50" i="2"/>
  <c r="N37" i="3" s="1"/>
  <c r="H117" i="2"/>
  <c r="N117" i="2" s="1"/>
  <c r="O117" i="2"/>
  <c r="O37" i="3"/>
  <c r="O31" i="2"/>
  <c r="H31" i="2"/>
  <c r="N31" i="2" s="1"/>
  <c r="O120" i="2"/>
  <c r="O107" i="3"/>
  <c r="H19" i="2"/>
  <c r="O19" i="2"/>
  <c r="O74" i="2"/>
  <c r="O61" i="3"/>
  <c r="H114" i="2"/>
  <c r="N101" i="3" s="1"/>
  <c r="S101" i="3" s="1"/>
  <c r="O114" i="2"/>
  <c r="O94" i="2"/>
  <c r="H94" i="2"/>
  <c r="N94" i="2" s="1"/>
  <c r="O39" i="3"/>
  <c r="H52" i="2"/>
  <c r="O52" i="2"/>
  <c r="O63" i="3"/>
  <c r="O76" i="2"/>
  <c r="H76" i="2"/>
  <c r="O40" i="3"/>
  <c r="O53" i="2"/>
  <c r="H53" i="2"/>
  <c r="O64" i="3"/>
  <c r="O77" i="2"/>
  <c r="H77" i="2"/>
  <c r="O110" i="3"/>
  <c r="O123" i="2"/>
  <c r="H123" i="2"/>
  <c r="P16" i="3"/>
  <c r="I29" i="2"/>
  <c r="P29" i="2"/>
  <c r="O41" i="3"/>
  <c r="H54" i="2"/>
  <c r="O54" i="2"/>
  <c r="O42" i="3"/>
  <c r="H55" i="2"/>
  <c r="O55" i="2"/>
  <c r="O43" i="3"/>
  <c r="H56" i="2"/>
  <c r="O56" i="2"/>
  <c r="O89" i="3"/>
  <c r="O102" i="2"/>
  <c r="H102" i="2"/>
  <c r="O87" i="3"/>
  <c r="O100" i="2"/>
  <c r="H100" i="2"/>
  <c r="P21" i="3"/>
  <c r="I34" i="2"/>
  <c r="P34" i="2"/>
  <c r="P17" i="3"/>
  <c r="P30" i="2"/>
  <c r="I30" i="2"/>
  <c r="O44" i="3"/>
  <c r="O57" i="2"/>
  <c r="H57" i="2"/>
  <c r="O113" i="3"/>
  <c r="O126" i="2"/>
  <c r="H126" i="2"/>
  <c r="O85" i="3"/>
  <c r="O98" i="2"/>
  <c r="H98" i="2"/>
  <c r="O90" i="3"/>
  <c r="O103" i="2"/>
  <c r="H103" i="2"/>
  <c r="O108" i="3"/>
  <c r="O121" i="2"/>
  <c r="H121" i="2"/>
  <c r="O109" i="3"/>
  <c r="O122" i="2"/>
  <c r="H122" i="2"/>
  <c r="O88" i="3"/>
  <c r="O101" i="2"/>
  <c r="H101" i="2"/>
  <c r="O86" i="3"/>
  <c r="H99" i="2"/>
  <c r="O99" i="2"/>
  <c r="O66" i="3"/>
  <c r="O79" i="2"/>
  <c r="H79" i="2"/>
  <c r="O67" i="3"/>
  <c r="O80" i="2"/>
  <c r="H80" i="2"/>
  <c r="P20" i="3"/>
  <c r="P33" i="2"/>
  <c r="I33" i="2"/>
  <c r="O65" i="3"/>
  <c r="O78" i="2"/>
  <c r="H78" i="2"/>
  <c r="O112" i="3"/>
  <c r="H125" i="2"/>
  <c r="O125" i="2"/>
  <c r="O111" i="3"/>
  <c r="O124" i="2"/>
  <c r="H124" i="2"/>
  <c r="O62" i="3"/>
  <c r="O75" i="2"/>
  <c r="H75" i="2"/>
  <c r="P15" i="3"/>
  <c r="I28" i="2"/>
  <c r="P28" i="2"/>
  <c r="P19" i="3"/>
  <c r="I32" i="2"/>
  <c r="P32" i="2"/>
  <c r="N45" i="2"/>
  <c r="S45" i="2" s="1"/>
  <c r="AH54" i="3" s="1"/>
  <c r="AJ54" i="3" s="1"/>
  <c r="N32" i="3"/>
  <c r="S32" i="3" s="1"/>
  <c r="I8" i="7" s="1"/>
  <c r="N66" i="2"/>
  <c r="N53" i="3"/>
  <c r="N111" i="2"/>
  <c r="N98" i="3"/>
  <c r="S98" i="3" s="1"/>
  <c r="N82" i="3"/>
  <c r="S82" i="3" s="1"/>
  <c r="N95" i="2"/>
  <c r="S95" i="2" s="1"/>
  <c r="AH148" i="3" s="1"/>
  <c r="AJ148" i="3" s="1"/>
  <c r="N90" i="2"/>
  <c r="S90" i="2" s="1"/>
  <c r="AH143" i="3" s="1"/>
  <c r="AJ143" i="3" s="1"/>
  <c r="N77" i="3"/>
  <c r="S77" i="3" s="1"/>
  <c r="N61" i="3"/>
  <c r="N74" i="2"/>
  <c r="N65" i="2"/>
  <c r="S65" i="2" s="1"/>
  <c r="AH96" i="3" s="1"/>
  <c r="N52" i="3"/>
  <c r="S52" i="3" s="1"/>
  <c r="N70" i="2"/>
  <c r="N57" i="3"/>
  <c r="N34" i="3"/>
  <c r="N47" i="2"/>
  <c r="O7" i="3"/>
  <c r="O20" i="2"/>
  <c r="H20" i="2"/>
  <c r="N113" i="2"/>
  <c r="S113" i="2" s="1"/>
  <c r="AH188" i="3" s="1"/>
  <c r="AJ188" i="3" s="1"/>
  <c r="N100" i="3"/>
  <c r="S100" i="3" s="1"/>
  <c r="N54" i="3"/>
  <c r="S54" i="3" s="1"/>
  <c r="J7" i="7" s="1"/>
  <c r="N67" i="2"/>
  <c r="S67" i="2" s="1"/>
  <c r="AH98" i="3" s="1"/>
  <c r="AJ98" i="3" s="1"/>
  <c r="N46" i="2"/>
  <c r="S46" i="2" s="1"/>
  <c r="AH55" i="3" s="1"/>
  <c r="AJ55" i="3" s="1"/>
  <c r="N33" i="3"/>
  <c r="S33" i="3" s="1"/>
  <c r="N80" i="3"/>
  <c r="S80" i="3" s="1"/>
  <c r="N93" i="2"/>
  <c r="S93" i="2" s="1"/>
  <c r="AH146" i="3" s="1"/>
  <c r="AJ146" i="3" s="1"/>
  <c r="N55" i="3"/>
  <c r="S55" i="3" s="1"/>
  <c r="N68" i="2"/>
  <c r="S68" i="2" s="1"/>
  <c r="AH99" i="3" s="1"/>
  <c r="AJ99" i="3" s="1"/>
  <c r="N102" i="3"/>
  <c r="S102" i="3" s="1"/>
  <c r="N115" i="2"/>
  <c r="S115" i="2" s="1"/>
  <c r="AH190" i="3" s="1"/>
  <c r="AJ190" i="3" s="1"/>
  <c r="O8" i="3"/>
  <c r="O21" i="2"/>
  <c r="H21" i="2"/>
  <c r="N83" i="3"/>
  <c r="S83" i="3" s="1"/>
  <c r="N96" i="2"/>
  <c r="S96" i="2" s="1"/>
  <c r="AH149" i="3" s="1"/>
  <c r="AJ149" i="3" s="1"/>
  <c r="N35" i="3"/>
  <c r="S35" i="3" s="1"/>
  <c r="N48" i="2"/>
  <c r="S48" i="2" s="1"/>
  <c r="AH57" i="3" s="1"/>
  <c r="AJ57" i="3" s="1"/>
  <c r="N43" i="2"/>
  <c r="S43" i="2" s="1"/>
  <c r="AH52" i="3" s="1"/>
  <c r="AJ52" i="3" s="1"/>
  <c r="N30" i="3"/>
  <c r="S30" i="3" s="1"/>
  <c r="N119" i="2"/>
  <c r="S119" i="2" s="1"/>
  <c r="AH194" i="3" s="1"/>
  <c r="AJ194" i="3" s="1"/>
  <c r="N106" i="3"/>
  <c r="S106" i="3" s="1"/>
  <c r="N92" i="2"/>
  <c r="N79" i="3"/>
  <c r="O25" i="2"/>
  <c r="H25" i="2"/>
  <c r="O12" i="3"/>
  <c r="N116" i="2"/>
  <c r="N103" i="3"/>
  <c r="N29" i="3"/>
  <c r="S29" i="3" s="1"/>
  <c r="N42" i="2"/>
  <c r="S42" i="2" s="1"/>
  <c r="AH51" i="3" s="1"/>
  <c r="O13" i="3"/>
  <c r="O26" i="2"/>
  <c r="H26" i="2"/>
  <c r="O23" i="2"/>
  <c r="H23" i="2"/>
  <c r="O10" i="3"/>
  <c r="O24" i="2"/>
  <c r="O11" i="3"/>
  <c r="H24" i="2"/>
  <c r="N49" i="2"/>
  <c r="S49" i="2" s="1"/>
  <c r="AH58" i="3" s="1"/>
  <c r="AJ58" i="3" s="1"/>
  <c r="N36" i="3"/>
  <c r="S36" i="3" s="1"/>
  <c r="N58" i="3"/>
  <c r="S58" i="3" s="1"/>
  <c r="N71" i="2"/>
  <c r="S71" i="2" s="1"/>
  <c r="AH102" i="3" s="1"/>
  <c r="AJ102" i="3" s="1"/>
  <c r="N78" i="3"/>
  <c r="S78" i="3" s="1"/>
  <c r="N91" i="2"/>
  <c r="S91" i="2" s="1"/>
  <c r="AH144" i="3" s="1"/>
  <c r="AJ144" i="3" s="1"/>
  <c r="N76" i="3"/>
  <c r="S76" i="3" s="1"/>
  <c r="K6" i="7" s="1"/>
  <c r="N89" i="2"/>
  <c r="S89" i="2" s="1"/>
  <c r="AH142" i="3" s="1"/>
  <c r="AJ142" i="3" s="1"/>
  <c r="N112" i="2"/>
  <c r="S112" i="2" s="1"/>
  <c r="AH187" i="3" s="1"/>
  <c r="AJ187" i="3" s="1"/>
  <c r="N99" i="3"/>
  <c r="S99" i="3" s="1"/>
  <c r="H22" i="2"/>
  <c r="O22" i="2"/>
  <c r="O9" i="3"/>
  <c r="O6" i="3"/>
  <c r="N59" i="3"/>
  <c r="S59" i="3" s="1"/>
  <c r="N72" i="2"/>
  <c r="S72" i="2" s="1"/>
  <c r="AH103" i="3" s="1"/>
  <c r="AJ103" i="3" s="1"/>
  <c r="N97" i="2"/>
  <c r="N84" i="3"/>
  <c r="N75" i="3"/>
  <c r="N88" i="2"/>
  <c r="N56" i="3"/>
  <c r="S56" i="3" s="1"/>
  <c r="N69" i="2"/>
  <c r="S69" i="2" s="1"/>
  <c r="AH100" i="3" s="1"/>
  <c r="AJ100" i="3" s="1"/>
  <c r="O27" i="2"/>
  <c r="O14" i="3"/>
  <c r="H27" i="2"/>
  <c r="N107" i="3"/>
  <c r="N120" i="2"/>
  <c r="S8" i="7"/>
  <c r="Y148" i="3"/>
  <c r="AM143" i="3"/>
  <c r="S5" i="7"/>
  <c r="Y102" i="3"/>
  <c r="S15" i="7"/>
  <c r="Y99" i="3"/>
  <c r="AM52" i="3"/>
  <c r="AM187" i="3"/>
  <c r="S10" i="7"/>
  <c r="S16" i="7"/>
  <c r="S11" i="7"/>
  <c r="AM102" i="3"/>
  <c r="Y103" i="3"/>
  <c r="S9" i="7"/>
  <c r="S12" i="7"/>
  <c r="S6" i="7"/>
  <c r="Y189" i="3"/>
  <c r="S13" i="7"/>
  <c r="S18" i="7"/>
  <c r="S17" i="7"/>
  <c r="Y57" i="3"/>
  <c r="AM99" i="3"/>
  <c r="Y188" i="3"/>
  <c r="Y187" i="3"/>
  <c r="S14" i="7"/>
  <c r="S7" i="7"/>
  <c r="AM57" i="3"/>
  <c r="Y143" i="3"/>
  <c r="AM148" i="3"/>
  <c r="Y52" i="3"/>
  <c r="AM193" i="3"/>
  <c r="S84" i="3" l="1"/>
  <c r="I60" i="16"/>
  <c r="J60" i="13" s="1"/>
  <c r="K60" i="16"/>
  <c r="I58" i="16"/>
  <c r="J58" i="13" s="1"/>
  <c r="L80" i="16"/>
  <c r="L19" i="16"/>
  <c r="L58" i="16"/>
  <c r="I19" i="16"/>
  <c r="J19" i="13" s="1"/>
  <c r="L18" i="16"/>
  <c r="I18" i="16"/>
  <c r="J18" i="13" s="1"/>
  <c r="L79" i="16"/>
  <c r="I80" i="16"/>
  <c r="J80" i="13" s="1"/>
  <c r="I40" i="16"/>
  <c r="J40" i="13" s="1"/>
  <c r="L40" i="16"/>
  <c r="K40" i="16"/>
  <c r="I79" i="16"/>
  <c r="J79" i="13" s="1"/>
  <c r="L59" i="16"/>
  <c r="K59" i="16"/>
  <c r="V38" i="10"/>
  <c r="H39" i="16"/>
  <c r="S116" i="2"/>
  <c r="AH191" i="3" s="1"/>
  <c r="V76" i="10"/>
  <c r="H77" i="16"/>
  <c r="K99" i="16"/>
  <c r="I99" i="16"/>
  <c r="J99" i="13" s="1"/>
  <c r="L99" i="16"/>
  <c r="W97" i="10"/>
  <c r="H98" i="16"/>
  <c r="K57" i="16"/>
  <c r="L57" i="16"/>
  <c r="I57" i="16"/>
  <c r="J57" i="13" s="1"/>
  <c r="I78" i="16"/>
  <c r="J78" i="13" s="1"/>
  <c r="L78" i="16"/>
  <c r="K78" i="16"/>
  <c r="V55" i="10"/>
  <c r="H56" i="16"/>
  <c r="V95" i="10"/>
  <c r="I17" i="16"/>
  <c r="J17" i="13" s="1"/>
  <c r="L17" i="16"/>
  <c r="K17" i="16"/>
  <c r="V15" i="10"/>
  <c r="H16" i="16"/>
  <c r="S103" i="3"/>
  <c r="L10" i="7" s="1"/>
  <c r="S57" i="3"/>
  <c r="J10" i="7" s="1"/>
  <c r="S70" i="2"/>
  <c r="AH101" i="3" s="1"/>
  <c r="S75" i="3"/>
  <c r="K5" i="7" s="1"/>
  <c r="S92" i="2"/>
  <c r="AH145" i="3" s="1"/>
  <c r="S47" i="2"/>
  <c r="AH56" i="3" s="1"/>
  <c r="S97" i="2"/>
  <c r="AH150" i="3" s="1"/>
  <c r="S111" i="2"/>
  <c r="AH186" i="3" s="1"/>
  <c r="AJ186" i="3" s="1"/>
  <c r="S66" i="2"/>
  <c r="AH97" i="3" s="1"/>
  <c r="S51" i="2"/>
  <c r="AH60" i="3" s="1"/>
  <c r="AJ60" i="3" s="1"/>
  <c r="S34" i="3"/>
  <c r="I10" i="7" s="1"/>
  <c r="N31" i="3"/>
  <c r="S31" i="3" s="1"/>
  <c r="I7" i="7" s="1"/>
  <c r="N105" i="3"/>
  <c r="S105" i="3" s="1"/>
  <c r="L12" i="7" s="1"/>
  <c r="S88" i="2"/>
  <c r="AH141" i="3" s="1"/>
  <c r="AJ141" i="3" s="1"/>
  <c r="S44" i="2"/>
  <c r="AH53" i="3" s="1"/>
  <c r="N38" i="3"/>
  <c r="S38" i="3" s="1"/>
  <c r="I14" i="7" s="1"/>
  <c r="N73" i="2"/>
  <c r="S73" i="2" s="1"/>
  <c r="AH104" i="3" s="1"/>
  <c r="S37" i="3"/>
  <c r="I13" i="7" s="1"/>
  <c r="N50" i="2"/>
  <c r="S50" i="2" s="1"/>
  <c r="AH59" i="3" s="1"/>
  <c r="S53" i="3"/>
  <c r="J6" i="7" s="1"/>
  <c r="S120" i="2"/>
  <c r="AH195" i="3" s="1"/>
  <c r="S107" i="3"/>
  <c r="S79" i="3"/>
  <c r="S74" i="2"/>
  <c r="AH105" i="3" s="1"/>
  <c r="N18" i="3"/>
  <c r="S18" i="3" s="1"/>
  <c r="H17" i="7" s="1"/>
  <c r="S117" i="2"/>
  <c r="AH192" i="3" s="1"/>
  <c r="N104" i="3"/>
  <c r="S104" i="3" s="1"/>
  <c r="L11" i="7" s="1"/>
  <c r="S31" i="2"/>
  <c r="AH18" i="3" s="1"/>
  <c r="AJ18" i="3" s="1"/>
  <c r="N114" i="2"/>
  <c r="S114" i="2" s="1"/>
  <c r="AH189" i="3" s="1"/>
  <c r="S61" i="3"/>
  <c r="S94" i="2"/>
  <c r="AH147" i="3" s="1"/>
  <c r="N81" i="3"/>
  <c r="S81" i="3" s="1"/>
  <c r="K11" i="7" s="1"/>
  <c r="AJ96" i="3"/>
  <c r="AJ51" i="3"/>
  <c r="L5" i="7"/>
  <c r="N79" i="2"/>
  <c r="S79" i="2" s="1"/>
  <c r="AH110" i="3" s="1"/>
  <c r="N66" i="3"/>
  <c r="S66" i="3" s="1"/>
  <c r="N101" i="2"/>
  <c r="S101" i="2" s="1"/>
  <c r="AH154" i="3" s="1"/>
  <c r="N88" i="3"/>
  <c r="S88" i="3" s="1"/>
  <c r="N121" i="2"/>
  <c r="S121" i="2" s="1"/>
  <c r="AH196" i="3" s="1"/>
  <c r="N108" i="3"/>
  <c r="S108" i="3" s="1"/>
  <c r="N98" i="2"/>
  <c r="S98" i="2" s="1"/>
  <c r="AH151" i="3" s="1"/>
  <c r="N85" i="3"/>
  <c r="S85" i="3" s="1"/>
  <c r="N57" i="2"/>
  <c r="S57" i="2" s="1"/>
  <c r="AH66" i="3" s="1"/>
  <c r="N44" i="3"/>
  <c r="S44" i="3" s="1"/>
  <c r="N102" i="2"/>
  <c r="S102" i="2" s="1"/>
  <c r="AH155" i="3" s="1"/>
  <c r="N89" i="3"/>
  <c r="S89" i="3" s="1"/>
  <c r="N77" i="2"/>
  <c r="S77" i="2" s="1"/>
  <c r="AH108" i="3" s="1"/>
  <c r="N64" i="3"/>
  <c r="S64" i="3" s="1"/>
  <c r="N76" i="2"/>
  <c r="S76" i="2" s="1"/>
  <c r="AH107" i="3" s="1"/>
  <c r="N63" i="3"/>
  <c r="S63" i="3" s="1"/>
  <c r="N124" i="2"/>
  <c r="S124" i="2" s="1"/>
  <c r="AH199" i="3" s="1"/>
  <c r="N111" i="3"/>
  <c r="S111" i="3" s="1"/>
  <c r="N78" i="2"/>
  <c r="S78" i="2" s="1"/>
  <c r="AH109" i="3" s="1"/>
  <c r="N65" i="3"/>
  <c r="S65" i="3" s="1"/>
  <c r="N80" i="2"/>
  <c r="S80" i="2" s="1"/>
  <c r="AH111" i="3" s="1"/>
  <c r="N67" i="3"/>
  <c r="S67" i="3" s="1"/>
  <c r="O21" i="3"/>
  <c r="O34" i="2"/>
  <c r="H34" i="2"/>
  <c r="N55" i="2"/>
  <c r="S55" i="2" s="1"/>
  <c r="AH64" i="3" s="1"/>
  <c r="N42" i="3"/>
  <c r="S42" i="3" s="1"/>
  <c r="O16" i="3"/>
  <c r="O29" i="2"/>
  <c r="H29" i="2"/>
  <c r="O15" i="3"/>
  <c r="H28" i="2"/>
  <c r="O28" i="2"/>
  <c r="O19" i="3"/>
  <c r="O32" i="2"/>
  <c r="H32" i="2"/>
  <c r="N122" i="2"/>
  <c r="S122" i="2" s="1"/>
  <c r="AH197" i="3" s="1"/>
  <c r="N109" i="3"/>
  <c r="S109" i="3" s="1"/>
  <c r="N103" i="2"/>
  <c r="S103" i="2" s="1"/>
  <c r="AH156" i="3" s="1"/>
  <c r="N90" i="3"/>
  <c r="S90" i="3" s="1"/>
  <c r="N126" i="2"/>
  <c r="S126" i="2" s="1"/>
  <c r="AH201" i="3" s="1"/>
  <c r="N113" i="3"/>
  <c r="S113" i="3" s="1"/>
  <c r="O17" i="3"/>
  <c r="O30" i="2"/>
  <c r="H30" i="2"/>
  <c r="N100" i="2"/>
  <c r="S100" i="2" s="1"/>
  <c r="AH153" i="3" s="1"/>
  <c r="N87" i="3"/>
  <c r="S87" i="3" s="1"/>
  <c r="N123" i="2"/>
  <c r="S123" i="2" s="1"/>
  <c r="AH198" i="3" s="1"/>
  <c r="N110" i="3"/>
  <c r="S110" i="3" s="1"/>
  <c r="N53" i="2"/>
  <c r="S53" i="2" s="1"/>
  <c r="AH62" i="3" s="1"/>
  <c r="N40" i="3"/>
  <c r="S40" i="3" s="1"/>
  <c r="N125" i="2"/>
  <c r="S125" i="2" s="1"/>
  <c r="AH200" i="3" s="1"/>
  <c r="N112" i="3"/>
  <c r="S112" i="3" s="1"/>
  <c r="N75" i="2"/>
  <c r="S75" i="2" s="1"/>
  <c r="AH106" i="3" s="1"/>
  <c r="N62" i="3"/>
  <c r="S62" i="3" s="1"/>
  <c r="O20" i="3"/>
  <c r="H33" i="2"/>
  <c r="O33" i="2"/>
  <c r="N99" i="2"/>
  <c r="S99" i="2" s="1"/>
  <c r="AH152" i="3" s="1"/>
  <c r="N86" i="3"/>
  <c r="S86" i="3" s="1"/>
  <c r="N56" i="2"/>
  <c r="S56" i="2" s="1"/>
  <c r="AH65" i="3" s="1"/>
  <c r="N43" i="3"/>
  <c r="S43" i="3" s="1"/>
  <c r="N54" i="2"/>
  <c r="S54" i="2" s="1"/>
  <c r="AH63" i="3" s="1"/>
  <c r="N41" i="3"/>
  <c r="S41" i="3" s="1"/>
  <c r="N52" i="2"/>
  <c r="S52" i="2" s="1"/>
  <c r="AH61" i="3" s="1"/>
  <c r="N39" i="3"/>
  <c r="S39" i="3" s="1"/>
  <c r="AO187" i="3"/>
  <c r="AO102" i="3"/>
  <c r="AO57" i="3"/>
  <c r="AO193" i="3"/>
  <c r="AO99" i="3"/>
  <c r="AO143" i="3"/>
  <c r="AO148" i="3"/>
  <c r="AO52" i="3"/>
  <c r="N7" i="3"/>
  <c r="S7" i="3" s="1"/>
  <c r="N20" i="2"/>
  <c r="S20" i="2" s="1"/>
  <c r="AH7" i="3" s="1"/>
  <c r="AJ7" i="3" s="1"/>
  <c r="L6" i="7"/>
  <c r="I5" i="7"/>
  <c r="L9" i="7"/>
  <c r="K7" i="7"/>
  <c r="I11" i="7"/>
  <c r="I12" i="7"/>
  <c r="N13" i="3"/>
  <c r="S13" i="3" s="1"/>
  <c r="N26" i="2"/>
  <c r="S26" i="2" s="1"/>
  <c r="AH13" i="3" s="1"/>
  <c r="AJ13" i="3" s="1"/>
  <c r="L13" i="7"/>
  <c r="N8" i="3"/>
  <c r="S8" i="3" s="1"/>
  <c r="N21" i="2"/>
  <c r="S21" i="2" s="1"/>
  <c r="AH8" i="3" s="1"/>
  <c r="AJ8" i="3" s="1"/>
  <c r="J8" i="7"/>
  <c r="J13" i="7"/>
  <c r="J5" i="7"/>
  <c r="N19" i="2"/>
  <c r="N6" i="3"/>
  <c r="S6" i="3" s="1"/>
  <c r="N24" i="2"/>
  <c r="S24" i="2" s="1"/>
  <c r="AH11" i="3" s="1"/>
  <c r="AJ11" i="3" s="1"/>
  <c r="N11" i="3"/>
  <c r="S11" i="3" s="1"/>
  <c r="H10" i="7" s="1"/>
  <c r="N23" i="2"/>
  <c r="S23" i="2" s="1"/>
  <c r="AH10" i="3" s="1"/>
  <c r="AJ10" i="3" s="1"/>
  <c r="N10" i="3"/>
  <c r="S10" i="3" s="1"/>
  <c r="N12" i="3"/>
  <c r="S12" i="3" s="1"/>
  <c r="N25" i="2"/>
  <c r="S25" i="2" s="1"/>
  <c r="AH12" i="3" s="1"/>
  <c r="AJ12" i="3" s="1"/>
  <c r="I6" i="7"/>
  <c r="K10" i="7"/>
  <c r="N27" i="2"/>
  <c r="S27" i="2" s="1"/>
  <c r="AH14" i="3" s="1"/>
  <c r="AJ14" i="3" s="1"/>
  <c r="N14" i="3"/>
  <c r="S14" i="3" s="1"/>
  <c r="J11" i="7"/>
  <c r="J9" i="7"/>
  <c r="J12" i="7"/>
  <c r="N22" i="2"/>
  <c r="S22" i="2" s="1"/>
  <c r="AH9" i="3" s="1"/>
  <c r="AJ9" i="3" s="1"/>
  <c r="N9" i="3"/>
  <c r="S9" i="3" s="1"/>
  <c r="K8" i="7"/>
  <c r="K13" i="7"/>
  <c r="I9" i="7"/>
  <c r="L7" i="7"/>
  <c r="L8" i="7"/>
  <c r="K12" i="7"/>
  <c r="Y149" i="3"/>
  <c r="Q40" i="7"/>
  <c r="AM58" i="3"/>
  <c r="P29" i="7"/>
  <c r="Q12" i="7"/>
  <c r="Q41" i="7"/>
  <c r="Y193" i="3"/>
  <c r="AM11" i="3"/>
  <c r="Q11" i="7"/>
  <c r="S50" i="7"/>
  <c r="AM12" i="3"/>
  <c r="Q23" i="7"/>
  <c r="P32" i="7"/>
  <c r="R79" i="7"/>
  <c r="Q33" i="7"/>
  <c r="R82" i="7"/>
  <c r="R33" i="7"/>
  <c r="R31" i="7"/>
  <c r="Q49" i="7"/>
  <c r="R8" i="7"/>
  <c r="Q8" i="7"/>
  <c r="R86" i="7"/>
  <c r="S68" i="7"/>
  <c r="P53" i="7"/>
  <c r="S42" i="7"/>
  <c r="R73" i="7"/>
  <c r="S38" i="7"/>
  <c r="Y101" i="3"/>
  <c r="Q27" i="7"/>
  <c r="R24" i="7"/>
  <c r="AM56" i="3"/>
  <c r="AM105" i="3"/>
  <c r="AM151" i="3"/>
  <c r="Y64" i="3"/>
  <c r="Q67" i="7"/>
  <c r="AM59" i="3"/>
  <c r="Y97" i="3"/>
  <c r="Y200" i="3"/>
  <c r="Q38" i="7"/>
  <c r="Q13" i="7"/>
  <c r="P34" i="7"/>
  <c r="P46" i="7"/>
  <c r="P94" i="7"/>
  <c r="P5" i="7"/>
  <c r="P14" i="7"/>
  <c r="S78" i="7"/>
  <c r="R34" i="7"/>
  <c r="Q26" i="7"/>
  <c r="Q14" i="7"/>
  <c r="Q50" i="7"/>
  <c r="P16" i="7"/>
  <c r="R29" i="7"/>
  <c r="S57" i="7"/>
  <c r="R12" i="7"/>
  <c r="R32" i="7"/>
  <c r="P85" i="7"/>
  <c r="R37" i="7"/>
  <c r="S46" i="7"/>
  <c r="Q44" i="7"/>
  <c r="S49" i="7"/>
  <c r="AM110" i="3"/>
  <c r="AM104" i="3"/>
  <c r="Q51" i="7"/>
  <c r="Q70" i="7"/>
  <c r="Q56" i="7"/>
  <c r="S81" i="7"/>
  <c r="AM100" i="3"/>
  <c r="Q52" i="7"/>
  <c r="R20" i="7"/>
  <c r="P76" i="7"/>
  <c r="R10" i="7"/>
  <c r="Q77" i="7"/>
  <c r="R71" i="7"/>
  <c r="AM13" i="3"/>
  <c r="Q24" i="7"/>
  <c r="AM199" i="3"/>
  <c r="Q72" i="7"/>
  <c r="Q47" i="7"/>
  <c r="S39" i="7"/>
  <c r="R30" i="7"/>
  <c r="R81" i="7"/>
  <c r="P68" i="7"/>
  <c r="S26" i="7"/>
  <c r="S25" i="7"/>
  <c r="S48" i="7"/>
  <c r="R74" i="7"/>
  <c r="Q73" i="7"/>
  <c r="S66" i="7"/>
  <c r="R21" i="7"/>
  <c r="P92" i="7"/>
  <c r="AM106" i="3"/>
  <c r="R77" i="7"/>
  <c r="Q86" i="7"/>
  <c r="Q85" i="7"/>
  <c r="S51" i="7"/>
  <c r="P84" i="7"/>
  <c r="Q69" i="7"/>
  <c r="Q87" i="7"/>
  <c r="AM188" i="3"/>
  <c r="Y197" i="3"/>
  <c r="R80" i="7"/>
  <c r="R11" i="7"/>
  <c r="AM201" i="3"/>
  <c r="Y104" i="3"/>
  <c r="AM195" i="3"/>
  <c r="Q42" i="7"/>
  <c r="Y198" i="3"/>
  <c r="S22" i="7"/>
  <c r="R38" i="7"/>
  <c r="P25" i="7"/>
  <c r="AM190" i="3"/>
  <c r="R39" i="7"/>
  <c r="S64" i="7"/>
  <c r="S58" i="7"/>
  <c r="Q30" i="7"/>
  <c r="AM98" i="3"/>
  <c r="S31" i="7"/>
  <c r="Y9" i="3"/>
  <c r="P69" i="7"/>
  <c r="Q59" i="7"/>
  <c r="R9" i="7"/>
  <c r="P30" i="7"/>
  <c r="AM54" i="3"/>
  <c r="Q81" i="7"/>
  <c r="AM66" i="3"/>
  <c r="S79" i="7"/>
  <c r="S80" i="7"/>
  <c r="S28" i="7"/>
  <c r="S73" i="7"/>
  <c r="S45" i="7"/>
  <c r="Y150" i="3"/>
  <c r="AM155" i="3"/>
  <c r="Q63" i="7"/>
  <c r="R35" i="7"/>
  <c r="R62" i="7"/>
  <c r="P98" i="7"/>
  <c r="R78" i="7"/>
  <c r="R26" i="7"/>
  <c r="Y152" i="3"/>
  <c r="P33" i="7"/>
  <c r="P20" i="7"/>
  <c r="AM154" i="3"/>
  <c r="Y63" i="3"/>
  <c r="Q20" i="7"/>
  <c r="P42" i="7"/>
  <c r="P58" i="7"/>
  <c r="Q62" i="7"/>
  <c r="AM198" i="3"/>
  <c r="R18" i="7"/>
  <c r="Q75" i="7"/>
  <c r="Y195" i="3"/>
  <c r="AM60" i="3"/>
  <c r="Q32" i="7"/>
  <c r="S82" i="7"/>
  <c r="S20" i="7"/>
  <c r="S62" i="7"/>
  <c r="R15" i="7"/>
  <c r="P28" i="7"/>
  <c r="S43" i="7"/>
  <c r="R42" i="7"/>
  <c r="P63" i="7"/>
  <c r="AM107" i="3"/>
  <c r="P77" i="7"/>
  <c r="AM101" i="3"/>
  <c r="AM189" i="3"/>
  <c r="AM8" i="3"/>
  <c r="P6" i="7"/>
  <c r="P37" i="7"/>
  <c r="Y62" i="3"/>
  <c r="Y10" i="3"/>
  <c r="P11" i="7"/>
  <c r="P90" i="7"/>
  <c r="Q65" i="7"/>
  <c r="P70" i="7"/>
  <c r="AM152" i="3"/>
  <c r="P36" i="7"/>
  <c r="Y12" i="3"/>
  <c r="AM63" i="3"/>
  <c r="P64" i="7"/>
  <c r="Y107" i="3"/>
  <c r="AM194" i="3"/>
  <c r="R66" i="7"/>
  <c r="S61" i="7"/>
  <c r="Q64" i="7"/>
  <c r="P96" i="7"/>
  <c r="R22" i="7"/>
  <c r="R63" i="7"/>
  <c r="R75" i="7"/>
  <c r="Y61" i="3"/>
  <c r="AM147" i="3"/>
  <c r="Y142" i="3"/>
  <c r="R72" i="7"/>
  <c r="P80" i="7"/>
  <c r="S65" i="7"/>
  <c r="P48" i="7"/>
  <c r="Q19" i="7"/>
  <c r="P9" i="7"/>
  <c r="S35" i="7"/>
  <c r="P43" i="7"/>
  <c r="Y65" i="3"/>
  <c r="Q80" i="7"/>
  <c r="R65" i="7"/>
  <c r="Q17" i="7"/>
  <c r="S83" i="7"/>
  <c r="AM146" i="3"/>
  <c r="P61" i="7"/>
  <c r="Y201" i="3"/>
  <c r="Q9" i="7"/>
  <c r="Q83" i="7"/>
  <c r="Q43" i="7"/>
  <c r="Y100" i="3"/>
  <c r="Q57" i="7"/>
  <c r="Y55" i="3"/>
  <c r="Q15" i="7"/>
  <c r="R70" i="7"/>
  <c r="P22" i="7"/>
  <c r="P13" i="7"/>
  <c r="S34" i="7"/>
  <c r="Y66" i="3"/>
  <c r="Y98" i="3"/>
  <c r="R13" i="7"/>
  <c r="Q34" i="7"/>
  <c r="AM53" i="3"/>
  <c r="S67" i="7"/>
  <c r="P35" i="7"/>
  <c r="Q66" i="7"/>
  <c r="Y144" i="3"/>
  <c r="S71" i="7"/>
  <c r="AM149" i="3"/>
  <c r="P55" i="7"/>
  <c r="P24" i="7"/>
  <c r="AM97" i="3"/>
  <c r="R6" i="7"/>
  <c r="S30" i="7"/>
  <c r="R5" i="7"/>
  <c r="S44" i="7"/>
  <c r="P86" i="7"/>
  <c r="P18" i="7"/>
  <c r="P97" i="7"/>
  <c r="Q60" i="7"/>
  <c r="R17" i="7"/>
  <c r="S27" i="7"/>
  <c r="Q48" i="7"/>
  <c r="Y156" i="3"/>
  <c r="Y13" i="3"/>
  <c r="AM64" i="3"/>
  <c r="P81" i="7"/>
  <c r="P82" i="7"/>
  <c r="P83" i="7"/>
  <c r="Q5" i="7"/>
  <c r="P99" i="7"/>
  <c r="S59" i="7"/>
  <c r="P26" i="7"/>
  <c r="AM145" i="3"/>
  <c r="R7" i="7"/>
  <c r="Q84" i="7"/>
  <c r="S23" i="7"/>
  <c r="Y155" i="3"/>
  <c r="Q58" i="7"/>
  <c r="Y105" i="3"/>
  <c r="P59" i="7"/>
  <c r="Q78" i="7"/>
  <c r="P41" i="7"/>
  <c r="P72" i="7"/>
  <c r="S40" i="7"/>
  <c r="P54" i="7"/>
  <c r="P95" i="7"/>
  <c r="Y191" i="3"/>
  <c r="AM142" i="3"/>
  <c r="S37" i="7"/>
  <c r="Y196" i="3"/>
  <c r="Q54" i="7"/>
  <c r="Q61" i="7"/>
  <c r="P27" i="7"/>
  <c r="P87" i="7"/>
  <c r="S41" i="7"/>
  <c r="P56" i="7"/>
  <c r="Q21" i="7"/>
  <c r="P38" i="7"/>
  <c r="AM153" i="3"/>
  <c r="S74" i="7"/>
  <c r="Q71" i="7"/>
  <c r="Y106" i="3"/>
  <c r="AM109" i="3"/>
  <c r="Y199" i="3"/>
  <c r="R69" i="7"/>
  <c r="P17" i="7"/>
  <c r="AM150" i="3"/>
  <c r="Q76" i="7"/>
  <c r="P66" i="7"/>
  <c r="S21" i="7"/>
  <c r="P78" i="7"/>
  <c r="Q29" i="7"/>
  <c r="Y145" i="3"/>
  <c r="AM156" i="3"/>
  <c r="Y60" i="3"/>
  <c r="P47" i="7"/>
  <c r="S29" i="7"/>
  <c r="S24" i="7"/>
  <c r="P31" i="7"/>
  <c r="P15" i="7"/>
  <c r="P44" i="7"/>
  <c r="S63" i="7"/>
  <c r="P52" i="7"/>
  <c r="Q74" i="7"/>
  <c r="Q6" i="7"/>
  <c r="Q16" i="7"/>
  <c r="Y192" i="3"/>
  <c r="S32" i="7"/>
  <c r="P23" i="7"/>
  <c r="P21" i="7"/>
  <c r="S56" i="7"/>
  <c r="AM197" i="3"/>
  <c r="R14" i="7"/>
  <c r="R76" i="7"/>
  <c r="R27" i="7"/>
  <c r="R16" i="7"/>
  <c r="S47" i="7"/>
  <c r="S77" i="7"/>
  <c r="P60" i="7"/>
  <c r="S69" i="7"/>
  <c r="AM200" i="3"/>
  <c r="S55" i="7"/>
  <c r="Q45" i="7"/>
  <c r="R41" i="7"/>
  <c r="P19" i="7"/>
  <c r="R67" i="7"/>
  <c r="R23" i="7"/>
  <c r="P71" i="7"/>
  <c r="Q82" i="7"/>
  <c r="AM62" i="3"/>
  <c r="Q25" i="7"/>
  <c r="AM10" i="3"/>
  <c r="Q7" i="7"/>
  <c r="Y151" i="3"/>
  <c r="S36" i="7"/>
  <c r="P51" i="7"/>
  <c r="P65" i="7"/>
  <c r="P91" i="7"/>
  <c r="Y53" i="3"/>
  <c r="Q79" i="7"/>
  <c r="Y110" i="3"/>
  <c r="Q36" i="7"/>
  <c r="Y54" i="3"/>
  <c r="AM61" i="3"/>
  <c r="P10" i="7"/>
  <c r="AM55" i="3"/>
  <c r="AM196" i="3"/>
  <c r="R83" i="7"/>
  <c r="Y59" i="3"/>
  <c r="AM108" i="3"/>
  <c r="P45" i="7"/>
  <c r="P88" i="7"/>
  <c r="Y8" i="3"/>
  <c r="P39" i="7"/>
  <c r="S52" i="7"/>
  <c r="Y7" i="3"/>
  <c r="Y147" i="3"/>
  <c r="S19" i="7"/>
  <c r="P50" i="7"/>
  <c r="S70" i="7"/>
  <c r="P74" i="7"/>
  <c r="P40" i="7"/>
  <c r="S84" i="7"/>
  <c r="R25" i="7"/>
  <c r="Q53" i="7"/>
  <c r="P75" i="7"/>
  <c r="Q68" i="7"/>
  <c r="Y11" i="3"/>
  <c r="Q31" i="7"/>
  <c r="P73" i="7"/>
  <c r="Q37" i="7"/>
  <c r="Y154" i="3"/>
  <c r="P79" i="7"/>
  <c r="R28" i="7"/>
  <c r="Q35" i="7"/>
  <c r="R40" i="7"/>
  <c r="Q39" i="7"/>
  <c r="S33" i="7"/>
  <c r="Y109" i="3"/>
  <c r="S76" i="7"/>
  <c r="Q46" i="7"/>
  <c r="P62" i="7"/>
  <c r="S72" i="7"/>
  <c r="S60" i="7"/>
  <c r="Y56" i="3"/>
  <c r="P93" i="7"/>
  <c r="AM144" i="3"/>
  <c r="AM111" i="3"/>
  <c r="R64" i="7"/>
  <c r="AM192" i="3"/>
  <c r="Y146" i="3"/>
  <c r="Y153" i="3"/>
  <c r="P49" i="7"/>
  <c r="R36" i="7"/>
  <c r="P7" i="7"/>
  <c r="P57" i="7"/>
  <c r="Y108" i="3"/>
  <c r="AM65" i="3"/>
  <c r="R84" i="7"/>
  <c r="P8" i="7"/>
  <c r="Q28" i="7"/>
  <c r="AM103" i="3"/>
  <c r="Q18" i="7"/>
  <c r="Y190" i="3"/>
  <c r="Y111" i="3"/>
  <c r="S75" i="7"/>
  <c r="Q10" i="7"/>
  <c r="S54" i="7"/>
  <c r="Q22" i="7"/>
  <c r="S53" i="7"/>
  <c r="P12" i="7"/>
  <c r="R19" i="7"/>
  <c r="P67" i="7"/>
  <c r="R68" i="7"/>
  <c r="P89" i="7"/>
  <c r="Q55" i="7"/>
  <c r="Y58" i="3"/>
  <c r="Y194" i="3"/>
  <c r="AM191" i="3"/>
  <c r="AM9" i="3"/>
  <c r="R85" i="7"/>
  <c r="K14" i="7" l="1"/>
  <c r="I39" i="16"/>
  <c r="J39" i="13" s="1"/>
  <c r="K39" i="16"/>
  <c r="L39" i="16"/>
  <c r="V37" i="10"/>
  <c r="H38" i="16"/>
  <c r="AO190" i="3"/>
  <c r="AJ191" i="3"/>
  <c r="K98" i="16"/>
  <c r="L98" i="16"/>
  <c r="I98" i="16"/>
  <c r="J98" i="13" s="1"/>
  <c r="W96" i="10"/>
  <c r="H97" i="16"/>
  <c r="V94" i="10"/>
  <c r="I56" i="16"/>
  <c r="J56" i="13" s="1"/>
  <c r="K56" i="16"/>
  <c r="L56" i="16"/>
  <c r="V54" i="10"/>
  <c r="H55" i="16"/>
  <c r="I77" i="16"/>
  <c r="J77" i="13" s="1"/>
  <c r="L77" i="16"/>
  <c r="K77" i="16"/>
  <c r="L16" i="16"/>
  <c r="I16" i="16"/>
  <c r="J16" i="13" s="1"/>
  <c r="K16" i="16"/>
  <c r="V75" i="10"/>
  <c r="H76" i="16"/>
  <c r="V14" i="10"/>
  <c r="H15" i="16"/>
  <c r="AO100" i="3"/>
  <c r="AO101" i="3"/>
  <c r="AJ101" i="3"/>
  <c r="AO144" i="3"/>
  <c r="AO145" i="3"/>
  <c r="AJ145" i="3"/>
  <c r="AO149" i="3"/>
  <c r="AO55" i="3"/>
  <c r="AO56" i="3"/>
  <c r="AJ150" i="3"/>
  <c r="AJ56" i="3"/>
  <c r="AO98" i="3"/>
  <c r="AO97" i="3"/>
  <c r="AJ97" i="3"/>
  <c r="AO142" i="3"/>
  <c r="AO53" i="3"/>
  <c r="AO54" i="3"/>
  <c r="AJ53" i="3"/>
  <c r="AO103" i="3"/>
  <c r="AJ104" i="3"/>
  <c r="AO194" i="3"/>
  <c r="AO58" i="3"/>
  <c r="AO59" i="3"/>
  <c r="AJ195" i="3"/>
  <c r="AJ59" i="3"/>
  <c r="L14" i="7"/>
  <c r="K9" i="7"/>
  <c r="AO104" i="3"/>
  <c r="AJ105" i="3"/>
  <c r="AO191" i="3"/>
  <c r="AO192" i="3"/>
  <c r="AJ192" i="3"/>
  <c r="AO189" i="3"/>
  <c r="AO188" i="3"/>
  <c r="AJ189" i="3"/>
  <c r="J14" i="7"/>
  <c r="AO146" i="3"/>
  <c r="AO147" i="3"/>
  <c r="AJ147" i="3"/>
  <c r="AO109" i="3"/>
  <c r="AO108" i="3"/>
  <c r="AO106" i="3"/>
  <c r="AO105" i="3"/>
  <c r="AO198" i="3"/>
  <c r="AO65" i="3"/>
  <c r="AO151" i="3"/>
  <c r="AO150" i="3"/>
  <c r="AO60" i="3"/>
  <c r="AO61" i="3"/>
  <c r="AO152" i="3"/>
  <c r="AO201" i="3"/>
  <c r="AO199" i="3"/>
  <c r="AO155" i="3"/>
  <c r="AO196" i="3"/>
  <c r="AO195" i="3"/>
  <c r="AO197" i="3"/>
  <c r="AO110" i="3"/>
  <c r="AO200" i="3"/>
  <c r="AO153" i="3"/>
  <c r="AO63" i="3"/>
  <c r="AO156" i="3"/>
  <c r="AO111" i="3"/>
  <c r="AO107" i="3"/>
  <c r="AO66" i="3"/>
  <c r="AO154" i="3"/>
  <c r="AO62" i="3"/>
  <c r="AO64" i="3"/>
  <c r="AJ109" i="3"/>
  <c r="AJ108" i="3"/>
  <c r="K16" i="7"/>
  <c r="AJ106" i="3"/>
  <c r="AJ198" i="3"/>
  <c r="L20" i="7"/>
  <c r="L18" i="7"/>
  <c r="K19" i="7"/>
  <c r="AJ65" i="3"/>
  <c r="AJ151" i="3"/>
  <c r="AJ61" i="3"/>
  <c r="AJ152" i="3"/>
  <c r="L19" i="7"/>
  <c r="K17" i="7"/>
  <c r="AJ201" i="3"/>
  <c r="AJ199" i="3"/>
  <c r="AJ155" i="3"/>
  <c r="AJ196" i="3"/>
  <c r="AJ197" i="3"/>
  <c r="AJ110" i="3"/>
  <c r="I17" i="7"/>
  <c r="AJ200" i="3"/>
  <c r="AJ153" i="3"/>
  <c r="K20" i="7"/>
  <c r="J20" i="7"/>
  <c r="J16" i="7"/>
  <c r="I20" i="7"/>
  <c r="K18" i="7"/>
  <c r="AJ63" i="3"/>
  <c r="I16" i="7"/>
  <c r="AJ156" i="3"/>
  <c r="I18" i="7"/>
  <c r="AJ111" i="3"/>
  <c r="AJ107" i="3"/>
  <c r="AJ66" i="3"/>
  <c r="AJ154" i="3"/>
  <c r="L17" i="7"/>
  <c r="I19" i="7"/>
  <c r="AJ62" i="3"/>
  <c r="L16" i="7"/>
  <c r="AJ64" i="3"/>
  <c r="J18" i="7"/>
  <c r="J17" i="7"/>
  <c r="J19" i="7"/>
  <c r="N33" i="2"/>
  <c r="S33" i="2" s="1"/>
  <c r="AH20" i="3" s="1"/>
  <c r="AJ20" i="3" s="1"/>
  <c r="N20" i="3"/>
  <c r="S20" i="3" s="1"/>
  <c r="N30" i="2"/>
  <c r="S30" i="2" s="1"/>
  <c r="AH17" i="3" s="1"/>
  <c r="AJ17" i="3" s="1"/>
  <c r="N17" i="3"/>
  <c r="S17" i="3" s="1"/>
  <c r="K15" i="7"/>
  <c r="N29" i="2"/>
  <c r="S29" i="2" s="1"/>
  <c r="AH16" i="3" s="1"/>
  <c r="AJ16" i="3" s="1"/>
  <c r="N16" i="3"/>
  <c r="S16" i="3" s="1"/>
  <c r="L15" i="7"/>
  <c r="J15" i="7"/>
  <c r="N28" i="2"/>
  <c r="S28" i="2" s="1"/>
  <c r="AH15" i="3" s="1"/>
  <c r="AJ15" i="3" s="1"/>
  <c r="N15" i="3"/>
  <c r="S15" i="3" s="1"/>
  <c r="I15" i="7"/>
  <c r="N32" i="2"/>
  <c r="S32" i="2" s="1"/>
  <c r="AH19" i="3" s="1"/>
  <c r="AJ19" i="3" s="1"/>
  <c r="N19" i="3"/>
  <c r="S19" i="3" s="1"/>
  <c r="N34" i="2"/>
  <c r="S34" i="2" s="1"/>
  <c r="AH21" i="3" s="1"/>
  <c r="AJ21" i="3" s="1"/>
  <c r="N21" i="3"/>
  <c r="S21" i="3" s="1"/>
  <c r="S19" i="2"/>
  <c r="AH6" i="3" s="1"/>
  <c r="AO9" i="3"/>
  <c r="AO10" i="3"/>
  <c r="AO8" i="3"/>
  <c r="AO11" i="3"/>
  <c r="AO13" i="3"/>
  <c r="AO12" i="3"/>
  <c r="H13" i="7"/>
  <c r="H12" i="7"/>
  <c r="H6" i="7"/>
  <c r="H9" i="7"/>
  <c r="H7" i="7"/>
  <c r="H11" i="7"/>
  <c r="H8" i="7"/>
  <c r="H5" i="7"/>
  <c r="R94" i="7"/>
  <c r="R89" i="7"/>
  <c r="R87" i="7"/>
  <c r="R95" i="7"/>
  <c r="R91" i="7"/>
  <c r="R93" i="7"/>
  <c r="R97" i="7"/>
  <c r="R88" i="7"/>
  <c r="R92" i="7"/>
  <c r="R96" i="7"/>
  <c r="R90" i="7"/>
  <c r="R140" i="7"/>
  <c r="S139" i="7"/>
  <c r="O5" i="7"/>
  <c r="S99" i="7"/>
  <c r="O64" i="7"/>
  <c r="P102" i="7"/>
  <c r="O54" i="7"/>
  <c r="Q159" i="7"/>
  <c r="Y14" i="3"/>
  <c r="R105" i="7"/>
  <c r="O69" i="7"/>
  <c r="S130" i="7"/>
  <c r="R158" i="7"/>
  <c r="R47" i="7"/>
  <c r="P129" i="7"/>
  <c r="O59" i="7"/>
  <c r="R110" i="7"/>
  <c r="O66" i="7"/>
  <c r="Q103" i="7"/>
  <c r="Q116" i="7"/>
  <c r="Y20" i="3"/>
  <c r="P160" i="7"/>
  <c r="O61" i="7"/>
  <c r="AM18" i="3"/>
  <c r="Q118" i="7"/>
  <c r="R54" i="7"/>
  <c r="Q158" i="7"/>
  <c r="O15" i="7"/>
  <c r="R114" i="7"/>
  <c r="R107" i="7"/>
  <c r="Q146" i="7"/>
  <c r="S100" i="7"/>
  <c r="Q119" i="7"/>
  <c r="O80" i="7"/>
  <c r="S101" i="7"/>
  <c r="P105" i="7"/>
  <c r="O78" i="7"/>
  <c r="S106" i="7"/>
  <c r="P111" i="7"/>
  <c r="O75" i="7"/>
  <c r="R153" i="7"/>
  <c r="P146" i="7"/>
  <c r="R143" i="7"/>
  <c r="S135" i="7"/>
  <c r="R102" i="7"/>
  <c r="R132" i="7"/>
  <c r="O44" i="7"/>
  <c r="O71" i="7"/>
  <c r="AM21" i="3"/>
  <c r="Q128" i="7"/>
  <c r="S151" i="7"/>
  <c r="P122" i="7"/>
  <c r="R126" i="7"/>
  <c r="Q121" i="7"/>
  <c r="S110" i="7"/>
  <c r="Q98" i="7"/>
  <c r="Q93" i="7"/>
  <c r="S147" i="7"/>
  <c r="P162" i="7"/>
  <c r="P163" i="7"/>
  <c r="O24" i="7"/>
  <c r="S156" i="7"/>
  <c r="O83" i="7"/>
  <c r="Q122" i="7"/>
  <c r="Q90" i="7"/>
  <c r="P116" i="7"/>
  <c r="P103" i="7"/>
  <c r="R100" i="7"/>
  <c r="S154" i="7"/>
  <c r="R61" i="7"/>
  <c r="P137" i="7"/>
  <c r="S91" i="7"/>
  <c r="O48" i="7"/>
  <c r="R141" i="7"/>
  <c r="P113" i="7"/>
  <c r="P125" i="7"/>
  <c r="P150" i="7"/>
  <c r="Q89" i="7"/>
  <c r="R162" i="7"/>
  <c r="S127" i="7"/>
  <c r="O56" i="7"/>
  <c r="R98" i="7"/>
  <c r="P140" i="7"/>
  <c r="O41" i="7"/>
  <c r="O58" i="7"/>
  <c r="O32" i="7"/>
  <c r="Y18" i="3"/>
  <c r="O6" i="7"/>
  <c r="P134" i="7"/>
  <c r="S141" i="7"/>
  <c r="P157" i="7"/>
  <c r="P136" i="7"/>
  <c r="S119" i="7"/>
  <c r="Q142" i="7"/>
  <c r="S114" i="7"/>
  <c r="Q115" i="7"/>
  <c r="S121" i="7"/>
  <c r="P106" i="7"/>
  <c r="Q132" i="7"/>
  <c r="Q161" i="7"/>
  <c r="S137" i="7"/>
  <c r="R51" i="7"/>
  <c r="R44" i="7"/>
  <c r="S133" i="7"/>
  <c r="O9" i="7"/>
  <c r="P148" i="7"/>
  <c r="AM7" i="3"/>
  <c r="S108" i="7"/>
  <c r="Q150" i="7"/>
  <c r="O13" i="7"/>
  <c r="O77" i="7"/>
  <c r="S105" i="7"/>
  <c r="P112" i="7"/>
  <c r="S98" i="7"/>
  <c r="P154" i="7"/>
  <c r="S149" i="7"/>
  <c r="R131" i="7"/>
  <c r="S118" i="7"/>
  <c r="R45" i="7"/>
  <c r="O51" i="7"/>
  <c r="P108" i="7"/>
  <c r="Q135" i="7"/>
  <c r="R112" i="7"/>
  <c r="S159" i="7"/>
  <c r="P126" i="7"/>
  <c r="Q151" i="7"/>
  <c r="O28" i="7"/>
  <c r="S138" i="7"/>
  <c r="S128" i="7"/>
  <c r="O43" i="7"/>
  <c r="O57" i="7"/>
  <c r="R136" i="7"/>
  <c r="Q156" i="7"/>
  <c r="S126" i="7"/>
  <c r="P118" i="7"/>
  <c r="Y17" i="3"/>
  <c r="O81" i="7"/>
  <c r="Q164" i="7"/>
  <c r="P158" i="7"/>
  <c r="R116" i="7"/>
  <c r="Q111" i="7"/>
  <c r="P139" i="7"/>
  <c r="Q163" i="7"/>
  <c r="Q140" i="7"/>
  <c r="Q126" i="7"/>
  <c r="Q152" i="7"/>
  <c r="Q129" i="7"/>
  <c r="S160" i="7"/>
  <c r="Q105" i="7"/>
  <c r="O18" i="7"/>
  <c r="O45" i="7"/>
  <c r="Q110" i="7"/>
  <c r="S93" i="7"/>
  <c r="R159" i="7"/>
  <c r="R123" i="7"/>
  <c r="S158" i="7"/>
  <c r="R133" i="7"/>
  <c r="O25" i="7"/>
  <c r="R121" i="7"/>
  <c r="R120" i="7"/>
  <c r="Q154" i="7"/>
  <c r="S140" i="7"/>
  <c r="O53" i="7"/>
  <c r="R148" i="7"/>
  <c r="P131" i="7"/>
  <c r="AM15" i="3"/>
  <c r="P159" i="7"/>
  <c r="P132" i="7"/>
  <c r="P123" i="7"/>
  <c r="Q125" i="7"/>
  <c r="O7" i="7"/>
  <c r="O47" i="7"/>
  <c r="S143" i="7"/>
  <c r="R101" i="7"/>
  <c r="R48" i="7"/>
  <c r="S102" i="7"/>
  <c r="R108" i="7"/>
  <c r="P147" i="7"/>
  <c r="R154" i="7"/>
  <c r="P114" i="7"/>
  <c r="S87" i="7"/>
  <c r="O29" i="7"/>
  <c r="Y19" i="3"/>
  <c r="S95" i="7"/>
  <c r="Q100" i="7"/>
  <c r="S107" i="7"/>
  <c r="AM14" i="3"/>
  <c r="R103" i="7"/>
  <c r="Q97" i="7"/>
  <c r="O73" i="7"/>
  <c r="Q133" i="7"/>
  <c r="S85" i="7"/>
  <c r="R149" i="7"/>
  <c r="O10" i="7"/>
  <c r="O76" i="7"/>
  <c r="S104" i="7"/>
  <c r="P135" i="7"/>
  <c r="R117" i="7"/>
  <c r="Q139" i="7"/>
  <c r="P143" i="7"/>
  <c r="P161" i="7"/>
  <c r="O63" i="7"/>
  <c r="Q123" i="7"/>
  <c r="P127" i="7"/>
  <c r="O33" i="7"/>
  <c r="S90" i="7"/>
  <c r="Q162" i="7"/>
  <c r="Q136" i="7"/>
  <c r="O70" i="7"/>
  <c r="R156" i="7"/>
  <c r="O17" i="7"/>
  <c r="P152" i="7"/>
  <c r="Q113" i="7"/>
  <c r="O14" i="7"/>
  <c r="R137" i="7"/>
  <c r="R49" i="7"/>
  <c r="R125" i="7"/>
  <c r="Q137" i="7"/>
  <c r="Y21" i="3"/>
  <c r="P144" i="7"/>
  <c r="S125" i="7"/>
  <c r="P153" i="7"/>
  <c r="O82" i="7"/>
  <c r="R43" i="7"/>
  <c r="Q88" i="7"/>
  <c r="S123" i="7"/>
  <c r="O49" i="7"/>
  <c r="O16" i="7"/>
  <c r="R124" i="7"/>
  <c r="Q94" i="7"/>
  <c r="S148" i="7"/>
  <c r="S152" i="7"/>
  <c r="R135" i="7"/>
  <c r="R57" i="7"/>
  <c r="P115" i="7"/>
  <c r="R55" i="7"/>
  <c r="Q104" i="7"/>
  <c r="R134" i="7"/>
  <c r="Q160" i="7"/>
  <c r="O85" i="7"/>
  <c r="O60" i="7"/>
  <c r="O87" i="7"/>
  <c r="R144" i="7"/>
  <c r="Q131" i="7"/>
  <c r="O68" i="7"/>
  <c r="O11" i="7"/>
  <c r="R147" i="7"/>
  <c r="S103" i="7"/>
  <c r="S112" i="7"/>
  <c r="O42" i="7"/>
  <c r="Y15" i="3"/>
  <c r="R127" i="7"/>
  <c r="AM19" i="3"/>
  <c r="S150" i="7"/>
  <c r="O8" i="7"/>
  <c r="R163" i="7"/>
  <c r="P149" i="7"/>
  <c r="S132" i="7"/>
  <c r="S164" i="7"/>
  <c r="O84" i="7"/>
  <c r="R58" i="7"/>
  <c r="P107" i="7"/>
  <c r="R151" i="7"/>
  <c r="Q149" i="7"/>
  <c r="S144" i="7"/>
  <c r="O74" i="7"/>
  <c r="O38" i="7"/>
  <c r="S142" i="7"/>
  <c r="O65" i="7"/>
  <c r="Q145" i="7"/>
  <c r="O88" i="7"/>
  <c r="R138" i="7"/>
  <c r="S109" i="7"/>
  <c r="P151" i="7"/>
  <c r="O30" i="7"/>
  <c r="S88" i="7"/>
  <c r="S96" i="7"/>
  <c r="O50" i="7"/>
  <c r="O35" i="7"/>
  <c r="S153" i="7"/>
  <c r="R115" i="7"/>
  <c r="S161" i="7"/>
  <c r="Q157" i="7"/>
  <c r="S134" i="7"/>
  <c r="O22" i="7"/>
  <c r="R146" i="7"/>
  <c r="P138" i="7"/>
  <c r="R161" i="7"/>
  <c r="S124" i="7"/>
  <c r="O23" i="7"/>
  <c r="P130" i="7"/>
  <c r="R155" i="7"/>
  <c r="R60" i="7"/>
  <c r="O19" i="7"/>
  <c r="Q141" i="7"/>
  <c r="S163" i="7"/>
  <c r="P155" i="7"/>
  <c r="O27" i="7"/>
  <c r="S94" i="7"/>
  <c r="Y16" i="3"/>
  <c r="P101" i="7"/>
  <c r="R150" i="7"/>
  <c r="O20" i="7"/>
  <c r="O39" i="7"/>
  <c r="R164" i="7"/>
  <c r="R53" i="7"/>
  <c r="R145" i="7"/>
  <c r="P110" i="7"/>
  <c r="O67" i="7"/>
  <c r="P117" i="7"/>
  <c r="Q101" i="7"/>
  <c r="P119" i="7"/>
  <c r="S115" i="7"/>
  <c r="O62" i="7"/>
  <c r="S157" i="7"/>
  <c r="R52" i="7"/>
  <c r="P120" i="7"/>
  <c r="O37" i="7"/>
  <c r="S116" i="7"/>
  <c r="S146" i="7"/>
  <c r="S86" i="7"/>
  <c r="P109" i="7"/>
  <c r="S97" i="7"/>
  <c r="R119" i="7"/>
  <c r="R106" i="7"/>
  <c r="Q117" i="7"/>
  <c r="Q108" i="7"/>
  <c r="O72" i="7"/>
  <c r="Q138" i="7"/>
  <c r="Q114" i="7"/>
  <c r="P124" i="7"/>
  <c r="P156" i="7"/>
  <c r="S92" i="7"/>
  <c r="Q153" i="7"/>
  <c r="Q143" i="7"/>
  <c r="R129" i="7"/>
  <c r="Q147" i="7"/>
  <c r="P145" i="7"/>
  <c r="R160" i="7"/>
  <c r="Q109" i="7"/>
  <c r="O55" i="7"/>
  <c r="Q120" i="7"/>
  <c r="O26" i="7"/>
  <c r="O40" i="7"/>
  <c r="R113" i="7"/>
  <c r="O21" i="7"/>
  <c r="R122" i="7"/>
  <c r="R152" i="7"/>
  <c r="P121" i="7"/>
  <c r="P164" i="7"/>
  <c r="Q99" i="7"/>
  <c r="AM16" i="3"/>
  <c r="Q107" i="7"/>
  <c r="R111" i="7"/>
  <c r="S89" i="7"/>
  <c r="O31" i="7"/>
  <c r="R56" i="7"/>
  <c r="O86" i="7"/>
  <c r="O34" i="7"/>
  <c r="Q127" i="7"/>
  <c r="P133" i="7"/>
  <c r="Q144" i="7"/>
  <c r="Q148" i="7"/>
  <c r="R142" i="7"/>
  <c r="AM20" i="3"/>
  <c r="O89" i="7"/>
  <c r="R59" i="7"/>
  <c r="R109" i="7"/>
  <c r="P104" i="7"/>
  <c r="P141" i="7"/>
  <c r="S122" i="7"/>
  <c r="P128" i="7"/>
  <c r="Q91" i="7"/>
  <c r="S155" i="7"/>
  <c r="Q134" i="7"/>
  <c r="O52" i="7"/>
  <c r="S113" i="7"/>
  <c r="S162" i="7"/>
  <c r="S136" i="7"/>
  <c r="Q106" i="7"/>
  <c r="R128" i="7"/>
  <c r="R118" i="7"/>
  <c r="O36" i="7"/>
  <c r="Q155" i="7"/>
  <c r="R50" i="7"/>
  <c r="R130" i="7"/>
  <c r="R139" i="7"/>
  <c r="P142" i="7"/>
  <c r="AM17" i="3"/>
  <c r="Q92" i="7"/>
  <c r="S131" i="7"/>
  <c r="Q112" i="7"/>
  <c r="S129" i="7"/>
  <c r="Q96" i="7"/>
  <c r="S120" i="7"/>
  <c r="R157" i="7"/>
  <c r="Q124" i="7"/>
  <c r="Q102" i="7"/>
  <c r="R46" i="7"/>
  <c r="Q95" i="7"/>
  <c r="S111" i="7"/>
  <c r="R104" i="7"/>
  <c r="O12" i="7"/>
  <c r="Q130" i="7"/>
  <c r="S145" i="7"/>
  <c r="R99" i="7"/>
  <c r="O79" i="7"/>
  <c r="O46" i="7"/>
  <c r="P100" i="7"/>
  <c r="S117" i="7"/>
  <c r="L38" i="16" l="1"/>
  <c r="I38" i="16"/>
  <c r="J38" i="13" s="1"/>
  <c r="K38" i="16"/>
  <c r="V36" i="10"/>
  <c r="H37" i="16"/>
  <c r="L55" i="16"/>
  <c r="K55" i="16"/>
  <c r="I55" i="16"/>
  <c r="J55" i="13" s="1"/>
  <c r="V53" i="10"/>
  <c r="H54" i="16"/>
  <c r="I15" i="16"/>
  <c r="J15" i="13" s="1"/>
  <c r="L15" i="16"/>
  <c r="K15" i="16"/>
  <c r="V13" i="10"/>
  <c r="H14" i="16"/>
  <c r="I76" i="16"/>
  <c r="J76" i="13" s="1"/>
  <c r="L76" i="16"/>
  <c r="K76" i="16"/>
  <c r="V93" i="10"/>
  <c r="V74" i="10"/>
  <c r="H75" i="16"/>
  <c r="I97" i="16"/>
  <c r="J97" i="13" s="1"/>
  <c r="L97" i="16"/>
  <c r="K97" i="16"/>
  <c r="W95" i="10"/>
  <c r="H96" i="16"/>
  <c r="AO21" i="3"/>
  <c r="AO19" i="3"/>
  <c r="AO20" i="3"/>
  <c r="AO17" i="3"/>
  <c r="AO18" i="3"/>
  <c r="AO16" i="3"/>
  <c r="H19" i="7"/>
  <c r="H20" i="7"/>
  <c r="H16" i="7"/>
  <c r="AJ6" i="3"/>
  <c r="H18" i="7"/>
  <c r="H15" i="7"/>
  <c r="AO14" i="3"/>
  <c r="AO15" i="3"/>
  <c r="H14" i="7"/>
  <c r="AO7" i="3"/>
  <c r="O163" i="7"/>
  <c r="O162" i="7"/>
  <c r="O126" i="7"/>
  <c r="O139" i="7"/>
  <c r="O117" i="7"/>
  <c r="O93" i="7"/>
  <c r="O152" i="7"/>
  <c r="O102" i="7"/>
  <c r="O155" i="7"/>
  <c r="O98" i="7"/>
  <c r="O112" i="7"/>
  <c r="O128" i="7"/>
  <c r="O116" i="7"/>
  <c r="O136" i="7"/>
  <c r="O140" i="7"/>
  <c r="O158" i="7"/>
  <c r="O119" i="7"/>
  <c r="O130" i="7"/>
  <c r="O111" i="7"/>
  <c r="O134" i="7"/>
  <c r="O144" i="7"/>
  <c r="O113" i="7"/>
  <c r="O151" i="7"/>
  <c r="O133" i="7"/>
  <c r="O123" i="7"/>
  <c r="O143" i="7"/>
  <c r="O157" i="7"/>
  <c r="O141" i="7"/>
  <c r="O160" i="7"/>
  <c r="O153" i="7"/>
  <c r="O137" i="7"/>
  <c r="O145" i="7"/>
  <c r="O146" i="7"/>
  <c r="O118" i="7"/>
  <c r="O142" i="7"/>
  <c r="O100" i="7"/>
  <c r="O94" i="7"/>
  <c r="O154" i="7"/>
  <c r="O91" i="7"/>
  <c r="O96" i="7"/>
  <c r="O107" i="7"/>
  <c r="O120" i="7"/>
  <c r="O129" i="7"/>
  <c r="O122" i="7"/>
  <c r="O148" i="7"/>
  <c r="O99" i="7"/>
  <c r="O115" i="7"/>
  <c r="O156" i="7"/>
  <c r="O135" i="7"/>
  <c r="O106" i="7"/>
  <c r="O101" i="7"/>
  <c r="O114" i="7"/>
  <c r="O97" i="7"/>
  <c r="O149" i="7"/>
  <c r="O125" i="7"/>
  <c r="O127" i="7"/>
  <c r="O103" i="7"/>
  <c r="O95" i="7"/>
  <c r="O124" i="7"/>
  <c r="O105" i="7"/>
  <c r="O164" i="7"/>
  <c r="O150" i="7"/>
  <c r="O147" i="7"/>
  <c r="O108" i="7"/>
  <c r="O121" i="7"/>
  <c r="O104" i="7"/>
  <c r="O159" i="7"/>
  <c r="O110" i="7"/>
  <c r="O161" i="7"/>
  <c r="O90" i="7"/>
  <c r="O132" i="7"/>
  <c r="O109" i="7"/>
  <c r="O92" i="7"/>
  <c r="O131" i="7"/>
  <c r="O138" i="7"/>
  <c r="L37" i="16" l="1"/>
  <c r="K37" i="16"/>
  <c r="I37" i="16"/>
  <c r="J37" i="13" s="1"/>
  <c r="V35" i="10"/>
  <c r="H36" i="16"/>
  <c r="I14" i="16"/>
  <c r="J14" i="13" s="1"/>
  <c r="L14" i="16"/>
  <c r="K14" i="16"/>
  <c r="W94" i="10"/>
  <c r="H95" i="16"/>
  <c r="V12" i="10"/>
  <c r="H13" i="16"/>
  <c r="I96" i="16"/>
  <c r="J96" i="13" s="1"/>
  <c r="L96" i="16"/>
  <c r="K96" i="16"/>
  <c r="I54" i="16"/>
  <c r="J54" i="13" s="1"/>
  <c r="L54" i="16"/>
  <c r="K54" i="16"/>
  <c r="V73" i="10"/>
  <c r="H74" i="16"/>
  <c r="V52" i="10"/>
  <c r="H53" i="16"/>
  <c r="I75" i="16"/>
  <c r="J75" i="13" s="1"/>
  <c r="L75" i="16"/>
  <c r="K75" i="16"/>
  <c r="V92" i="10"/>
  <c r="R10" i="6"/>
  <c r="P10" i="6"/>
  <c r="Q10" i="6"/>
  <c r="T10" i="6"/>
  <c r="S10" i="6"/>
  <c r="I36" i="16" l="1"/>
  <c r="J36" i="13" s="1"/>
  <c r="L36" i="16"/>
  <c r="K36" i="16"/>
  <c r="V34" i="10"/>
  <c r="H35" i="16"/>
  <c r="V91" i="10"/>
  <c r="V72" i="10"/>
  <c r="H73" i="16"/>
  <c r="I13" i="16"/>
  <c r="J13" i="13" s="1"/>
  <c r="L13" i="16"/>
  <c r="K13" i="16"/>
  <c r="V11" i="10"/>
  <c r="H12" i="16"/>
  <c r="I53" i="16"/>
  <c r="J53" i="13" s="1"/>
  <c r="L53" i="16"/>
  <c r="K53" i="16"/>
  <c r="I95" i="16"/>
  <c r="J95" i="13" s="1"/>
  <c r="L95" i="16"/>
  <c r="K95" i="16"/>
  <c r="V51" i="10"/>
  <c r="H52" i="16"/>
  <c r="W93" i="10"/>
  <c r="H94" i="16"/>
  <c r="I74" i="16"/>
  <c r="J74" i="13" s="1"/>
  <c r="L74" i="16"/>
  <c r="K74" i="16"/>
  <c r="K35" i="16" l="1"/>
  <c r="I35" i="16"/>
  <c r="J35" i="13" s="1"/>
  <c r="L35" i="16"/>
  <c r="V33" i="10"/>
  <c r="H34" i="16"/>
  <c r="I94" i="16"/>
  <c r="J94" i="13" s="1"/>
  <c r="L94" i="16"/>
  <c r="K94" i="16"/>
  <c r="I52" i="16"/>
  <c r="J52" i="13" s="1"/>
  <c r="L52" i="16"/>
  <c r="K52" i="16"/>
  <c r="L12" i="16"/>
  <c r="K12" i="16"/>
  <c r="I12" i="16"/>
  <c r="J12" i="13" s="1"/>
  <c r="V10" i="10"/>
  <c r="H11" i="16"/>
  <c r="W92" i="10"/>
  <c r="H93" i="16"/>
  <c r="L73" i="16"/>
  <c r="K73" i="16"/>
  <c r="I73" i="16"/>
  <c r="J73" i="13" s="1"/>
  <c r="V50" i="10"/>
  <c r="H51" i="16"/>
  <c r="V71" i="10"/>
  <c r="H72" i="16"/>
  <c r="V90" i="10"/>
  <c r="K34" i="16" l="1"/>
  <c r="I34" i="16"/>
  <c r="J34" i="13" s="1"/>
  <c r="L34" i="16"/>
  <c r="H33" i="16"/>
  <c r="V32" i="10"/>
  <c r="W91" i="10"/>
  <c r="H92" i="16"/>
  <c r="V9" i="10"/>
  <c r="H10" i="16"/>
  <c r="V89" i="10"/>
  <c r="I11" i="16"/>
  <c r="J11" i="13" s="1"/>
  <c r="L11" i="16"/>
  <c r="K11" i="16"/>
  <c r="V70" i="10"/>
  <c r="H71" i="16"/>
  <c r="I72" i="16"/>
  <c r="J72" i="13" s="1"/>
  <c r="L72" i="16"/>
  <c r="K72" i="16"/>
  <c r="I51" i="16"/>
  <c r="J51" i="13" s="1"/>
  <c r="K51" i="16"/>
  <c r="L51" i="16"/>
  <c r="V49" i="10"/>
  <c r="H50" i="16"/>
  <c r="I93" i="16"/>
  <c r="J93" i="13" s="1"/>
  <c r="L93" i="16"/>
  <c r="K93" i="16"/>
  <c r="V31" i="10" l="1"/>
  <c r="H32" i="16"/>
  <c r="K33" i="16"/>
  <c r="I33" i="16"/>
  <c r="J33" i="13" s="1"/>
  <c r="L33" i="16"/>
  <c r="V69" i="10"/>
  <c r="H70" i="16"/>
  <c r="I50" i="16"/>
  <c r="J50" i="13" s="1"/>
  <c r="K50" i="16"/>
  <c r="L50" i="16"/>
  <c r="I10" i="16"/>
  <c r="J10" i="13" s="1"/>
  <c r="L10" i="16"/>
  <c r="K10" i="16"/>
  <c r="I71" i="16"/>
  <c r="J71" i="13" s="1"/>
  <c r="L71" i="16"/>
  <c r="K71" i="16"/>
  <c r="V48" i="10"/>
  <c r="H49" i="16"/>
  <c r="V88" i="10"/>
  <c r="V8" i="10"/>
  <c r="H9" i="16"/>
  <c r="I92" i="16"/>
  <c r="J92" i="13" s="1"/>
  <c r="L92" i="16"/>
  <c r="K92" i="16"/>
  <c r="W90" i="10"/>
  <c r="H91" i="16"/>
  <c r="H31" i="16" l="1"/>
  <c r="V30" i="10"/>
  <c r="I32" i="16"/>
  <c r="J32" i="13" s="1"/>
  <c r="L32" i="16"/>
  <c r="K32" i="16"/>
  <c r="V68" i="10"/>
  <c r="H69" i="16"/>
  <c r="I70" i="16"/>
  <c r="J70" i="13" s="1"/>
  <c r="L70" i="16"/>
  <c r="K70" i="16"/>
  <c r="I9" i="16"/>
  <c r="J9" i="13" s="1"/>
  <c r="L9" i="16"/>
  <c r="K9" i="16"/>
  <c r="V7" i="10"/>
  <c r="H8" i="16"/>
  <c r="V87" i="10"/>
  <c r="L49" i="16"/>
  <c r="K49" i="16"/>
  <c r="I49" i="16"/>
  <c r="J49" i="13" s="1"/>
  <c r="V47" i="10"/>
  <c r="H48" i="16"/>
  <c r="W89" i="10"/>
  <c r="H90" i="16"/>
  <c r="I91" i="16"/>
  <c r="J91" i="13" s="1"/>
  <c r="L91" i="16"/>
  <c r="K91" i="16"/>
  <c r="I31" i="16" l="1"/>
  <c r="J31" i="13" s="1"/>
  <c r="L31" i="16"/>
  <c r="K31" i="16"/>
  <c r="V29" i="10"/>
  <c r="H30" i="16"/>
  <c r="K8" i="16"/>
  <c r="I8" i="16"/>
  <c r="J8" i="13" s="1"/>
  <c r="L8" i="16"/>
  <c r="V6" i="10"/>
  <c r="H7" i="16"/>
  <c r="I48" i="16"/>
  <c r="J48" i="13" s="1"/>
  <c r="L48" i="16"/>
  <c r="K48" i="16"/>
  <c r="I90" i="16"/>
  <c r="J90" i="13" s="1"/>
  <c r="L90" i="16"/>
  <c r="K90" i="16"/>
  <c r="V46" i="10"/>
  <c r="H47" i="16"/>
  <c r="W88" i="10"/>
  <c r="H89" i="16"/>
  <c r="L69" i="16"/>
  <c r="K69" i="16"/>
  <c r="I69" i="16"/>
  <c r="J69" i="13" s="1"/>
  <c r="V86" i="10"/>
  <c r="V67" i="10"/>
  <c r="H68" i="16"/>
  <c r="I30" i="16" l="1"/>
  <c r="J30" i="13" s="1"/>
  <c r="L30" i="16"/>
  <c r="K30" i="16"/>
  <c r="V28" i="10"/>
  <c r="H29" i="16"/>
  <c r="V85" i="10"/>
  <c r="W87" i="10"/>
  <c r="H88" i="16"/>
  <c r="I7" i="16"/>
  <c r="J7" i="13" s="1"/>
  <c r="K7" i="16"/>
  <c r="L7" i="16"/>
  <c r="V5" i="10"/>
  <c r="H5" i="16" s="1"/>
  <c r="H6" i="16"/>
  <c r="I89" i="16"/>
  <c r="J89" i="13" s="1"/>
  <c r="L89" i="16"/>
  <c r="K89" i="16"/>
  <c r="L68" i="16"/>
  <c r="K68" i="16"/>
  <c r="I68" i="16"/>
  <c r="J68" i="13" s="1"/>
  <c r="V66" i="10"/>
  <c r="H67" i="16"/>
  <c r="V45" i="10"/>
  <c r="H45" i="16" s="1"/>
  <c r="H46" i="16"/>
  <c r="I47" i="16"/>
  <c r="J47" i="13" s="1"/>
  <c r="L47" i="16"/>
  <c r="K47" i="16"/>
  <c r="L29" i="16" l="1"/>
  <c r="K29" i="16"/>
  <c r="I29" i="16"/>
  <c r="J29" i="13" s="1"/>
  <c r="H28" i="16"/>
  <c r="V27" i="10"/>
  <c r="I88" i="16"/>
  <c r="J88" i="13" s="1"/>
  <c r="L88" i="16"/>
  <c r="K88" i="16"/>
  <c r="L45" i="16"/>
  <c r="I45" i="16"/>
  <c r="J45" i="13" s="1"/>
  <c r="K45" i="16"/>
  <c r="I67" i="16"/>
  <c r="J67" i="13" s="1"/>
  <c r="L67" i="16"/>
  <c r="K67" i="16"/>
  <c r="W86" i="10"/>
  <c r="H87" i="16"/>
  <c r="V65" i="10"/>
  <c r="H65" i="16" s="1"/>
  <c r="H66" i="16"/>
  <c r="I6" i="16"/>
  <c r="J6" i="13" s="1"/>
  <c r="L6" i="16"/>
  <c r="K6" i="16"/>
  <c r="I46" i="16"/>
  <c r="J46" i="13" s="1"/>
  <c r="L46" i="16"/>
  <c r="K46" i="16"/>
  <c r="I5" i="16"/>
  <c r="J5" i="13" s="1"/>
  <c r="K5" i="16"/>
  <c r="L5" i="16"/>
  <c r="V184" i="15" l="1"/>
  <c r="H27" i="16"/>
  <c r="V26" i="10"/>
  <c r="I28" i="16"/>
  <c r="J28" i="13" s="1"/>
  <c r="L28" i="16"/>
  <c r="K28" i="16"/>
  <c r="W85" i="10"/>
  <c r="H85" i="16" s="1"/>
  <c r="H86" i="16"/>
  <c r="I66" i="16"/>
  <c r="J66" i="13" s="1"/>
  <c r="K66" i="16"/>
  <c r="L66" i="16"/>
  <c r="K65" i="16"/>
  <c r="L65" i="16"/>
  <c r="I65" i="16"/>
  <c r="J65" i="13" s="1"/>
  <c r="I87" i="16"/>
  <c r="J87" i="13" s="1"/>
  <c r="L87" i="16"/>
  <c r="K87" i="16"/>
  <c r="V185" i="15" l="1"/>
  <c r="V94" i="15"/>
  <c r="H26" i="16"/>
  <c r="V25" i="10"/>
  <c r="H25" i="16" s="1"/>
  <c r="L27" i="16"/>
  <c r="I27" i="16"/>
  <c r="J27" i="13" s="1"/>
  <c r="K27" i="16"/>
  <c r="L86" i="16"/>
  <c r="K86" i="16"/>
  <c r="I86" i="16"/>
  <c r="J86" i="13" s="1"/>
  <c r="I85" i="16"/>
  <c r="J85" i="13" s="1"/>
  <c r="K85" i="16"/>
  <c r="L85" i="16"/>
  <c r="V95" i="15" l="1"/>
  <c r="V186" i="15"/>
  <c r="V49" i="15"/>
  <c r="V139" i="15"/>
  <c r="K25" i="16"/>
  <c r="I25" i="16"/>
  <c r="J25" i="13" s="1"/>
  <c r="L25" i="16"/>
  <c r="I26" i="16"/>
  <c r="J26" i="13" s="1"/>
  <c r="K26" i="16"/>
  <c r="L26" i="16"/>
  <c r="V140" i="15" l="1"/>
  <c r="V187" i="15"/>
  <c r="V50" i="15"/>
  <c r="V96" i="15"/>
  <c r="V4" i="15"/>
  <c r="AA6" i="3"/>
  <c r="V97" i="15" l="1"/>
  <c r="V51" i="15"/>
  <c r="V188" i="15"/>
  <c r="V5" i="15"/>
  <c r="V141" i="15"/>
  <c r="AA7" i="3"/>
  <c r="AC6" i="3"/>
  <c r="V189" i="15" l="1"/>
  <c r="V142" i="15"/>
  <c r="V52" i="15"/>
  <c r="V6" i="15"/>
  <c r="V98" i="15"/>
  <c r="AA8" i="3"/>
  <c r="AC7" i="3"/>
  <c r="V53" i="15" l="1"/>
  <c r="V190" i="15"/>
  <c r="V99" i="15"/>
  <c r="V143" i="15"/>
  <c r="V7" i="15"/>
  <c r="AA9" i="3"/>
  <c r="AC8" i="3"/>
  <c r="V8" i="15" l="1"/>
  <c r="V144" i="15"/>
  <c r="V100" i="15"/>
  <c r="V191" i="15"/>
  <c r="V54" i="15"/>
  <c r="AA10" i="3"/>
  <c r="AC9" i="3"/>
  <c r="V101" i="15" l="1"/>
  <c r="V55" i="15"/>
  <c r="V9" i="15"/>
  <c r="V192" i="15"/>
  <c r="V145" i="15"/>
  <c r="AA11" i="3"/>
  <c r="AC10" i="3"/>
  <c r="V10" i="15" l="1"/>
  <c r="V193" i="15"/>
  <c r="V56" i="15"/>
  <c r="V146" i="15"/>
  <c r="V102" i="15"/>
  <c r="AA12" i="3"/>
  <c r="AC11" i="3"/>
  <c r="AA51" i="3"/>
  <c r="AA141" i="3"/>
  <c r="AA186" i="3"/>
  <c r="V103" i="15" l="1"/>
  <c r="V57" i="15"/>
  <c r="V147" i="15"/>
  <c r="V194" i="15"/>
  <c r="V11" i="15"/>
  <c r="AA13" i="3"/>
  <c r="AC12" i="3"/>
  <c r="AA96" i="3"/>
  <c r="AA97" i="3" s="1"/>
  <c r="AA98" i="3" s="1"/>
  <c r="AA99" i="3" s="1"/>
  <c r="AA100" i="3" s="1"/>
  <c r="AA101" i="3" s="1"/>
  <c r="AA102" i="3" s="1"/>
  <c r="AA103" i="3" s="1"/>
  <c r="AA104" i="3" s="1"/>
  <c r="AA105" i="3" s="1"/>
  <c r="AA106" i="3" s="1"/>
  <c r="AA107" i="3" s="1"/>
  <c r="AA108" i="3" s="1"/>
  <c r="AA109" i="3" s="1"/>
  <c r="AA110" i="3" s="1"/>
  <c r="AA111" i="3" s="1"/>
  <c r="AA142" i="3"/>
  <c r="AA143" i="3" s="1"/>
  <c r="AA144" i="3" s="1"/>
  <c r="AA145" i="3" s="1"/>
  <c r="AA146" i="3" s="1"/>
  <c r="AA147" i="3" s="1"/>
  <c r="AA148" i="3" s="1"/>
  <c r="AA149" i="3" s="1"/>
  <c r="AA150" i="3" s="1"/>
  <c r="AA151" i="3" s="1"/>
  <c r="AA152" i="3" s="1"/>
  <c r="AA153" i="3" s="1"/>
  <c r="AA154" i="3" s="1"/>
  <c r="AA155" i="3" s="1"/>
  <c r="AA156" i="3" s="1"/>
  <c r="AC141" i="3"/>
  <c r="AA52" i="3"/>
  <c r="AA53" i="3" s="1"/>
  <c r="AA54" i="3" s="1"/>
  <c r="AA55" i="3" s="1"/>
  <c r="AC51" i="3"/>
  <c r="AA187" i="3"/>
  <c r="AA188" i="3" s="1"/>
  <c r="AA189" i="3" s="1"/>
  <c r="AA190" i="3" s="1"/>
  <c r="AA191" i="3" s="1"/>
  <c r="AA192" i="3" s="1"/>
  <c r="AA193" i="3" s="1"/>
  <c r="AA194" i="3" s="1"/>
  <c r="AA195" i="3" s="1"/>
  <c r="AA196" i="3" s="1"/>
  <c r="AA197" i="3" s="1"/>
  <c r="AA198" i="3" s="1"/>
  <c r="AA199" i="3" s="1"/>
  <c r="AA200" i="3" s="1"/>
  <c r="AA201" i="3" s="1"/>
  <c r="AC186" i="3"/>
  <c r="V148" i="15" l="1"/>
  <c r="V12" i="15"/>
  <c r="V195" i="15"/>
  <c r="V58" i="15"/>
  <c r="V104" i="15"/>
  <c r="AA14" i="3"/>
  <c r="AC13" i="3"/>
  <c r="AC96" i="3"/>
  <c r="AC97" i="3"/>
  <c r="AC52" i="3"/>
  <c r="AC107" i="3"/>
  <c r="AC187" i="3"/>
  <c r="AC142" i="3"/>
  <c r="V59" i="15" l="1"/>
  <c r="V196" i="15"/>
  <c r="V105" i="15"/>
  <c r="V13" i="15"/>
  <c r="V149" i="15"/>
  <c r="AA15" i="3"/>
  <c r="AC14" i="3"/>
  <c r="AC143" i="3"/>
  <c r="AC53" i="3"/>
  <c r="AC188" i="3"/>
  <c r="AC98" i="3"/>
  <c r="V150" i="15" l="1"/>
  <c r="V14" i="15"/>
  <c r="V106" i="15"/>
  <c r="V197" i="15"/>
  <c r="V60" i="15"/>
  <c r="AA16" i="3"/>
  <c r="AC15" i="3"/>
  <c r="AC144" i="3"/>
  <c r="AC99" i="3"/>
  <c r="AC54" i="3"/>
  <c r="AC189" i="3"/>
  <c r="V61" i="15" l="1"/>
  <c r="V198" i="15"/>
  <c r="V107" i="15"/>
  <c r="V15" i="15"/>
  <c r="V151" i="15"/>
  <c r="AA17" i="3"/>
  <c r="AC16" i="3"/>
  <c r="AC100" i="3"/>
  <c r="AC190" i="3"/>
  <c r="AC55" i="3"/>
  <c r="AC145" i="3"/>
  <c r="V152" i="15" l="1"/>
  <c r="V16" i="15"/>
  <c r="V108" i="15"/>
  <c r="V199" i="15"/>
  <c r="V62" i="15"/>
  <c r="AA18" i="3"/>
  <c r="AC17" i="3"/>
  <c r="AC191" i="3"/>
  <c r="AC146" i="3"/>
  <c r="AC101" i="3"/>
  <c r="V63" i="15" l="1"/>
  <c r="V109" i="15"/>
  <c r="V17" i="15"/>
  <c r="V153" i="15"/>
  <c r="AA19" i="3"/>
  <c r="AC18" i="3"/>
  <c r="AC108" i="3"/>
  <c r="AC192" i="3"/>
  <c r="AC102" i="3"/>
  <c r="AC147" i="3"/>
  <c r="V154" i="15" l="1"/>
  <c r="V18" i="15"/>
  <c r="V64" i="15"/>
  <c r="AA20" i="3"/>
  <c r="AC19" i="3"/>
  <c r="AC103" i="3"/>
  <c r="AC148" i="3"/>
  <c r="AC193" i="3"/>
  <c r="AC109" i="3"/>
  <c r="V19" i="15" l="1"/>
  <c r="AA21" i="3"/>
  <c r="AC21" i="3" s="1"/>
  <c r="AC20" i="3"/>
  <c r="AC110" i="3"/>
  <c r="AC149" i="3"/>
  <c r="AC194" i="3"/>
  <c r="AC104" i="3"/>
  <c r="AC106" i="3" l="1"/>
  <c r="AC105" i="3"/>
  <c r="AC150" i="3"/>
  <c r="AC195" i="3"/>
  <c r="AC111" i="3"/>
  <c r="AC151" i="3" l="1"/>
  <c r="AC196" i="3"/>
  <c r="AC197" i="3" l="1"/>
  <c r="AC152" i="3"/>
  <c r="AC153" i="3" l="1"/>
  <c r="AC198" i="3"/>
  <c r="AC199" i="3" l="1"/>
  <c r="AC154" i="3"/>
  <c r="AC156" i="3" l="1"/>
  <c r="AC155" i="3"/>
  <c r="AC201" i="3"/>
  <c r="AC200" i="3"/>
  <c r="AA56" i="3" l="1"/>
  <c r="AC56" i="3" s="1"/>
  <c r="AA57" i="3" l="1"/>
  <c r="AC57" i="3" l="1"/>
  <c r="AA58" i="3"/>
  <c r="AA59" i="3" l="1"/>
  <c r="AC58" i="3"/>
  <c r="AA60" i="3" l="1"/>
  <c r="AC59" i="3"/>
  <c r="AC60" i="3" l="1"/>
  <c r="AA61" i="3"/>
  <c r="AC61" i="3" l="1"/>
  <c r="AA62" i="3"/>
  <c r="AA63" i="3" l="1"/>
  <c r="AC62" i="3"/>
  <c r="AC63" i="3" l="1"/>
  <c r="AA64" i="3"/>
  <c r="AA65" i="3" l="1"/>
  <c r="AC64" i="3"/>
  <c r="AC65" i="3" l="1"/>
  <c r="AA66" i="3"/>
  <c r="AC6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7" authorId="0" shapeId="0" xr:uid="{0CD54F26-AC53-4E7C-A590-D9055420299E}">
      <text>
        <r>
          <rPr>
            <b/>
            <sz val="9"/>
            <color indexed="81"/>
            <rFont val="宋体"/>
            <family val="3"/>
            <charset val="134"/>
          </rPr>
          <t>即任务难度系数，挂机任务不需要很难，维持在1出头即可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4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S5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指每种三维属性单独
</t>
        </r>
      </text>
    </comment>
    <comment ref="S28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指每种三维属性单独
</t>
        </r>
      </text>
    </comment>
    <comment ref="S51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 xml:space="preserve">指每种三维属性单独
</t>
        </r>
      </text>
    </comment>
    <comment ref="S74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 xml:space="preserve">指每种三维属性单独
</t>
        </r>
      </text>
    </comment>
    <comment ref="S97" authorId="0" shapeId="0" xr:uid="{00000000-0006-0000-02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指每种三维属性单独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Z3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每章送一个，每章预估间隔5级，因此送的门客数量为当前等级/5
庭院7级开始送蓝，13级开始送紫</t>
        </r>
      </text>
    </comment>
  </commentList>
</comments>
</file>

<file path=xl/sharedStrings.xml><?xml version="1.0" encoding="utf-8"?>
<sst xmlns="http://schemas.openxmlformats.org/spreadsheetml/2006/main" count="1840" uniqueCount="314">
  <si>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</si>
  <si>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</si>
  <si>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</si>
  <si>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</si>
  <si>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</si>
  <si>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</si>
  <si>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天数</t>
    <phoneticPr fontId="1" type="noConversion"/>
  </si>
  <si>
    <t>三维属性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</si>
  <si>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</si>
  <si>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</si>
  <si>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</si>
  <si>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</si>
  <si>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</si>
  <si>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非r完成预估</t>
    <phoneticPr fontId="1" type="noConversion"/>
  </si>
  <si>
    <t>完成天数</t>
    <phoneticPr fontId="1" type="noConversion"/>
  </si>
  <si>
    <t>完成天数</t>
    <phoneticPr fontId="1" type="noConversion"/>
  </si>
  <si>
    <t>完成天数</t>
    <phoneticPr fontId="1" type="noConversion"/>
  </si>
  <si>
    <t>小r完成预估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</si>
  <si>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</si>
  <si>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</si>
  <si>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</si>
  <si>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门客庭院等级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</si>
  <si>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</si>
  <si>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</si>
  <si>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</si>
  <si>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</si>
  <si>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小r</t>
    <phoneticPr fontId="1" type="noConversion"/>
  </si>
  <si>
    <t>大r</t>
    <phoneticPr fontId="1" type="noConversion"/>
  </si>
  <si>
    <t>中r</t>
    <phoneticPr fontId="1" type="noConversion"/>
  </si>
  <si>
    <t>大r</t>
    <phoneticPr fontId="1" type="noConversion"/>
  </si>
  <si>
    <t>天数</t>
    <phoneticPr fontId="1" type="noConversion"/>
  </si>
  <si>
    <t>超r</t>
    <phoneticPr fontId="1" type="noConversion"/>
  </si>
  <si>
    <t>门客槽位解锁数量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</si>
  <si>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</si>
  <si>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</si>
  <si>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</si>
  <si>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</si>
  <si>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</si>
  <si>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门客庭院等级</t>
    <phoneticPr fontId="1" type="noConversion"/>
  </si>
  <si>
    <t>预估门客数量/上阵门客</t>
    <phoneticPr fontId="1" type="noConversion"/>
  </si>
  <si>
    <t>预估门客数量/上阵门客</t>
    <phoneticPr fontId="1" type="noConversion"/>
  </si>
  <si>
    <t>预估门客数量/上阵门客</t>
    <phoneticPr fontId="1" type="noConversion"/>
  </si>
  <si>
    <t>获得门客累计数量</t>
  </si>
  <si>
    <t>基础值</t>
    <phoneticPr fontId="1" type="noConversion"/>
  </si>
  <si>
    <t>预估门客属性/上阵门客</t>
  </si>
  <si>
    <t>总和</t>
    <phoneticPr fontId="1" type="noConversion"/>
  </si>
  <si>
    <t>职业</t>
  </si>
  <si>
    <t>专属技能</t>
  </si>
  <si>
    <t>闲人</t>
  </si>
  <si>
    <t>刺客</t>
  </si>
  <si>
    <t>盗贼</t>
  </si>
  <si>
    <t>间谍</t>
  </si>
  <si>
    <t>护卫</t>
  </si>
  <si>
    <t>大厨</t>
  </si>
  <si>
    <t>行动力上限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</si>
  <si>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</si>
  <si>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</si>
  <si>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</si>
  <si>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</si>
  <si>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</si>
  <si>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三维</t>
    <phoneticPr fontId="1" type="noConversion"/>
  </si>
  <si>
    <t>属性</t>
    <phoneticPr fontId="1" type="noConversion"/>
  </si>
  <si>
    <t>评分计算</t>
  </si>
  <si>
    <t>三维属性</t>
    <phoneticPr fontId="1" type="noConversion"/>
  </si>
  <si>
    <t>总评分</t>
  </si>
  <si>
    <t>三维属性</t>
    <phoneticPr fontId="1" type="noConversion"/>
  </si>
  <si>
    <t>门客品质</t>
    <phoneticPr fontId="1" type="noConversion"/>
  </si>
  <si>
    <t>价值</t>
    <phoneticPr fontId="1" type="noConversion"/>
  </si>
  <si>
    <t>累计消耗价值</t>
    <phoneticPr fontId="1" type="noConversion"/>
  </si>
  <si>
    <t>累计消耗价值</t>
    <phoneticPr fontId="1" type="noConversion"/>
  </si>
  <si>
    <t>价值</t>
    <phoneticPr fontId="1" type="noConversion"/>
  </si>
  <si>
    <t>总计</t>
    <phoneticPr fontId="1" type="noConversion"/>
  </si>
  <si>
    <t>非r</t>
  </si>
  <si>
    <t>小r</t>
  </si>
  <si>
    <t>中r</t>
  </si>
  <si>
    <t>大r</t>
  </si>
  <si>
    <t>超r</t>
  </si>
  <si>
    <t>占钻石消耗占比</t>
    <phoneticPr fontId="1" type="noConversion"/>
  </si>
  <si>
    <t>对应消耗</t>
    <phoneticPr fontId="1" type="noConversion"/>
  </si>
  <si>
    <t>对应等级</t>
    <phoneticPr fontId="1" type="noConversion"/>
  </si>
  <si>
    <t>付费获得门客累计数量</t>
    <phoneticPr fontId="1" type="noConversion"/>
  </si>
  <si>
    <t>获得概率</t>
    <phoneticPr fontId="1" type="noConversion"/>
  </si>
  <si>
    <t>阶段消耗钻石参照</t>
    <phoneticPr fontId="1" type="noConversion"/>
  </si>
  <si>
    <t>阶段获得数量</t>
  </si>
  <si>
    <t>随机价值</t>
    <phoneticPr fontId="1" type="noConversion"/>
  </si>
  <si>
    <t>免费累计获得门客数量</t>
  </si>
  <si>
    <t>价值</t>
    <phoneticPr fontId="1" type="noConversion"/>
  </si>
  <si>
    <t>实际消耗价值</t>
  </si>
  <si>
    <t>指定价值</t>
    <phoneticPr fontId="1" type="noConversion"/>
  </si>
  <si>
    <t>此处计算有误，用累积去强行除</t>
    <phoneticPr fontId="1" type="noConversion"/>
  </si>
  <si>
    <t>对应城建等级</t>
    <phoneticPr fontId="1" type="noConversion"/>
  </si>
  <si>
    <t>预估钻石消耗比例</t>
    <phoneticPr fontId="1" type="noConversion"/>
  </si>
  <si>
    <t>中期</t>
    <phoneticPr fontId="1" type="noConversion"/>
  </si>
  <si>
    <t>后期</t>
    <phoneticPr fontId="1" type="noConversion"/>
  </si>
  <si>
    <t>消耗行动力</t>
    <phoneticPr fontId="1" type="noConversion"/>
  </si>
  <si>
    <t>前期</t>
    <phoneticPr fontId="1" type="noConversion"/>
  </si>
  <si>
    <t>阶段</t>
    <phoneticPr fontId="1" type="noConversion"/>
  </si>
  <si>
    <t>行动力回复（1点/XX秒）</t>
    <phoneticPr fontId="1" type="noConversion"/>
  </si>
  <si>
    <t>cd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</si>
  <si>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</si>
  <si>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</si>
  <si>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</si>
  <si>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</si>
  <si>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对应定义等级</t>
  </si>
  <si>
    <t>绿</t>
  </si>
  <si>
    <t>蓝</t>
  </si>
  <si>
    <t>紫</t>
  </si>
  <si>
    <t>橙</t>
  </si>
  <si>
    <t>红</t>
  </si>
  <si>
    <t>参考技能价值/行动力</t>
    <phoneticPr fontId="1" type="noConversion"/>
  </si>
  <si>
    <t>参考系数</t>
    <phoneticPr fontId="1" type="noConversion"/>
  </si>
  <si>
    <t>不同品质的系数（修正）</t>
    <phoneticPr fontId="1" type="noConversion"/>
  </si>
  <si>
    <t>门客活动投放节奏</t>
    <phoneticPr fontId="1" type="noConversion"/>
  </si>
  <si>
    <t>开服X天</t>
    <phoneticPr fontId="1" type="noConversion"/>
  </si>
  <si>
    <t>产出门客阶段数量/天</t>
    <phoneticPr fontId="1" type="noConversion"/>
  </si>
  <si>
    <t>活动累计获得门客数量</t>
  </si>
  <si>
    <t>产出门客累计数量/天</t>
    <phoneticPr fontId="1" type="noConversion"/>
  </si>
  <si>
    <t>42天开始，每2周付费活动投放1个橙色门客</t>
    <phoneticPr fontId="1" type="noConversion"/>
  </si>
  <si>
    <t>28天开始，每周活跃活动投放1个紫色门客</t>
    <phoneticPr fontId="1" type="noConversion"/>
  </si>
  <si>
    <t>建筑等级</t>
    <phoneticPr fontId="1" type="noConversion"/>
  </si>
  <si>
    <t>建筑升级</t>
    <phoneticPr fontId="1" type="noConversion"/>
  </si>
  <si>
    <t>对应大殿等级</t>
    <phoneticPr fontId="1" type="noConversion"/>
  </si>
  <si>
    <t>对应天数</t>
  </si>
  <si>
    <t>定义等级</t>
    <phoneticPr fontId="1" type="noConversion"/>
  </si>
  <si>
    <t>累计建筑升级基础赠送门客</t>
    <phoneticPr fontId="1" type="noConversion"/>
  </si>
  <si>
    <t>王者之战</t>
    <phoneticPr fontId="1" type="noConversion"/>
  </si>
  <si>
    <t>定义等级对应王者铸币累计产出</t>
    <phoneticPr fontId="1" type="noConversion"/>
  </si>
  <si>
    <t>定义等级对应紫色门客累计产出</t>
    <phoneticPr fontId="1" type="noConversion"/>
  </si>
  <si>
    <t>兑换紫色门客消耗王者铸币</t>
    <phoneticPr fontId="1" type="noConversion"/>
  </si>
  <si>
    <t>三围加成基础值/单属性</t>
    <phoneticPr fontId="1" type="noConversion"/>
  </si>
  <si>
    <t>三围加成成长值/单属性</t>
    <phoneticPr fontId="1" type="noConversion"/>
  </si>
  <si>
    <t>等级上限</t>
    <phoneticPr fontId="1" type="noConversion"/>
  </si>
  <si>
    <t>三围加成极限值/单属性</t>
    <phoneticPr fontId="1" type="noConversion"/>
  </si>
  <si>
    <t>门客等级</t>
    <phoneticPr fontId="1" type="noConversion"/>
  </si>
  <si>
    <t>门客槽位</t>
    <phoneticPr fontId="1" type="noConversion"/>
  </si>
  <si>
    <t>预估门客等级</t>
    <phoneticPr fontId="1" type="noConversion"/>
  </si>
  <si>
    <t>预估上阵品质占比</t>
    <phoneticPr fontId="1" type="noConversion"/>
  </si>
  <si>
    <t>升下一级经验需求</t>
    <phoneticPr fontId="1" type="noConversion"/>
  </si>
  <si>
    <t>升至本级累计经验需求</t>
    <phoneticPr fontId="1" type="noConversion"/>
  </si>
  <si>
    <t>被吃经验</t>
    <phoneticPr fontId="1" type="noConversion"/>
  </si>
  <si>
    <t>门客价值</t>
    <phoneticPr fontId="1" type="noConversion"/>
  </si>
  <si>
    <t>单位经验价值</t>
    <phoneticPr fontId="1" type="noConversion"/>
  </si>
  <si>
    <t>特长条数</t>
    <phoneticPr fontId="1" type="noConversion"/>
  </si>
  <si>
    <t>门客品质</t>
    <phoneticPr fontId="1" type="noConversion"/>
  </si>
  <si>
    <t>蓝色特长概率</t>
    <phoneticPr fontId="1" type="noConversion"/>
  </si>
  <si>
    <t>紫色特长概率</t>
    <phoneticPr fontId="1" type="noConversion"/>
  </si>
  <si>
    <t>橙色特长概率</t>
    <phoneticPr fontId="1" type="noConversion"/>
  </si>
  <si>
    <t>特长随机为不放回式抽取</t>
    <phoneticPr fontId="1" type="noConversion"/>
  </si>
  <si>
    <t>升级三围极限属性/单属性</t>
    <phoneticPr fontId="1" type="noConversion"/>
  </si>
  <si>
    <t>特长三围极限属性/单属性</t>
    <phoneticPr fontId="1" type="noConversion"/>
  </si>
  <si>
    <t>全门客三围极限属性/单属性</t>
    <phoneticPr fontId="1" type="noConversion"/>
  </si>
  <si>
    <t>极限三围加成</t>
    <phoneticPr fontId="1" type="noConversion"/>
  </si>
  <si>
    <t>实际配置中为了丰富特产种类，增加固定值加成特长，值由百分比折算后适当降低</t>
    <phoneticPr fontId="1" type="noConversion"/>
  </si>
  <si>
    <t>蓝色特长三围加成/全</t>
    <phoneticPr fontId="1" type="noConversion"/>
  </si>
  <si>
    <t>紫色特长三围加成/全</t>
    <phoneticPr fontId="1" type="noConversion"/>
  </si>
  <si>
    <t>橙色特长三围加成/全</t>
    <phoneticPr fontId="1" type="noConversion"/>
  </si>
  <si>
    <t>预估特长解锁数量</t>
    <phoneticPr fontId="1" type="noConversion"/>
  </si>
  <si>
    <t>品质对应特长三围加成</t>
    <phoneticPr fontId="1" type="noConversion"/>
  </si>
  <si>
    <t>预估特长进修品质</t>
    <phoneticPr fontId="1" type="noConversion"/>
  </si>
  <si>
    <t>品质对应特长三围加成数值/单属性</t>
    <phoneticPr fontId="1" type="noConversion"/>
  </si>
  <si>
    <t>三围加成/单属性</t>
    <phoneticPr fontId="1" type="noConversion"/>
  </si>
  <si>
    <t>总经验需求</t>
    <phoneticPr fontId="1" type="noConversion"/>
  </si>
  <si>
    <t>品质对应累计门客等级三围加成/单属性</t>
    <phoneticPr fontId="1" type="noConversion"/>
  </si>
  <si>
    <t>品质对应累计门客经验需求</t>
    <phoneticPr fontId="1" type="noConversion"/>
  </si>
  <si>
    <t>品质对应累计经验需求</t>
    <phoneticPr fontId="1" type="noConversion"/>
  </si>
  <si>
    <t>品质对应累计特长三围加成</t>
    <phoneticPr fontId="1" type="noConversion"/>
  </si>
  <si>
    <t>品质对应累计特长三围加成数值/单属性</t>
    <phoneticPr fontId="1" type="noConversion"/>
  </si>
  <si>
    <t>门客单次进修消耗经验值</t>
    <phoneticPr fontId="1" type="noConversion"/>
  </si>
  <si>
    <t>单个特长进修到蓝色预估消耗经验值</t>
    <phoneticPr fontId="1" type="noConversion"/>
  </si>
  <si>
    <t>单个特长进修到紫色预估消耗经验值</t>
    <phoneticPr fontId="1" type="noConversion"/>
  </si>
  <si>
    <t>单个特长进修到橙色预估消耗经验值</t>
    <phoneticPr fontId="1" type="noConversion"/>
  </si>
  <si>
    <t>总经验需求</t>
    <phoneticPr fontId="1" type="noConversion"/>
  </si>
  <si>
    <t>门客单次进修消耗经验值调整系数</t>
    <phoneticPr fontId="1" type="noConversion"/>
  </si>
  <si>
    <t>累计经验需求</t>
    <phoneticPr fontId="1" type="noConversion"/>
  </si>
  <si>
    <t>累计经验产出</t>
    <phoneticPr fontId="1" type="noConversion"/>
  </si>
  <si>
    <t>解锁特长阶段消耗同名门客</t>
    <phoneticPr fontId="1" type="noConversion"/>
  </si>
  <si>
    <t>解锁特长累计消耗同名门客</t>
    <phoneticPr fontId="1" type="noConversion"/>
  </si>
  <si>
    <t>门客庭院等级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</si>
  <si>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</si>
  <si>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</si>
  <si>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</si>
  <si>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</si>
  <si>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</si>
  <si>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基础门客经验奖励</t>
    <phoneticPr fontId="1" type="noConversion"/>
  </si>
  <si>
    <t>日刷新任务数</t>
    <phoneticPr fontId="1" type="noConversion"/>
  </si>
  <si>
    <t>任务品质</t>
    <phoneticPr fontId="1" type="noConversion"/>
  </si>
  <si>
    <t>任务品质对应不同品质门客掉落权重</t>
    <phoneticPr fontId="1" type="noConversion"/>
  </si>
  <si>
    <t>门客掉率</t>
    <phoneticPr fontId="1" type="noConversion"/>
  </si>
  <si>
    <t>额外条件数量</t>
    <phoneticPr fontId="1" type="noConversion"/>
  </si>
  <si>
    <t>单个额外条件加成门客经验</t>
    <phoneticPr fontId="1" type="noConversion"/>
  </si>
  <si>
    <t>品质对应任务刷新权重</t>
    <phoneticPr fontId="1" type="noConversion"/>
  </si>
  <si>
    <t>门客庭院等级加成经验奖励</t>
    <phoneticPr fontId="1" type="noConversion"/>
  </si>
  <si>
    <t>期望每日门客经验奖励</t>
    <phoneticPr fontId="1" type="noConversion"/>
  </si>
  <si>
    <t>期望每日门客品质掉落</t>
    <phoneticPr fontId="1" type="noConversion"/>
  </si>
  <si>
    <t>累计产出门客经验</t>
    <phoneticPr fontId="1" type="noConversion"/>
  </si>
  <si>
    <t>门客需求数量</t>
  </si>
  <si>
    <t>累计门客产出数量</t>
  </si>
  <si>
    <t>累计王者之战产出门客</t>
    <phoneticPr fontId="1" type="noConversion"/>
  </si>
  <si>
    <t>产销比</t>
    <phoneticPr fontId="1" type="noConversion"/>
  </si>
  <si>
    <t>天数</t>
    <phoneticPr fontId="1" type="noConversion"/>
  </si>
  <si>
    <t>投放周期</t>
    <phoneticPr fontId="1" type="noConversion"/>
  </si>
  <si>
    <t>投放门客数量</t>
    <phoneticPr fontId="1" type="noConversion"/>
  </si>
  <si>
    <t>核心价值占比</t>
    <phoneticPr fontId="1" type="noConversion"/>
  </si>
  <si>
    <t>周期花费黄金</t>
    <phoneticPr fontId="1" type="noConversion"/>
  </si>
  <si>
    <t>黄金花费占比</t>
    <phoneticPr fontId="1" type="noConversion"/>
  </si>
  <si>
    <t>黄金花费值</t>
    <phoneticPr fontId="1" type="noConversion"/>
  </si>
  <si>
    <t>定义等级对应累积消耗钻石价值</t>
  </si>
  <si>
    <t>累计付费获取门客数量</t>
    <phoneticPr fontId="1" type="noConversion"/>
  </si>
  <si>
    <t>评分计算</t>
    <phoneticPr fontId="1" type="noConversion"/>
  </si>
  <si>
    <t>消耗价值</t>
    <phoneticPr fontId="1" type="noConversion"/>
  </si>
  <si>
    <t>三围</t>
    <phoneticPr fontId="1" type="noConversion"/>
  </si>
  <si>
    <t>橙色门客产出占比</t>
    <phoneticPr fontId="1" type="noConversion"/>
  </si>
  <si>
    <t>寻访</t>
    <phoneticPr fontId="1" type="noConversion"/>
  </si>
  <si>
    <t>建筑升级</t>
    <phoneticPr fontId="1" type="noConversion"/>
  </si>
  <si>
    <t>王者之战</t>
    <phoneticPr fontId="1" type="noConversion"/>
  </si>
  <si>
    <t>红色门客产出占比</t>
    <phoneticPr fontId="1" type="noConversion"/>
  </si>
  <si>
    <t>马夫</t>
    <phoneticPr fontId="1" type="noConversion"/>
  </si>
  <si>
    <t>铁匠</t>
    <phoneticPr fontId="1" type="noConversion"/>
  </si>
  <si>
    <t>技能名</t>
    <phoneticPr fontId="1" type="noConversion"/>
  </si>
  <si>
    <t>闲散</t>
    <phoneticPr fontId="1" type="noConversion"/>
  </si>
  <si>
    <t>刺杀</t>
    <phoneticPr fontId="1" type="noConversion"/>
  </si>
  <si>
    <t>挖掘</t>
    <phoneticPr fontId="1" type="noConversion"/>
  </si>
  <si>
    <t>劝诱</t>
    <phoneticPr fontId="1" type="noConversion"/>
  </si>
  <si>
    <t>坚守</t>
    <phoneticPr fontId="1" type="noConversion"/>
  </si>
  <si>
    <t>烹饪</t>
    <phoneticPr fontId="1" type="noConversion"/>
  </si>
  <si>
    <t>疾行</t>
    <phoneticPr fontId="1" type="noConversion"/>
  </si>
  <si>
    <t>精炼</t>
    <phoneticPr fontId="1" type="noConversion"/>
  </si>
  <si>
    <t>闲散之人，无所事事，没有任何技能</t>
    <phoneticPr fontId="1" type="noConversion"/>
  </si>
  <si>
    <t>刺杀敌军的主将，目标玩家武将伤害降低{0}%，持续5分钟</t>
    <phoneticPr fontId="1" type="noConversion"/>
  </si>
  <si>
    <t>挖掘九州城池的城墙，降低其城防值{0}点</t>
    <phoneticPr fontId="1" type="noConversion"/>
  </si>
  <si>
    <t>散播战况的谣言，随机劝诱目标玩家城池内的预备兵{0}人加入我方</t>
    <phoneticPr fontId="1" type="noConversion"/>
  </si>
  <si>
    <t>缉捕鸡鸣狗盗之辈，最多可以捕获3名来犯门客，持续{0}分钟，关押门客时间1天</t>
    <phoneticPr fontId="1" type="noConversion"/>
  </si>
  <si>
    <t>烹饪丰盛的行军餐，降低所有队伍的疲劳度{0}点</t>
    <phoneticPr fontId="1" type="noConversion"/>
  </si>
  <si>
    <t>透支战马的精力，行军速度提升{0}%，持续5分钟</t>
    <phoneticPr fontId="1" type="noConversion"/>
  </si>
  <si>
    <t>打磨军队的战刃，士兵攻击提升{0}%，持续5分钟</t>
    <phoneticPr fontId="1" type="noConversion"/>
  </si>
  <si>
    <t>烧毁敌军的辎重，目标玩家行军速度降低{0}%，持续5分钟</t>
    <phoneticPr fontId="1" type="noConversion"/>
  </si>
  <si>
    <t>火药</t>
    <phoneticPr fontId="1" type="noConversion"/>
  </si>
  <si>
    <t>方士</t>
    <phoneticPr fontId="1" type="noConversion"/>
  </si>
  <si>
    <t>木工</t>
    <phoneticPr fontId="1" type="noConversion"/>
  </si>
  <si>
    <t>医者</t>
    <phoneticPr fontId="1" type="noConversion"/>
  </si>
  <si>
    <t>仁术</t>
    <phoneticPr fontId="1" type="noConversion"/>
  </si>
  <si>
    <t>阴阳</t>
    <phoneticPr fontId="1" type="noConversion"/>
  </si>
  <si>
    <t>奇门</t>
    <phoneticPr fontId="1" type="noConversion"/>
  </si>
  <si>
    <t>围困目标玩家的城池，禁止主动迁城{0}分钟</t>
    <phoneticPr fontId="1" type="noConversion"/>
  </si>
  <si>
    <t>抢修</t>
    <phoneticPr fontId="1" type="noConversion"/>
  </si>
  <si>
    <t>修复城池的损伤，回复自身{0}%城防值</t>
    <phoneticPr fontId="1" type="noConversion"/>
  </si>
  <si>
    <t>治疗受伤的军士，伤兵营治疗加速{0}%，持续5分钟</t>
    <phoneticPr fontId="1" type="noConversion"/>
  </si>
  <si>
    <t>经验产出占比</t>
    <phoneticPr fontId="1" type="noConversion"/>
  </si>
  <si>
    <t>寻访</t>
    <phoneticPr fontId="1" type="noConversion"/>
  </si>
  <si>
    <t>多余门客转换</t>
    <phoneticPr fontId="1" type="noConversion"/>
  </si>
  <si>
    <t>经验消耗占比</t>
    <phoneticPr fontId="1" type="noConversion"/>
  </si>
  <si>
    <t>升级</t>
    <phoneticPr fontId="1" type="noConversion"/>
  </si>
  <si>
    <t>进修</t>
    <phoneticPr fontId="1" type="noConversion"/>
  </si>
  <si>
    <t xml:space="preserve"> </t>
    <phoneticPr fontId="1" type="noConversion"/>
  </si>
  <si>
    <t>付费投放</t>
  </si>
  <si>
    <t>门客溢出用于转换经验数量</t>
    <phoneticPr fontId="1" type="noConversion"/>
  </si>
  <si>
    <t>如果后续还有缺口，那么前面的暂时超出需求不算溢出</t>
    <phoneticPr fontId="1" type="noConversion"/>
  </si>
  <si>
    <t>门客六艺单值下限</t>
    <phoneticPr fontId="1" type="noConversion"/>
  </si>
  <si>
    <t>门客六艺单值上限</t>
    <phoneticPr fontId="1" type="noConversion"/>
  </si>
  <si>
    <t>门客六艺总值下限</t>
    <phoneticPr fontId="1" type="noConversion"/>
  </si>
  <si>
    <t>门客六艺总值上限</t>
    <phoneticPr fontId="1" type="noConversion"/>
  </si>
  <si>
    <t>六艺条数</t>
    <phoneticPr fontId="1" type="noConversion"/>
  </si>
  <si>
    <t>六艺生成逻辑：</t>
    <phoneticPr fontId="1" type="noConversion"/>
  </si>
  <si>
    <t>根据门客品质随机出相应条数六艺</t>
    <phoneticPr fontId="1" type="noConversion"/>
  </si>
  <si>
    <t>在六艺总值上下限之间随机出一个数值</t>
    <phoneticPr fontId="1" type="noConversion"/>
  </si>
  <si>
    <t>给每一条六艺赋予基础值</t>
    <phoneticPr fontId="1" type="noConversion"/>
  </si>
  <si>
    <t>随机给每一条六艺+1，直到该条六艺达到单值上限或总值消耗完毕</t>
    <phoneticPr fontId="1" type="noConversion"/>
  </si>
  <si>
    <t>期望六艺总值</t>
    <phoneticPr fontId="1" type="noConversion"/>
  </si>
  <si>
    <t>期望六艺总值需求</t>
    <phoneticPr fontId="1" type="noConversion"/>
  </si>
  <si>
    <t>需求对应品质门客数量</t>
    <phoneticPr fontId="1" type="noConversion"/>
  </si>
  <si>
    <t>累计完成任务数</t>
    <phoneticPr fontId="1" type="noConversion"/>
  </si>
  <si>
    <t>累计完成六艺条件数</t>
    <phoneticPr fontId="1" type="noConversion"/>
  </si>
  <si>
    <t>门客品质</t>
    <phoneticPr fontId="1" type="noConversion"/>
  </si>
  <si>
    <t>礼</t>
  </si>
  <si>
    <t>乐</t>
  </si>
  <si>
    <t>射</t>
  </si>
  <si>
    <t>御</t>
  </si>
  <si>
    <t>书</t>
  </si>
  <si>
    <t>数</t>
  </si>
  <si>
    <t>不同奇遇任务的触发奖励</t>
    <phoneticPr fontId="1" type="noConversion"/>
  </si>
  <si>
    <t>黄金</t>
    <phoneticPr fontId="1" type="noConversion"/>
  </si>
  <si>
    <t>触发奇遇需求完成对应任务次数</t>
    <phoneticPr fontId="1" type="noConversion"/>
  </si>
  <si>
    <t>奇遇任务等级</t>
    <phoneticPr fontId="1" type="noConversion"/>
  </si>
  <si>
    <t>六艺条件完成次数</t>
    <phoneticPr fontId="1" type="noConversion"/>
  </si>
  <si>
    <t>触发奇遇需求完成对应六艺条件次数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</si>
  <si>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</si>
  <si>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</si>
  <si>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</si>
  <si>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</si>
  <si>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</si>
  <si>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门客奖励期望</t>
    <phoneticPr fontId="1" type="noConversion"/>
  </si>
  <si>
    <t>黄金奖励期望</t>
    <phoneticPr fontId="1" type="noConversion"/>
  </si>
  <si>
    <t>寻访阶段产出门客</t>
    <phoneticPr fontId="1" type="noConversion"/>
  </si>
  <si>
    <t>寻访累计产出门客</t>
    <phoneticPr fontId="1" type="noConversion"/>
  </si>
  <si>
    <t>奇遇累计产出黄金</t>
    <phoneticPr fontId="1" type="noConversion"/>
  </si>
  <si>
    <t>奇遇累计产出门客</t>
    <phoneticPr fontId="1" type="noConversion"/>
  </si>
  <si>
    <t>定义等级对应三围加成</t>
    <phoneticPr fontId="1" type="noConversion"/>
  </si>
  <si>
    <t>等级</t>
    <phoneticPr fontId="1" type="noConversion"/>
  </si>
  <si>
    <t>门客等级对应累计实力</t>
    <phoneticPr fontId="1" type="noConversion"/>
  </si>
  <si>
    <t>门客特长品质对应阶段实力</t>
    <phoneticPr fontId="1" type="noConversion"/>
  </si>
  <si>
    <t>特长品质</t>
    <phoneticPr fontId="1" type="noConversion"/>
  </si>
  <si>
    <t>定义等级对应累计玩家实力加成</t>
    <phoneticPr fontId="1" type="noConversion"/>
  </si>
  <si>
    <t>品质对应特长实力阶段加成</t>
    <phoneticPr fontId="1" type="noConversion"/>
  </si>
  <si>
    <t>公式有差异不能右拉</t>
    <phoneticPr fontId="1" type="noConversion"/>
  </si>
  <si>
    <t>挂机时间/小时</t>
    <phoneticPr fontId="1" type="noConversion"/>
  </si>
  <si>
    <t>品质经验基础加成</t>
    <phoneticPr fontId="1" type="noConversion"/>
  </si>
  <si>
    <t>额外条件数值</t>
    <phoneticPr fontId="1" type="noConversion"/>
  </si>
  <si>
    <t>定义等级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</si>
  <si>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</si>
  <si>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</si>
  <si>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</si>
  <si>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</si>
  <si>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</si>
  <si>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等级对应奇遇累计黄金产出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</si>
</sst>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rgb="FFFF000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6" fillId="0" borderId="0"/>
    <xf numFmtId="0" fontId="7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3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9" fontId="2" fillId="0" borderId="0" xfId="3" applyFont="1" applyAlignment="1">
      <alignment horizontal="center" vertical="center"/>
    </xf>
    <xf numFmtId="9" fontId="2" fillId="0" borderId="2" xfId="3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3" fillId="0" borderId="2" xfId="1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3" fillId="0" borderId="2" xfId="3" applyFont="1" applyBorder="1" applyAlignment="1">
      <alignment horizontal="center" vertical="center"/>
    </xf>
    <xf numFmtId="9" fontId="3" fillId="0" borderId="2" xfId="1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176" fontId="2" fillId="0" borderId="0" xfId="0" applyNumberFormat="1" applyFont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1" applyFont="1" applyFill="1" applyBorder="1" applyAlignment="1">
      <alignment horizontal="center" vertical="center"/>
    </xf>
    <xf numFmtId="0" fontId="1" fillId="0" borderId="2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76" fontId="2" fillId="6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176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10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</cellXfs>
  <cellStyles count="4">
    <cellStyle name="百分比" xfId="3" builtinId="5"/>
    <cellStyle name="常规" xfId="0" builtinId="0"/>
    <cellStyle name="常规 2" xfId="1" xr:uid="{00000000-0005-0000-0000-000002000000}"/>
    <cellStyle name="超链接 2" xfId="2" xr:uid="{00000000-0005-0000-0000-000003000000}"/>
  </cellStyles>
  <dxfs count="0"/>
  <tableStyles count="0" defaultTableStyle="TableStyleMedium2" defaultPivotStyle="PivotStyleMedium9"/>
  <colors>
    <mruColors>
      <color rgb="FFFFA143"/>
      <color rgb="FFFA7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78;&#2431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9579;&#32773;&#20043;&#25112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15;&#2247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  <sheetName val="功能-分享和问卷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BJ6">
            <v>15</v>
          </cell>
          <cell r="CE6">
            <v>17</v>
          </cell>
        </row>
        <row r="7">
          <cell r="BJ7">
            <v>18</v>
          </cell>
          <cell r="CE7">
            <v>21</v>
          </cell>
        </row>
        <row r="8">
          <cell r="BJ8">
            <v>22</v>
          </cell>
          <cell r="CE8">
            <v>25</v>
          </cell>
        </row>
        <row r="9">
          <cell r="BJ9">
            <v>26</v>
          </cell>
          <cell r="CE9">
            <v>29</v>
          </cell>
        </row>
        <row r="10">
          <cell r="BJ10">
            <v>30</v>
          </cell>
          <cell r="CE10">
            <v>33</v>
          </cell>
        </row>
        <row r="11">
          <cell r="BJ11">
            <v>34</v>
          </cell>
          <cell r="CE11">
            <v>37</v>
          </cell>
        </row>
        <row r="12">
          <cell r="BJ12">
            <v>38</v>
          </cell>
          <cell r="CE12">
            <v>41</v>
          </cell>
        </row>
        <row r="13">
          <cell r="BJ13">
            <v>42</v>
          </cell>
          <cell r="CE13">
            <v>45</v>
          </cell>
        </row>
        <row r="14">
          <cell r="BJ14">
            <v>46</v>
          </cell>
          <cell r="CE14">
            <v>49</v>
          </cell>
        </row>
        <row r="15">
          <cell r="BJ15">
            <v>50</v>
          </cell>
          <cell r="CE15">
            <v>54</v>
          </cell>
        </row>
        <row r="16">
          <cell r="BJ16">
            <v>55</v>
          </cell>
          <cell r="CE16">
            <v>59</v>
          </cell>
        </row>
        <row r="17">
          <cell r="BJ17">
            <v>60</v>
          </cell>
          <cell r="CE17">
            <v>64</v>
          </cell>
        </row>
        <row r="18">
          <cell r="BJ18">
            <v>65</v>
          </cell>
          <cell r="CE18">
            <v>69</v>
          </cell>
        </row>
        <row r="19">
          <cell r="BJ19">
            <v>70</v>
          </cell>
          <cell r="CE19">
            <v>74</v>
          </cell>
        </row>
        <row r="20">
          <cell r="BJ20">
            <v>75</v>
          </cell>
          <cell r="CE20">
            <v>79</v>
          </cell>
        </row>
        <row r="21">
          <cell r="BJ21">
            <v>80</v>
          </cell>
          <cell r="CE21">
            <v>80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5">
          <cell r="U5">
            <v>10000</v>
          </cell>
        </row>
      </sheetData>
      <sheetData sheetId="26">
        <row r="4">
          <cell r="K4">
            <v>1</v>
          </cell>
          <cell r="L4">
            <v>1040.835041035225</v>
          </cell>
          <cell r="M4">
            <v>1168.9514075544139</v>
          </cell>
          <cell r="N4">
            <v>1452.2170921747929</v>
          </cell>
          <cell r="O4">
            <v>2510.7420810943149</v>
          </cell>
          <cell r="P4">
            <v>3045.4163259050983</v>
          </cell>
        </row>
        <row r="5">
          <cell r="K5">
            <v>2</v>
          </cell>
          <cell r="L5">
            <v>2156.374416894656</v>
          </cell>
          <cell r="M5">
            <v>2445.0611126582735</v>
          </cell>
          <cell r="N5">
            <v>3068.6811642890971</v>
          </cell>
          <cell r="O5">
            <v>5380.4252587438386</v>
          </cell>
          <cell r="P5">
            <v>6628.3383907346288</v>
          </cell>
        </row>
        <row r="6">
          <cell r="K6">
            <v>3</v>
          </cell>
          <cell r="L6">
            <v>3351.9799163550924</v>
          </cell>
          <cell r="M6">
            <v>3828.7490927985655</v>
          </cell>
          <cell r="N6">
            <v>4848.3388704559402</v>
          </cell>
          <cell r="O6">
            <v>8568.4271495352878</v>
          </cell>
          <cell r="P6">
            <v>10613.278588731744</v>
          </cell>
        </row>
        <row r="7">
          <cell r="K7">
            <v>4</v>
          </cell>
          <cell r="L7">
            <v>4633.3981623392356</v>
          </cell>
          <cell r="M7">
            <v>5317.4178485010689</v>
          </cell>
          <cell r="N7">
            <v>6773.2179808691108</v>
          </cell>
          <cell r="O7">
            <v>12026.203100390187</v>
          </cell>
          <cell r="P7">
            <v>15024.65547902332</v>
          </cell>
        </row>
        <row r="8">
          <cell r="K8">
            <v>5</v>
          </cell>
          <cell r="L8">
            <v>6006.7882327948482</v>
          </cell>
          <cell r="M8">
            <v>6890.3194072293518</v>
          </cell>
          <cell r="N8">
            <v>8791.1622092020007</v>
          </cell>
          <cell r="O8">
            <v>15638.775498799143</v>
          </cell>
          <cell r="P8">
            <v>19574.371397395094</v>
          </cell>
        </row>
        <row r="9">
          <cell r="K9">
            <v>6</v>
          </cell>
          <cell r="L9">
            <v>7478.7512640200202</v>
          </cell>
          <cell r="M9">
            <v>8590.8915374402568</v>
          </cell>
          <cell r="N9">
            <v>10971.054226523374</v>
          </cell>
          <cell r="O9">
            <v>19602.187931548884</v>
          </cell>
          <cell r="P9">
            <v>24730.552218563884</v>
          </cell>
        </row>
        <row r="10">
          <cell r="K10">
            <v>7</v>
          </cell>
          <cell r="L10">
            <v>9056.3621787216434</v>
          </cell>
          <cell r="M10">
            <v>10443.397445751798</v>
          </cell>
          <cell r="N10">
            <v>13372.602223250004</v>
          </cell>
          <cell r="O10">
            <v>23847.860572220146</v>
          </cell>
          <cell r="P10">
            <v>29846.900469614717</v>
          </cell>
        </row>
        <row r="11">
          <cell r="K11">
            <v>8</v>
          </cell>
          <cell r="L11">
            <v>10747.203691306449</v>
          </cell>
          <cell r="M11">
            <v>12335.241753294831</v>
          </cell>
          <cell r="N11">
            <v>15694.426400842287</v>
          </cell>
          <cell r="O11">
            <v>27889.162916099172</v>
          </cell>
          <cell r="P11">
            <v>34995.51148943085</v>
          </cell>
        </row>
        <row r="12">
          <cell r="K12">
            <v>9</v>
          </cell>
          <cell r="L12">
            <v>12559.402753849572</v>
          </cell>
          <cell r="M12">
            <v>14410.136663622912</v>
          </cell>
          <cell r="N12">
            <v>18405.361766949645</v>
          </cell>
          <cell r="O12">
            <v>32952.200165292699</v>
          </cell>
          <cell r="P12">
            <v>41453.729804028262</v>
          </cell>
        </row>
        <row r="13">
          <cell r="K13">
            <v>10</v>
          </cell>
          <cell r="L13">
            <v>14501.669617916437</v>
          </cell>
          <cell r="M13">
            <v>16712.90990833447</v>
          </cell>
          <cell r="N13">
            <v>21406.920453879597</v>
          </cell>
          <cell r="O13">
            <v>38510.450786271111</v>
          </cell>
          <cell r="P13">
            <v>48829.553574009988</v>
          </cell>
        </row>
        <row r="14">
          <cell r="K14">
            <v>11</v>
          </cell>
          <cell r="L14">
            <v>15726.076164537446</v>
          </cell>
          <cell r="M14">
            <v>19167.892841191657</v>
          </cell>
          <cell r="N14">
            <v>24667.987800292423</v>
          </cell>
          <cell r="O14">
            <v>44364.522942034891</v>
          </cell>
          <cell r="P14">
            <v>56779.072060653169</v>
          </cell>
        </row>
        <row r="15">
          <cell r="K15">
            <v>12</v>
          </cell>
          <cell r="L15">
            <v>17038.362608561554</v>
          </cell>
          <cell r="M15">
            <v>20825.048291306714</v>
          </cell>
          <cell r="N15">
            <v>28123.706794598067</v>
          </cell>
          <cell r="O15">
            <v>51022.978650687284</v>
          </cell>
          <cell r="P15">
            <v>65345.523235560933</v>
          </cell>
        </row>
        <row r="16">
          <cell r="K16">
            <v>13</v>
          </cell>
          <cell r="L16">
            <v>18444.836394512706</v>
          </cell>
          <cell r="M16">
            <v>22522.535670001602</v>
          </cell>
          <cell r="N16">
            <v>31563.033799916746</v>
          </cell>
          <cell r="O16">
            <v>58217.556541480983</v>
          </cell>
          <cell r="P16">
            <v>74826.695848425647</v>
          </cell>
        </row>
        <row r="17">
          <cell r="K17">
            <v>14</v>
          </cell>
          <cell r="L17">
            <v>19952.257674048102</v>
          </cell>
          <cell r="M17">
            <v>24227.181037351893</v>
          </cell>
          <cell r="N17">
            <v>33754.396140102763</v>
          </cell>
          <cell r="O17">
            <v>65190.377600126143</v>
          </cell>
          <cell r="P17">
            <v>83664.921462532249</v>
          </cell>
        </row>
        <row r="18">
          <cell r="K18">
            <v>15</v>
          </cell>
          <cell r="L18">
            <v>21567.871798316643</v>
          </cell>
          <cell r="M18">
            <v>26100.525893686823</v>
          </cell>
          <cell r="N18">
            <v>36178.552658079228</v>
          </cell>
          <cell r="O18">
            <v>73118.515216453117</v>
          </cell>
          <cell r="P18">
            <v>94215.933727436743</v>
          </cell>
        </row>
        <row r="19">
          <cell r="K19">
            <v>16</v>
          </cell>
          <cell r="L19">
            <v>23299.444142406479</v>
          </cell>
          <cell r="M19">
            <v>28126.140963708571</v>
          </cell>
          <cell r="N19">
            <v>38754.105595914298</v>
          </cell>
          <cell r="O19">
            <v>79658.045062188001</v>
          </cell>
          <cell r="P19">
            <v>106274.06990245648</v>
          </cell>
        </row>
        <row r="20">
          <cell r="K20">
            <v>17</v>
          </cell>
          <cell r="L20">
            <v>25155.29742926373</v>
          </cell>
          <cell r="M20">
            <v>30214.386223092777</v>
          </cell>
          <cell r="N20">
            <v>41393.097983093241</v>
          </cell>
          <cell r="O20">
            <v>84395.104267291987</v>
          </cell>
          <cell r="P20">
            <v>116732.01363545773</v>
          </cell>
        </row>
        <row r="21">
          <cell r="K21">
            <v>18</v>
          </cell>
          <cell r="L21">
            <v>27144.351732478088</v>
          </cell>
          <cell r="M21">
            <v>32567.635248777504</v>
          </cell>
          <cell r="N21">
            <v>44521.732522196733</v>
          </cell>
          <cell r="O21">
            <v>89977.143341197036</v>
          </cell>
          <cell r="P21">
            <v>129678.5182875696</v>
          </cell>
        </row>
        <row r="22">
          <cell r="K22">
            <v>19</v>
          </cell>
          <cell r="L22">
            <v>29276.167350206852</v>
          </cell>
          <cell r="M22">
            <v>35074.898336608647</v>
          </cell>
          <cell r="N22">
            <v>47709.656421677602</v>
          </cell>
          <cell r="O22">
            <v>95580.499402156187</v>
          </cell>
          <cell r="P22">
            <v>143468.1581316232</v>
          </cell>
        </row>
        <row r="23">
          <cell r="K23">
            <v>20</v>
          </cell>
          <cell r="L23">
            <v>31560.990756308958</v>
          </cell>
          <cell r="M23">
            <v>37677.85890001012</v>
          </cell>
          <cell r="N23">
            <v>50971.775536819776</v>
          </cell>
          <cell r="O23">
            <v>101504.66492547667</v>
          </cell>
          <cell r="P23">
            <v>157266.19395963172</v>
          </cell>
        </row>
        <row r="24">
          <cell r="K24">
            <v>21</v>
          </cell>
          <cell r="L24">
            <v>34009.803849550975</v>
          </cell>
          <cell r="M24">
            <v>40482.974438534104</v>
          </cell>
          <cell r="N24">
            <v>54641.636173264473</v>
          </cell>
          <cell r="O24">
            <v>108100.412287677</v>
          </cell>
          <cell r="P24">
            <v>173667.51590922949</v>
          </cell>
        </row>
        <row r="25">
          <cell r="K25">
            <v>22</v>
          </cell>
          <cell r="L25">
            <v>36634.376737599181</v>
          </cell>
          <cell r="M25">
            <v>43561.271213555854</v>
          </cell>
          <cell r="N25">
            <v>58641.554051869723</v>
          </cell>
          <cell r="O25">
            <v>115316.37774460955</v>
          </cell>
          <cell r="P25">
            <v>185363.73475842547</v>
          </cell>
        </row>
        <row r="26">
          <cell r="K26">
            <v>23</v>
          </cell>
          <cell r="L26">
            <v>39447.324309501484</v>
          </cell>
          <cell r="M26">
            <v>46769.728312955136</v>
          </cell>
          <cell r="N26">
            <v>62697.901915471855</v>
          </cell>
          <cell r="O26">
            <v>122561.49803839554</v>
          </cell>
          <cell r="P26">
            <v>194255.8999611715</v>
          </cell>
        </row>
        <row r="27">
          <cell r="K27">
            <v>24</v>
          </cell>
          <cell r="L27">
            <v>42462.166868572283</v>
          </cell>
          <cell r="M27">
            <v>50311.479744375174</v>
          </cell>
          <cell r="N27">
            <v>67313.780674291833</v>
          </cell>
          <cell r="O27">
            <v>130763.11545599645</v>
          </cell>
          <cell r="P27">
            <v>204715.41420967627</v>
          </cell>
        </row>
        <row r="28">
          <cell r="K28">
            <v>25</v>
          </cell>
          <cell r="L28">
            <v>45693.395117109379</v>
          </cell>
          <cell r="M28">
            <v>54072.966570293283</v>
          </cell>
          <cell r="N28">
            <v>72125.668911170214</v>
          </cell>
          <cell r="O28">
            <v>139369.75079341503</v>
          </cell>
          <cell r="P28">
            <v>215425.57532037748</v>
          </cell>
        </row>
        <row r="29">
          <cell r="K29">
            <v>26</v>
          </cell>
          <cell r="L29">
            <v>49156.539805289045</v>
          </cell>
          <cell r="M29">
            <v>58079.59664807489</v>
          </cell>
          <cell r="N29">
            <v>77252.463396304316</v>
          </cell>
          <cell r="O29">
            <v>148350.10032860559</v>
          </cell>
          <cell r="P29">
            <v>226939.46229293998</v>
          </cell>
        </row>
        <row r="30">
          <cell r="K30">
            <v>27</v>
          </cell>
          <cell r="L30">
            <v>52868.246379003547</v>
          </cell>
          <cell r="M30">
            <v>62368.728153745236</v>
          </cell>
          <cell r="N30">
            <v>82720.102977940507</v>
          </cell>
          <cell r="O30">
            <v>158008.53114752041</v>
          </cell>
          <cell r="P30">
            <v>239429.10662795004</v>
          </cell>
        </row>
        <row r="31">
          <cell r="K31">
            <v>28</v>
          </cell>
          <cell r="L31">
            <v>56846.354985432248</v>
          </cell>
          <cell r="M31">
            <v>66925.865677337453</v>
          </cell>
          <cell r="N31">
            <v>88432.92874273815</v>
          </cell>
          <cell r="O31">
            <v>168325.96524921531</v>
          </cell>
          <cell r="P31">
            <v>253395.86369261745</v>
          </cell>
        </row>
        <row r="32">
          <cell r="K32">
            <v>29</v>
          </cell>
          <cell r="L32">
            <v>61109.986220889768</v>
          </cell>
          <cell r="M32">
            <v>71909.142689994362</v>
          </cell>
          <cell r="N32">
            <v>95016.451060014617</v>
          </cell>
          <cell r="O32">
            <v>180461.82121345436</v>
          </cell>
          <cell r="P32">
            <v>269111.83298230742</v>
          </cell>
        </row>
        <row r="33">
          <cell r="K33">
            <v>30</v>
          </cell>
          <cell r="L33">
            <v>65679.633033093996</v>
          </cell>
          <cell r="M33">
            <v>77224.619202126982</v>
          </cell>
          <cell r="N33">
            <v>101868.20683164423</v>
          </cell>
          <cell r="O33">
            <v>192673.12621450244</v>
          </cell>
          <cell r="P33">
            <v>284936.53992411529</v>
          </cell>
        </row>
        <row r="34">
          <cell r="K34">
            <v>31</v>
          </cell>
          <cell r="L34">
            <v>68946.414422100366</v>
          </cell>
          <cell r="M34">
            <v>82976.621326828375</v>
          </cell>
          <cell r="N34">
            <v>109247.3323915014</v>
          </cell>
          <cell r="O34">
            <v>205710.63853714615</v>
          </cell>
          <cell r="P34">
            <v>302074.36877897341</v>
          </cell>
        </row>
        <row r="35">
          <cell r="K35">
            <v>32</v>
          </cell>
          <cell r="L35">
            <v>72447.664022744866</v>
          </cell>
          <cell r="M35">
            <v>88592.190927420321</v>
          </cell>
          <cell r="N35">
            <v>117010.28548958738</v>
          </cell>
          <cell r="O35">
            <v>219761.63126870093</v>
          </cell>
          <cell r="P35">
            <v>320093.55226307816</v>
          </cell>
        </row>
        <row r="36">
          <cell r="K36">
            <v>33</v>
          </cell>
          <cell r="L36">
            <v>76200.210430431442</v>
          </cell>
          <cell r="M36">
            <v>93105.444599275739</v>
          </cell>
          <cell r="N36">
            <v>125127.57264337523</v>
          </cell>
          <cell r="O36">
            <v>234538.11192016784</v>
          </cell>
          <cell r="P36">
            <v>339163.99620031868</v>
          </cell>
        </row>
        <row r="37">
          <cell r="K37">
            <v>34</v>
          </cell>
          <cell r="L37">
            <v>80222.090087125791</v>
          </cell>
          <cell r="M37">
            <v>98093.047869989445</v>
          </cell>
          <cell r="N37">
            <v>134277.1711699669</v>
          </cell>
          <cell r="O37">
            <v>251090.37437911981</v>
          </cell>
          <cell r="P37">
            <v>360241.1122185922</v>
          </cell>
        </row>
        <row r="38">
          <cell r="K38">
            <v>35</v>
          </cell>
          <cell r="L38">
            <v>84532.633972685391</v>
          </cell>
          <cell r="M38">
            <v>103523.74514549437</v>
          </cell>
          <cell r="N38">
            <v>142372.47416216935</v>
          </cell>
          <cell r="O38">
            <v>268448.34019889223</v>
          </cell>
          <cell r="P38">
            <v>382381.44736431562</v>
          </cell>
        </row>
        <row r="39">
          <cell r="K39">
            <v>36</v>
          </cell>
          <cell r="L39">
            <v>89152.560518326238</v>
          </cell>
          <cell r="M39">
            <v>109335.54990863096</v>
          </cell>
          <cell r="N39">
            <v>150359.62152258429</v>
          </cell>
          <cell r="O39">
            <v>286554.8936392396</v>
          </cell>
          <cell r="P39">
            <v>404401.79423212062</v>
          </cell>
        </row>
        <row r="40">
          <cell r="K40">
            <v>37</v>
          </cell>
          <cell r="L40">
            <v>94104.075188811068</v>
          </cell>
          <cell r="M40">
            <v>115437.50342372782</v>
          </cell>
          <cell r="N40">
            <v>158902.39405592703</v>
          </cell>
          <cell r="O40">
            <v>305380.95462916966</v>
          </cell>
          <cell r="P40">
            <v>429602.48382192344</v>
          </cell>
        </row>
        <row r="41">
          <cell r="K41">
            <v>38</v>
          </cell>
          <cell r="L41">
            <v>99410.977211995836</v>
          </cell>
          <cell r="M41">
            <v>121954.14984730988</v>
          </cell>
          <cell r="N41">
            <v>167791.16136745675</v>
          </cell>
          <cell r="O41">
            <v>325595.23906733689</v>
          </cell>
          <cell r="P41">
            <v>455738.67921687185</v>
          </cell>
        </row>
        <row r="42">
          <cell r="K42">
            <v>39</v>
          </cell>
          <cell r="L42">
            <v>105098.77396872545</v>
          </cell>
          <cell r="M42">
            <v>128844.40872083814</v>
          </cell>
          <cell r="N42">
            <v>177293.07114321354</v>
          </cell>
          <cell r="O42">
            <v>345267.62017907808</v>
          </cell>
          <cell r="P42">
            <v>484619.14708949189</v>
          </cell>
        </row>
        <row r="43">
          <cell r="K43">
            <v>40</v>
          </cell>
          <cell r="L43">
            <v>111194.66475055939</v>
          </cell>
          <cell r="M43">
            <v>136193.0538694</v>
          </cell>
          <cell r="N43">
            <v>187736.78519743646</v>
          </cell>
          <cell r="O43">
            <v>366453.62565543572</v>
          </cell>
          <cell r="P43">
            <v>516440.86062535236</v>
          </cell>
        </row>
        <row r="44">
          <cell r="K44">
            <v>41</v>
          </cell>
          <cell r="L44">
            <v>117728.0680854571</v>
          </cell>
          <cell r="M44">
            <v>144286.94550351414</v>
          </cell>
          <cell r="N44">
            <v>199189.29368187545</v>
          </cell>
          <cell r="O44">
            <v>389367.92493179109</v>
          </cell>
          <cell r="P44">
            <v>551240.41832300276</v>
          </cell>
        </row>
        <row r="45">
          <cell r="K45">
            <v>42</v>
          </cell>
          <cell r="L45">
            <v>124730.39639984665</v>
          </cell>
          <cell r="M45">
            <v>153038.26516565747</v>
          </cell>
          <cell r="N45">
            <v>211811.50273130697</v>
          </cell>
          <cell r="O45">
            <v>414607.76734107314</v>
          </cell>
          <cell r="P45">
            <v>588663.34367313969</v>
          </cell>
        </row>
        <row r="46">
          <cell r="K46">
            <v>43</v>
          </cell>
          <cell r="L46">
            <v>132235.30606317584</v>
          </cell>
          <cell r="M46">
            <v>162094.50350397083</v>
          </cell>
          <cell r="N46">
            <v>224924.38373098284</v>
          </cell>
          <cell r="O46">
            <v>440056.78055408294</v>
          </cell>
          <cell r="P46">
            <v>626380.61364181258</v>
          </cell>
        </row>
        <row r="47">
          <cell r="K47">
            <v>44</v>
          </cell>
          <cell r="L47">
            <v>140278.86907906426</v>
          </cell>
          <cell r="M47">
            <v>171771.55840970713</v>
          </cell>
          <cell r="N47">
            <v>238274.6932228136</v>
          </cell>
          <cell r="O47">
            <v>467305.28448905109</v>
          </cell>
          <cell r="P47">
            <v>666359.52900459396</v>
          </cell>
        </row>
        <row r="48">
          <cell r="K48">
            <v>45</v>
          </cell>
          <cell r="L48">
            <v>148899.74646373183</v>
          </cell>
          <cell r="M48">
            <v>182160.11020518572</v>
          </cell>
          <cell r="N48">
            <v>252129.42597476879</v>
          </cell>
          <cell r="O48">
            <v>496638.23900656134</v>
          </cell>
          <cell r="P48">
            <v>709324.66893442092</v>
          </cell>
        </row>
        <row r="49">
          <cell r="K49">
            <v>46</v>
          </cell>
          <cell r="L49">
            <v>158139.3740683978</v>
          </cell>
          <cell r="M49">
            <v>193204.54620878515</v>
          </cell>
          <cell r="N49">
            <v>266878.49825077143</v>
          </cell>
          <cell r="O49">
            <v>527718.99474196602</v>
          </cell>
          <cell r="P49">
            <v>753272.6078759908</v>
          </cell>
        </row>
        <row r="50">
          <cell r="K50">
            <v>47</v>
          </cell>
          <cell r="L50">
            <v>168042.16173879663</v>
          </cell>
          <cell r="M50">
            <v>205055.5776799398</v>
          </cell>
          <cell r="N50">
            <v>282731.54881384032</v>
          </cell>
          <cell r="O50">
            <v>560893.19390363805</v>
          </cell>
          <cell r="P50">
            <v>796206.61137623014</v>
          </cell>
        </row>
        <row r="51">
          <cell r="K51">
            <v>48</v>
          </cell>
          <cell r="L51">
            <v>178655.70676906168</v>
          </cell>
          <cell r="M51">
            <v>217605.37966176262</v>
          </cell>
          <cell r="N51">
            <v>299776.2635994812</v>
          </cell>
          <cell r="O51">
            <v>593950.98405621317</v>
          </cell>
          <cell r="P51">
            <v>841310.2743151118</v>
          </cell>
        </row>
        <row r="52">
          <cell r="K52">
            <v>49</v>
          </cell>
          <cell r="L52">
            <v>190031.02267593372</v>
          </cell>
          <cell r="M52">
            <v>231243.13855378734</v>
          </cell>
          <cell r="N52">
            <v>317553.92435627885</v>
          </cell>
          <cell r="O52">
            <v>626750.12164847367</v>
          </cell>
          <cell r="P52">
            <v>892414.11980283039</v>
          </cell>
        </row>
        <row r="53">
          <cell r="K53">
            <v>50</v>
          </cell>
          <cell r="L53">
            <v>202460.77150011496</v>
          </cell>
          <cell r="M53">
            <v>245882.27466174675</v>
          </cell>
          <cell r="N53">
            <v>336559.39382662793</v>
          </cell>
          <cell r="O53">
            <v>663473.9316090222</v>
          </cell>
          <cell r="P53">
            <v>948227.08385455236</v>
          </cell>
        </row>
        <row r="54">
          <cell r="K54">
            <v>51</v>
          </cell>
          <cell r="L54">
            <v>216074.17524910433</v>
          </cell>
          <cell r="M54">
            <v>260711.40774225458</v>
          </cell>
          <cell r="N54">
            <v>356749.68966652756</v>
          </cell>
          <cell r="O54">
            <v>702903.98769564752</v>
          </cell>
          <cell r="P54">
            <v>1005477.6594224552</v>
          </cell>
        </row>
        <row r="55">
          <cell r="K55">
            <v>52</v>
          </cell>
          <cell r="L55">
            <v>230664.66012206342</v>
          </cell>
          <cell r="M55">
            <v>277972.32144470641</v>
          </cell>
          <cell r="N55">
            <v>380062.26944797102</v>
          </cell>
          <cell r="O55">
            <v>747009.57279136905</v>
          </cell>
          <cell r="P55">
            <v>1068551.1820132434</v>
          </cell>
        </row>
        <row r="56">
          <cell r="K56">
            <v>53</v>
          </cell>
          <cell r="L56">
            <v>246302.35461443799</v>
          </cell>
          <cell r="M56">
            <v>297217.18069448252</v>
          </cell>
          <cell r="N56">
            <v>405306.9067153121</v>
          </cell>
          <cell r="O56">
            <v>792622.34259208362</v>
          </cell>
          <cell r="P56">
            <v>1135459.396298388</v>
          </cell>
        </row>
        <row r="57">
          <cell r="K57">
            <v>54</v>
          </cell>
          <cell r="L57">
            <v>263062.42058661516</v>
          </cell>
          <cell r="M57">
            <v>317876.59517674573</v>
          </cell>
          <cell r="N57">
            <v>430546.85723958787</v>
          </cell>
          <cell r="O57">
            <v>840000.76122888306</v>
          </cell>
          <cell r="P57">
            <v>1202786.3389670113</v>
          </cell>
        </row>
        <row r="58">
          <cell r="K58">
            <v>55</v>
          </cell>
          <cell r="L58">
            <v>281025.41452595219</v>
          </cell>
          <cell r="M58">
            <v>339074.62393771962</v>
          </cell>
          <cell r="N58">
            <v>458379.31501573889</v>
          </cell>
          <cell r="O58">
            <v>889920.63455856242</v>
          </cell>
          <cell r="P58">
            <v>1275311.0814513923</v>
          </cell>
        </row>
        <row r="59">
          <cell r="K59">
            <v>56</v>
          </cell>
          <cell r="L59">
            <v>300277.67473783367</v>
          </cell>
          <cell r="M59">
            <v>361563.95766727335</v>
          </cell>
          <cell r="N59">
            <v>488642.52439504786</v>
          </cell>
          <cell r="O59">
            <v>943383.18795575271</v>
          </cell>
          <cell r="P59">
            <v>1353079.0087540871</v>
          </cell>
        </row>
        <row r="60">
          <cell r="K60">
            <v>57</v>
          </cell>
          <cell r="L60">
            <v>320911.7363267719</v>
          </cell>
          <cell r="M60">
            <v>386451.12367402425</v>
          </cell>
          <cell r="N60">
            <v>521344.67212707683</v>
          </cell>
          <cell r="O60">
            <v>1000986.8548422724</v>
          </cell>
          <cell r="P60">
            <v>1430244.5659359123</v>
          </cell>
        </row>
        <row r="61">
          <cell r="K61">
            <v>58</v>
          </cell>
          <cell r="L61">
            <v>343026.77596213506</v>
          </cell>
          <cell r="M61">
            <v>412278.30425887648</v>
          </cell>
          <cell r="N61">
            <v>556337.6110908431</v>
          </cell>
          <cell r="O61">
            <v>1063628.1509771484</v>
          </cell>
          <cell r="P61">
            <v>1510607.0006319527</v>
          </cell>
        </row>
        <row r="62">
          <cell r="K62">
            <v>59</v>
          </cell>
          <cell r="L62">
            <v>366729.08856625599</v>
          </cell>
          <cell r="M62">
            <v>440817.20879392774</v>
          </cell>
          <cell r="N62">
            <v>594256.38754723337</v>
          </cell>
          <cell r="O62">
            <v>1131681.7094343728</v>
          </cell>
          <cell r="P62">
            <v>1599206.7074256099</v>
          </cell>
        </row>
        <row r="63">
          <cell r="K63">
            <v>60</v>
          </cell>
          <cell r="L63">
            <v>392132.59821609186</v>
          </cell>
          <cell r="M63">
            <v>470740.0183985075</v>
          </cell>
          <cell r="N63">
            <v>634527.87920609</v>
          </cell>
          <cell r="O63">
            <v>1208423.1067335366</v>
          </cell>
          <cell r="P63">
            <v>1697504.3112048719</v>
          </cell>
        </row>
        <row r="64">
          <cell r="K64">
            <v>61</v>
          </cell>
          <cell r="L64">
            <v>419359.40571407066</v>
          </cell>
          <cell r="M64">
            <v>503599.80796600773</v>
          </cell>
          <cell r="N64">
            <v>678452.78549535968</v>
          </cell>
          <cell r="O64">
            <v>1292710.6435888133</v>
          </cell>
          <cell r="P64">
            <v>1799904.8510779799</v>
          </cell>
        </row>
        <row r="65">
          <cell r="K65">
            <v>62</v>
          </cell>
          <cell r="L65">
            <v>448540.37545998866</v>
          </cell>
          <cell r="M65">
            <v>538418.19758123276</v>
          </cell>
          <cell r="N65">
            <v>726018.8056215453</v>
          </cell>
          <cell r="O65">
            <v>1383875.3232681956</v>
          </cell>
          <cell r="P65">
            <v>1917457.7014228147</v>
          </cell>
        </row>
        <row r="66">
          <cell r="K66">
            <v>63</v>
          </cell>
          <cell r="L66">
            <v>479815.76444473793</v>
          </cell>
          <cell r="M66">
            <v>576360.36893851194</v>
          </cell>
          <cell r="N66">
            <v>776825.22432911792</v>
          </cell>
          <cell r="O66">
            <v>1482526.7148168012</v>
          </cell>
          <cell r="P66">
            <v>2039177.9895627568</v>
          </cell>
        </row>
        <row r="67">
          <cell r="K67">
            <v>64</v>
          </cell>
          <cell r="L67">
            <v>513335.89638909214</v>
          </cell>
          <cell r="M67">
            <v>616784.94431292021</v>
          </cell>
          <cell r="N67">
            <v>831863.44967939856</v>
          </cell>
          <cell r="O67">
            <v>1588458.1835041833</v>
          </cell>
          <cell r="P67">
            <v>2165988.598774923</v>
          </cell>
        </row>
        <row r="68">
          <cell r="K68">
            <v>65</v>
          </cell>
          <cell r="L68">
            <v>549261.88426776615</v>
          </cell>
          <cell r="M68">
            <v>659832.42779441259</v>
          </cell>
          <cell r="N68">
            <v>891641.57990938867</v>
          </cell>
          <cell r="O68">
            <v>1700335.3216925128</v>
          </cell>
          <cell r="P68">
            <v>2293557.4453785233</v>
          </cell>
        </row>
        <row r="69">
          <cell r="K69">
            <v>66</v>
          </cell>
          <cell r="L69">
            <v>578193.08271131397</v>
          </cell>
          <cell r="M69">
            <v>706593.98857294978</v>
          </cell>
          <cell r="N69">
            <v>954799.36016067839</v>
          </cell>
          <cell r="O69">
            <v>1812975.3181423638</v>
          </cell>
          <cell r="P69">
            <v>2437037.9805586222</v>
          </cell>
        </row>
        <row r="70">
          <cell r="K70">
            <v>67</v>
          </cell>
          <cell r="L70">
            <v>608363.08854293334</v>
          </cell>
          <cell r="M70">
            <v>756752.16475218767</v>
          </cell>
          <cell r="N70">
            <v>1019495.24370119</v>
          </cell>
          <cell r="O70">
            <v>1933617.4907177035</v>
          </cell>
          <cell r="P70">
            <v>2587472.4826778704</v>
          </cell>
        </row>
        <row r="71">
          <cell r="K71">
            <v>68</v>
          </cell>
          <cell r="L71">
            <v>640698.50015782821</v>
          </cell>
          <cell r="M71">
            <v>798698.62074769591</v>
          </cell>
          <cell r="N71">
            <v>1086291.8347718469</v>
          </cell>
          <cell r="O71">
            <v>2065550.2044772638</v>
          </cell>
          <cell r="P71">
            <v>2755779.4978033509</v>
          </cell>
        </row>
        <row r="72">
          <cell r="K72">
            <v>69</v>
          </cell>
          <cell r="L72">
            <v>675354.73622686043</v>
          </cell>
          <cell r="M72">
            <v>841761.11998430872</v>
          </cell>
          <cell r="N72">
            <v>1162321.1518883156</v>
          </cell>
          <cell r="O72">
            <v>2209174.7280686991</v>
          </cell>
          <cell r="P72">
            <v>2936634.1956873862</v>
          </cell>
        </row>
        <row r="73">
          <cell r="K73">
            <v>70</v>
          </cell>
          <cell r="L73">
            <v>712498.37035704229</v>
          </cell>
          <cell r="M73">
            <v>889838.56388145185</v>
          </cell>
          <cell r="N73">
            <v>1245802.878406188</v>
          </cell>
          <cell r="O73">
            <v>2362132.4260761165</v>
          </cell>
          <cell r="P73">
            <v>3137135.8133194884</v>
          </cell>
        </row>
        <row r="74">
          <cell r="K74">
            <v>71</v>
          </cell>
          <cell r="L74">
            <v>752307.9317199284</v>
          </cell>
          <cell r="M74">
            <v>941823.5683095007</v>
          </cell>
          <cell r="N74">
            <v>1320572.1026993566</v>
          </cell>
          <cell r="O74">
            <v>2525432.6795643969</v>
          </cell>
          <cell r="P74">
            <v>3352995.1112255133</v>
          </cell>
        </row>
        <row r="75">
          <cell r="K75">
            <v>72</v>
          </cell>
          <cell r="L75">
            <v>794974.76314387983</v>
          </cell>
          <cell r="M75">
            <v>996931.87662420981</v>
          </cell>
          <cell r="N75">
            <v>1398313.4510641582</v>
          </cell>
          <cell r="O75">
            <v>2698719.929154498</v>
          </cell>
          <cell r="P75">
            <v>3580665.6498166975</v>
          </cell>
        </row>
        <row r="76">
          <cell r="K76">
            <v>73</v>
          </cell>
          <cell r="L76">
            <v>840703.94079458085</v>
          </cell>
          <cell r="M76">
            <v>1053882.5115484819</v>
          </cell>
          <cell r="N76">
            <v>1482149.0736799857</v>
          </cell>
          <cell r="O76">
            <v>2885748.0618788595</v>
          </cell>
          <cell r="P76">
            <v>3825614.4364031143</v>
          </cell>
        </row>
        <row r="77">
          <cell r="K77">
            <v>74</v>
          </cell>
          <cell r="L77">
            <v>889715.25986420969</v>
          </cell>
          <cell r="M77">
            <v>1116722.1855716594</v>
          </cell>
          <cell r="N77">
            <v>1575901.0191297359</v>
          </cell>
          <cell r="O77">
            <v>3091811.3126886017</v>
          </cell>
          <cell r="P77">
            <v>4096141.9052127399</v>
          </cell>
        </row>
        <row r="78">
          <cell r="K78">
            <v>75</v>
          </cell>
          <cell r="L78">
            <v>942235.66947868746</v>
          </cell>
          <cell r="M78">
            <v>1184984.7647291548</v>
          </cell>
          <cell r="N78">
            <v>1676078.8728202805</v>
          </cell>
          <cell r="O78">
            <v>3306015.4898633086</v>
          </cell>
          <cell r="P78">
            <v>4390824.7863592003</v>
          </cell>
        </row>
        <row r="79">
          <cell r="K79">
            <v>76</v>
          </cell>
          <cell r="L79">
            <v>992741.84678232833</v>
          </cell>
          <cell r="M79">
            <v>1257326.3321354499</v>
          </cell>
          <cell r="N79">
            <v>1781532.1387018331</v>
          </cell>
          <cell r="O79">
            <v>3529278.8456289577</v>
          </cell>
          <cell r="P79">
            <v>4712060.6303917561</v>
          </cell>
        </row>
        <row r="80">
          <cell r="K80">
            <v>77</v>
          </cell>
          <cell r="L80">
            <v>1046873.0273105236</v>
          </cell>
          <cell r="M80">
            <v>1335651.5004051947</v>
          </cell>
          <cell r="N80">
            <v>1897133.2691686742</v>
          </cell>
          <cell r="O80">
            <v>3770826.6917057256</v>
          </cell>
          <cell r="P80">
            <v>5030178.8351574987</v>
          </cell>
        </row>
        <row r="81">
          <cell r="K81">
            <v>78</v>
          </cell>
          <cell r="L81">
            <v>1104889.3900964044</v>
          </cell>
          <cell r="M81">
            <v>1413024.9283677761</v>
          </cell>
          <cell r="N81">
            <v>2020657.7774502486</v>
          </cell>
          <cell r="O81">
            <v>4024296.7740012375</v>
          </cell>
          <cell r="P81">
            <v>5368443.6286368724</v>
          </cell>
        </row>
        <row r="82">
          <cell r="K82">
            <v>79</v>
          </cell>
          <cell r="L82">
            <v>1167069.7881231895</v>
          </cell>
          <cell r="M82">
            <v>1496624.7608805022</v>
          </cell>
          <cell r="N82">
            <v>2153433.9115108359</v>
          </cell>
          <cell r="O82">
            <v>4284286.1605098322</v>
          </cell>
          <cell r="P82">
            <v>5735794.5310839284</v>
          </cell>
        </row>
        <row r="83">
          <cell r="K83">
            <v>80</v>
          </cell>
          <cell r="L83">
            <v>1233713.0886182424</v>
          </cell>
          <cell r="M83">
            <v>1586003.1105398117</v>
          </cell>
          <cell r="N83">
            <v>2287161.4573655371</v>
          </cell>
          <cell r="O83">
            <v>4561256.7228277707</v>
          </cell>
          <cell r="P83">
            <v>6118326.4134436566</v>
          </cell>
        </row>
        <row r="84">
          <cell r="K84">
            <v>81</v>
          </cell>
          <cell r="L84">
            <v>1305139.6095446711</v>
          </cell>
          <cell r="M84">
            <v>1676977.6403088388</v>
          </cell>
          <cell r="N84">
            <v>2422925.2904371223</v>
          </cell>
          <cell r="O84">
            <v>4861612.8844266506</v>
          </cell>
          <cell r="P84">
            <v>6535784.2350349613</v>
          </cell>
        </row>
        <row r="85">
          <cell r="K85">
            <v>82</v>
          </cell>
          <cell r="L85">
            <v>1381692.6591949102</v>
          </cell>
          <cell r="M85">
            <v>1776992.0580115258</v>
          </cell>
          <cell r="N85">
            <v>2573716.085641453</v>
          </cell>
          <cell r="O85">
            <v>5190486.0776572078</v>
          </cell>
          <cell r="P85">
            <v>6977413.1895274259</v>
          </cell>
        </row>
        <row r="86">
          <cell r="K86">
            <v>83</v>
          </cell>
          <cell r="L86">
            <v>1463740.1862862627</v>
          </cell>
          <cell r="M86">
            <v>1886516.5674247157</v>
          </cell>
          <cell r="N86">
            <v>2740721.148298745</v>
          </cell>
          <cell r="O86">
            <v>5542755.7713506911</v>
          </cell>
          <cell r="P86">
            <v>7467419.7834469248</v>
          </cell>
        </row>
        <row r="87">
          <cell r="K87">
            <v>84</v>
          </cell>
          <cell r="L87">
            <v>1551676.5484894984</v>
          </cell>
          <cell r="M87">
            <v>2003969.6105418983</v>
          </cell>
          <cell r="N87">
            <v>2913662.2726687724</v>
          </cell>
          <cell r="O87">
            <v>5915678.7140376261</v>
          </cell>
          <cell r="P87">
            <v>7984760.1342338435</v>
          </cell>
        </row>
        <row r="88">
          <cell r="K88">
            <v>85</v>
          </cell>
          <cell r="L88">
            <v>1645558.0719424491</v>
          </cell>
          <cell r="M88">
            <v>2125839.3510513669</v>
          </cell>
          <cell r="N88">
            <v>3096842.2973454497</v>
          </cell>
          <cell r="O88">
            <v>6324496.3497360647</v>
          </cell>
          <cell r="P88">
            <v>8534526.4962922726</v>
          </cell>
        </row>
        <row r="89">
          <cell r="K89">
            <v>86</v>
          </cell>
          <cell r="L89">
            <v>1737405.689927869</v>
          </cell>
          <cell r="M89">
            <v>2258543.9832172454</v>
          </cell>
          <cell r="N89">
            <v>3298362.0284952996</v>
          </cell>
          <cell r="O89">
            <v>6768470.4817987308</v>
          </cell>
          <cell r="P89">
            <v>9046497.4465792254</v>
          </cell>
        </row>
        <row r="90">
          <cell r="K90">
            <v>87</v>
          </cell>
          <cell r="L90">
            <v>1835845.5294818119</v>
          </cell>
          <cell r="M90">
            <v>2403177.7931655813</v>
          </cell>
          <cell r="N90">
            <v>3520310.9434052585</v>
          </cell>
          <cell r="O90">
            <v>7192076.8263135627</v>
          </cell>
          <cell r="P90">
            <v>9589640.8807141967</v>
          </cell>
        </row>
        <row r="91">
          <cell r="K91">
            <v>88</v>
          </cell>
          <cell r="L91">
            <v>1941350.7371720613</v>
          </cell>
          <cell r="M91">
            <v>2551336.9765501898</v>
          </cell>
          <cell r="N91">
            <v>3745927.4891351936</v>
          </cell>
          <cell r="O91">
            <v>7623394.8001260012</v>
          </cell>
          <cell r="P91">
            <v>10183549.4144447</v>
          </cell>
        </row>
        <row r="92">
          <cell r="K92">
            <v>89</v>
          </cell>
          <cell r="L92">
            <v>2054428.4189338493</v>
          </cell>
          <cell r="M92">
            <v>2701739.1780132162</v>
          </cell>
          <cell r="N92">
            <v>3962659.5637297323</v>
          </cell>
          <cell r="O92">
            <v>8082875.40785194</v>
          </cell>
          <cell r="P92">
            <v>10776901.948630381</v>
          </cell>
        </row>
        <row r="93">
          <cell r="K93">
            <v>90</v>
          </cell>
          <cell r="L93">
            <v>2175622.077451258</v>
          </cell>
          <cell r="M93">
            <v>2848441.8314843313</v>
          </cell>
          <cell r="N93">
            <v>4199464.0832919627</v>
          </cell>
          <cell r="O93">
            <v>8551110.6743539069</v>
          </cell>
          <cell r="P93">
            <v>11404611.365267668</v>
          </cell>
        </row>
        <row r="94">
          <cell r="K94">
            <v>91</v>
          </cell>
          <cell r="L94">
            <v>2305514.2244779021</v>
          </cell>
          <cell r="M94">
            <v>3023881.3246313361</v>
          </cell>
          <cell r="N94">
            <v>4459162.4194747172</v>
          </cell>
          <cell r="O94">
            <v>9120586.7557984497</v>
          </cell>
          <cell r="P94">
            <v>12156023.231311075</v>
          </cell>
        </row>
        <row r="95">
          <cell r="K95">
            <v>92</v>
          </cell>
          <cell r="L95">
            <v>2444729.1806529197</v>
          </cell>
          <cell r="M95">
            <v>3205701.1598805604</v>
          </cell>
          <cell r="N95">
            <v>4741387.7960959515</v>
          </cell>
          <cell r="O95">
            <v>9729541.8240975179</v>
          </cell>
          <cell r="P95">
            <v>12934776.450145163</v>
          </cell>
        </row>
        <row r="96">
          <cell r="K96">
            <v>93</v>
          </cell>
          <cell r="L96">
            <v>2593936.0762694604</v>
          </cell>
          <cell r="M96">
            <v>3406431.2041925588</v>
          </cell>
          <cell r="N96">
            <v>5043466.9514683168</v>
          </cell>
          <cell r="O96">
            <v>10370600.950609375</v>
          </cell>
          <cell r="P96">
            <v>13789484.105817867</v>
          </cell>
        </row>
        <row r="97">
          <cell r="K97">
            <v>94</v>
          </cell>
          <cell r="L97">
            <v>2753852.0674186898</v>
          </cell>
          <cell r="M97">
            <v>3617786.9077585824</v>
          </cell>
          <cell r="N97">
            <v>5364655.4935809486</v>
          </cell>
          <cell r="O97">
            <v>11051007.937921636</v>
          </cell>
          <cell r="P97">
            <v>14691146.630442608</v>
          </cell>
        </row>
        <row r="98">
          <cell r="K98">
            <v>95</v>
          </cell>
          <cell r="L98">
            <v>2924415.7793038557</v>
          </cell>
          <cell r="M98">
            <v>3850859.4388750191</v>
          </cell>
          <cell r="N98">
            <v>5702162.1321197227</v>
          </cell>
          <cell r="O98">
            <v>11779764.946705725</v>
          </cell>
          <cell r="P98">
            <v>15736860.379284777</v>
          </cell>
        </row>
        <row r="99">
          <cell r="K99">
            <v>96</v>
          </cell>
          <cell r="L99">
            <v>3094094.087705594</v>
          </cell>
          <cell r="M99">
            <v>4089613.7788059195</v>
          </cell>
          <cell r="N99">
            <v>6061972.1504050065</v>
          </cell>
          <cell r="O99">
            <v>12583123.27707411</v>
          </cell>
          <cell r="P99">
            <v>16846751.769342024</v>
          </cell>
        </row>
        <row r="100">
          <cell r="K100">
            <v>97</v>
          </cell>
          <cell r="L100">
            <v>3275950.7958186241</v>
          </cell>
          <cell r="M100">
            <v>4349508.970539622</v>
          </cell>
          <cell r="N100">
            <v>6478000.5649687108</v>
          </cell>
          <cell r="O100">
            <v>13504406.381960735</v>
          </cell>
          <cell r="P100">
            <v>18149026.922231399</v>
          </cell>
        </row>
        <row r="101">
          <cell r="K101">
            <v>98</v>
          </cell>
          <cell r="L101">
            <v>3470859.9895583829</v>
          </cell>
          <cell r="M101">
            <v>4630628.0284939269</v>
          </cell>
          <cell r="N101">
            <v>6939906.1318451175</v>
          </cell>
          <cell r="O101">
            <v>14521154.317098457</v>
          </cell>
          <cell r="P101">
            <v>19532609.287606977</v>
          </cell>
        </row>
        <row r="102">
          <cell r="K102">
            <v>99</v>
          </cell>
          <cell r="L102">
            <v>3679758.4910129989</v>
          </cell>
          <cell r="M102">
            <v>4926679.7539730156</v>
          </cell>
          <cell r="N102">
            <v>7422931.6089484841</v>
          </cell>
          <cell r="O102">
            <v>15580706.157435667</v>
          </cell>
          <cell r="P102">
            <v>20864889.123261806</v>
          </cell>
        </row>
        <row r="103">
          <cell r="K103">
            <v>100</v>
          </cell>
          <cell r="L103">
            <v>3903650.3612356558</v>
          </cell>
          <cell r="M103">
            <v>5237009.3448348707</v>
          </cell>
          <cell r="N103">
            <v>7931039.5859523583</v>
          </cell>
          <cell r="O103">
            <v>16619830.654701956</v>
          </cell>
          <cell r="P103">
            <v>22225262.886818055</v>
          </cell>
        </row>
        <row r="104">
          <cell r="K104">
            <v>101</v>
          </cell>
          <cell r="L104">
            <v>4143611.7262179158</v>
          </cell>
          <cell r="M104">
            <v>5573158.002972086</v>
          </cell>
          <cell r="N104">
            <v>8443453.8395632785</v>
          </cell>
          <cell r="O104">
            <v>17688858.289318532</v>
          </cell>
          <cell r="P104">
            <v>23701751.606441565</v>
          </cell>
        </row>
        <row r="105">
          <cell r="K105">
            <v>102</v>
          </cell>
          <cell r="L105">
            <v>4400795.949239891</v>
          </cell>
          <cell r="M105">
            <v>5916418.6852669548</v>
          </cell>
          <cell r="N105">
            <v>8955778.0341024622</v>
          </cell>
          <cell r="O105">
            <v>18828374.381195396</v>
          </cell>
          <cell r="P105">
            <v>25296583.581661798</v>
          </cell>
        </row>
        <row r="106">
          <cell r="K106">
            <v>103</v>
          </cell>
          <cell r="L106">
            <v>4676439.174457863</v>
          </cell>
          <cell r="M106">
            <v>6280769.3738048393</v>
          </cell>
          <cell r="N106">
            <v>9522328.9439811669</v>
          </cell>
          <cell r="O106">
            <v>20126728.43345426</v>
          </cell>
          <cell r="P106">
            <v>27060383.174256839</v>
          </cell>
        </row>
        <row r="107">
          <cell r="K107">
            <v>104</v>
          </cell>
          <cell r="L107">
            <v>4971866.2683743965</v>
          </cell>
          <cell r="M107">
            <v>6688630.3175444501</v>
          </cell>
          <cell r="N107">
            <v>10177418.247611826</v>
          </cell>
          <cell r="O107">
            <v>21585506.202110097</v>
          </cell>
          <cell r="P107">
            <v>29013239.344368137</v>
          </cell>
        </row>
        <row r="108">
          <cell r="K108">
            <v>105</v>
          </cell>
          <cell r="L108">
            <v>5287142.595091057</v>
          </cell>
          <cell r="M108">
            <v>7131970.0587444119</v>
          </cell>
          <cell r="N108">
            <v>10872117.294617573</v>
          </cell>
          <cell r="O108">
            <v>23120605.596151121</v>
          </cell>
          <cell r="P108">
            <v>31050396.275423549</v>
          </cell>
        </row>
        <row r="109">
          <cell r="K109">
            <v>106</v>
          </cell>
          <cell r="L109">
            <v>5606820.490469682</v>
          </cell>
          <cell r="M109">
            <v>7604407.5095479935</v>
          </cell>
          <cell r="N109">
            <v>11604917.14280984</v>
          </cell>
          <cell r="O109">
            <v>24712319.533483163</v>
          </cell>
          <cell r="P109">
            <v>33111734.537100207</v>
          </cell>
        </row>
        <row r="110">
          <cell r="K110">
            <v>107</v>
          </cell>
          <cell r="L110">
            <v>5949442.7752959486</v>
          </cell>
          <cell r="M110">
            <v>8102342.2474621274</v>
          </cell>
          <cell r="N110">
            <v>12393835.147102714</v>
          </cell>
          <cell r="O110">
            <v>26331518.106822722</v>
          </cell>
          <cell r="P110">
            <v>35286092.833120786</v>
          </cell>
        </row>
        <row r="111">
          <cell r="K111">
            <v>108</v>
          </cell>
          <cell r="L111">
            <v>6316656.2478462998</v>
          </cell>
          <cell r="M111">
            <v>8622684.6952408925</v>
          </cell>
          <cell r="N111">
            <v>13177641.50473636</v>
          </cell>
          <cell r="O111">
            <v>28070981.554587901</v>
          </cell>
          <cell r="P111">
            <v>37717385.674777366</v>
          </cell>
        </row>
        <row r="112">
          <cell r="K112">
            <v>109</v>
          </cell>
          <cell r="L112">
            <v>6710225.9028115589</v>
          </cell>
          <cell r="M112">
            <v>9148596.7668882236</v>
          </cell>
          <cell r="N112">
            <v>14033212.904790752</v>
          </cell>
          <cell r="O112">
            <v>29952388.502311274</v>
          </cell>
          <cell r="P112">
            <v>40349203.087457478</v>
          </cell>
        </row>
        <row r="113">
          <cell r="K113">
            <v>110</v>
          </cell>
          <cell r="L113">
            <v>7132043.4146628883</v>
          </cell>
          <cell r="M113">
            <v>9739330.1893099211</v>
          </cell>
          <cell r="N113">
            <v>15014383.306518577</v>
          </cell>
          <cell r="O113">
            <v>32129809.575409979</v>
          </cell>
          <cell r="P113">
            <v>43296594.349445909</v>
          </cell>
        </row>
        <row r="114">
          <cell r="L114">
            <v>7584136.2298982274</v>
          </cell>
          <cell r="M114">
            <v>10385792.914284958</v>
          </cell>
          <cell r="N114">
            <v>16058278.641152065</v>
          </cell>
          <cell r="O114">
            <v>34483227.38008634</v>
          </cell>
          <cell r="P114">
            <v>46531517.273902252</v>
          </cell>
        </row>
        <row r="115">
          <cell r="L115">
            <v>8068677.311870791</v>
          </cell>
          <cell r="M115">
            <v>11072468.383451544</v>
          </cell>
          <cell r="N115">
            <v>17149810.063459232</v>
          </cell>
          <cell r="O115">
            <v>36946723.548383601</v>
          </cell>
          <cell r="P115">
            <v>49678009.1177627</v>
          </cell>
        </row>
        <row r="116">
          <cell r="L116">
            <v>8587995.585037617</v>
          </cell>
          <cell r="M116">
            <v>11806389.860534446</v>
          </cell>
          <cell r="N116">
            <v>18325582.508544412</v>
          </cell>
          <cell r="O116">
            <v>39464001.96036721</v>
          </cell>
          <cell r="P116">
            <v>53019874.50672397</v>
          </cell>
        </row>
        <row r="117">
          <cell r="L117">
            <v>9144587.1288279872</v>
          </cell>
          <cell r="M117">
            <v>12590618.587584667</v>
          </cell>
          <cell r="N117">
            <v>19524749.479385361</v>
          </cell>
          <cell r="O117">
            <v>42080201.852823667</v>
          </cell>
          <cell r="P117">
            <v>56588778.122578196</v>
          </cell>
        </row>
        <row r="118">
          <cell r="L118">
            <v>9738971.0387969632</v>
          </cell>
          <cell r="M118">
            <v>13393215.900042122</v>
          </cell>
          <cell r="N118">
            <v>20763350.619827822</v>
          </cell>
          <cell r="O118">
            <v>44827332.863771528</v>
          </cell>
          <cell r="P118">
            <v>60339192.218955062</v>
          </cell>
        </row>
        <row r="119">
          <cell r="L119">
            <v>10349049.764023628</v>
          </cell>
          <cell r="M119">
            <v>14272888.305495575</v>
          </cell>
          <cell r="N119">
            <v>22155916.972318336</v>
          </cell>
          <cell r="O119">
            <v>48000821.939325437</v>
          </cell>
          <cell r="P119">
            <v>64604279.535831437</v>
          </cell>
        </row>
        <row r="120">
          <cell r="L120">
            <v>11002915.951779539</v>
          </cell>
          <cell r="M120">
            <v>15234777.531176174</v>
          </cell>
          <cell r="N120">
            <v>23696642.935575712</v>
          </cell>
          <cell r="O120">
            <v>51384953.577316478</v>
          </cell>
          <cell r="P120">
            <v>69279630.502757639</v>
          </cell>
        </row>
        <row r="121">
          <cell r="L121">
            <v>11703712.379866134</v>
          </cell>
          <cell r="M121">
            <v>16242644.206902737</v>
          </cell>
          <cell r="N121">
            <v>25335337.988974229</v>
          </cell>
          <cell r="O121">
            <v>55090923.652445495</v>
          </cell>
          <cell r="P121">
            <v>74214311.418471232</v>
          </cell>
        </row>
        <row r="122">
          <cell r="L122">
            <v>12454807.394129533</v>
          </cell>
          <cell r="M122">
            <v>17321760.706106771</v>
          </cell>
          <cell r="N122">
            <v>27123048.88173325</v>
          </cell>
          <cell r="O122">
            <v>58998871.31937407</v>
          </cell>
          <cell r="P122">
            <v>79235998.496226966</v>
          </cell>
        </row>
        <row r="123">
          <cell r="L123">
            <v>13259811.098260373</v>
          </cell>
          <cell r="M123">
            <v>18479137.137995131</v>
          </cell>
          <cell r="N123">
            <v>29001056.440831129</v>
          </cell>
          <cell r="O123">
            <v>62884764.049579173</v>
          </cell>
          <cell r="P123">
            <v>84536815.829425484</v>
          </cell>
        </row>
        <row r="124">
          <cell r="L124">
            <v>14122592.705591226</v>
          </cell>
          <cell r="M124">
            <v>19683826.532139763</v>
          </cell>
          <cell r="N124">
            <v>30856562.752762023</v>
          </cell>
          <cell r="O124">
            <v>67030390.757503167</v>
          </cell>
          <cell r="P124">
            <v>90435571.876954556</v>
          </cell>
        </row>
        <row r="125">
          <cell r="L125">
            <v>15047299.13629283</v>
          </cell>
          <cell r="M125">
            <v>20950190.263734274</v>
          </cell>
          <cell r="N125">
            <v>32875151.059766777</v>
          </cell>
          <cell r="O125">
            <v>71657461.993985146</v>
          </cell>
          <cell r="P125">
            <v>96750300.922906265</v>
          </cell>
        </row>
        <row r="126">
          <cell r="L126">
            <v>16038374.949355489</v>
          </cell>
          <cell r="M126">
            <v>22355931.115644921</v>
          </cell>
          <cell r="N126">
            <v>35201165.934915461</v>
          </cell>
          <cell r="O126">
            <v>76984930.008975729</v>
          </cell>
          <cell r="P126">
            <v>103983932.53081658</v>
          </cell>
        </row>
        <row r="127">
          <cell r="L127">
            <v>17100583.7051576</v>
          </cell>
          <cell r="M127">
            <v>23905003.391709842</v>
          </cell>
          <cell r="N127">
            <v>37678183.260454133</v>
          </cell>
          <cell r="O127">
            <v>82613223.116949111</v>
          </cell>
          <cell r="P127">
            <v>111762251.23281986</v>
          </cell>
        </row>
        <row r="128">
          <cell r="L128">
            <v>18235680.063363619</v>
          </cell>
          <cell r="M128">
            <v>25511451.247479346</v>
          </cell>
          <cell r="N128">
            <v>40325778.235202461</v>
          </cell>
          <cell r="O128">
            <v>88586810.051572904</v>
          </cell>
          <cell r="P128">
            <v>119109399.86009653</v>
          </cell>
        </row>
        <row r="129">
          <cell r="L129">
            <v>19411777.729560923</v>
          </cell>
          <cell r="M129">
            <v>27281130.976422139</v>
          </cell>
          <cell r="N129">
            <v>43142627.215919189</v>
          </cell>
          <cell r="O129">
            <v>94473379.994099244</v>
          </cell>
          <cell r="P129">
            <v>126934513.79283579</v>
          </cell>
        </row>
        <row r="130">
          <cell r="L130">
            <v>20672287.997542065</v>
          </cell>
          <cell r="M130">
            <v>29141266.209874645</v>
          </cell>
          <cell r="N130">
            <v>45927905.740344137</v>
          </cell>
          <cell r="O130">
            <v>100538270.95431761</v>
          </cell>
          <cell r="P130">
            <v>135483651.49213481</v>
          </cell>
        </row>
        <row r="131">
          <cell r="L131">
            <v>22023269.452018794</v>
          </cell>
          <cell r="M131">
            <v>30962739.884104647</v>
          </cell>
          <cell r="N131">
            <v>48856360.431765094</v>
          </cell>
          <cell r="O131">
            <v>107193738.10418305</v>
          </cell>
          <cell r="P131">
            <v>144779719.39877108</v>
          </cell>
        </row>
        <row r="132">
          <cell r="L132">
            <v>23471215.52330564</v>
          </cell>
          <cell r="M132">
            <v>33038915.597263657</v>
          </cell>
          <cell r="N132">
            <v>52337714.341107279</v>
          </cell>
          <cell r="O132">
            <v>115144235.24571466</v>
          </cell>
          <cell r="P132">
            <v>155434396.11675525</v>
          </cell>
        </row>
        <row r="133">
          <cell r="L133">
            <v>25023085.69769454</v>
          </cell>
          <cell r="M133">
            <v>35303354.416100398</v>
          </cell>
          <cell r="N133">
            <v>56107158.657668903</v>
          </cell>
          <cell r="O133">
            <v>123616631.71920326</v>
          </cell>
          <cell r="P133">
            <v>167071151.25383592</v>
          </cell>
        </row>
        <row r="134">
          <cell r="L134">
            <v>26686338.96790614</v>
          </cell>
          <cell r="M134">
            <v>37707897.868109673</v>
          </cell>
          <cell r="N134">
            <v>60054266.543630913</v>
          </cell>
          <cell r="O134">
            <v>132666532.38131481</v>
          </cell>
          <cell r="P134">
            <v>178831133.91022751</v>
          </cell>
        </row>
        <row r="135">
          <cell r="L135">
            <v>28468969.684395615</v>
          </cell>
          <cell r="M135">
            <v>40295248.84361539</v>
          </cell>
          <cell r="N135">
            <v>64340727.828569002</v>
          </cell>
          <cell r="O135">
            <v>141922838.84265536</v>
          </cell>
          <cell r="P135">
            <v>190984974.41441336</v>
          </cell>
        </row>
        <row r="136">
          <cell r="L136">
            <v>30379545.97983114</v>
          </cell>
          <cell r="M136">
            <v>43070244.94542972</v>
          </cell>
          <cell r="N136">
            <v>68630932.667530671</v>
          </cell>
          <cell r="O136">
            <v>151272974.37649736</v>
          </cell>
          <cell r="P136">
            <v>203811662.32802075</v>
          </cell>
        </row>
        <row r="137">
          <cell r="L137">
            <v>32427250.951429788</v>
          </cell>
          <cell r="M137">
            <v>45891121.638941728</v>
          </cell>
          <cell r="N137">
            <v>73069970.162524119</v>
          </cell>
          <cell r="O137">
            <v>161376226.21735916</v>
          </cell>
          <cell r="P137">
            <v>217839731.54167435</v>
          </cell>
        </row>
        <row r="138">
          <cell r="L138">
            <v>34616821.97570309</v>
          </cell>
          <cell r="M138">
            <v>48983250.919365264</v>
          </cell>
          <cell r="N138">
            <v>78052016.801077932</v>
          </cell>
          <cell r="O138">
            <v>172909770.65865353</v>
          </cell>
          <cell r="P138">
            <v>233721425.98623991</v>
          </cell>
        </row>
        <row r="139">
          <cell r="L139">
            <v>36902938.696316682</v>
          </cell>
          <cell r="M139">
            <v>52388516.334771439</v>
          </cell>
          <cell r="N139">
            <v>83770658.696275473</v>
          </cell>
          <cell r="O139">
            <v>185783394.27809614</v>
          </cell>
          <cell r="P139">
            <v>251228762.91278711</v>
          </cell>
        </row>
        <row r="140">
          <cell r="L140">
            <v>39353137.929730825</v>
          </cell>
          <cell r="M140">
            <v>56066256.975797266</v>
          </cell>
          <cell r="N140">
            <v>89712667.710442379</v>
          </cell>
          <cell r="O140">
            <v>199306774.64980674</v>
          </cell>
          <cell r="P140">
            <v>269433923.08411831</v>
          </cell>
        </row>
        <row r="141">
          <cell r="L141">
            <v>41979196.446030945</v>
          </cell>
          <cell r="M141">
            <v>59894873.109987818</v>
          </cell>
          <cell r="N141">
            <v>96059922.881508112</v>
          </cell>
          <cell r="O141">
            <v>213564343.30262405</v>
          </cell>
          <cell r="P141">
            <v>287525614.78077847</v>
          </cell>
        </row>
        <row r="142">
          <cell r="L142">
            <v>44793736.274868831</v>
          </cell>
          <cell r="M142">
            <v>64004089.500927396</v>
          </cell>
          <cell r="N142">
            <v>102808270.82699633</v>
          </cell>
          <cell r="O142">
            <v>227821747.38144231</v>
          </cell>
          <cell r="P142">
            <v>306955081.46726733</v>
          </cell>
        </row>
        <row r="143">
          <cell r="L143">
            <v>47810285.372668676</v>
          </cell>
          <cell r="M143">
            <v>68348647.109153748</v>
          </cell>
          <cell r="N143">
            <v>109564168.77379413</v>
          </cell>
          <cell r="O143">
            <v>242937778.72647399</v>
          </cell>
          <cell r="P143">
            <v>328084604.91583538</v>
          </cell>
        </row>
        <row r="144">
          <cell r="L144">
            <v>51043342.644128293</v>
          </cell>
          <cell r="M144">
            <v>72854131.819895953</v>
          </cell>
          <cell r="N144">
            <v>116848362.97970985</v>
          </cell>
          <cell r="O144">
            <v>259925805.97412655</v>
          </cell>
          <cell r="P144">
            <v>351222185.41022617</v>
          </cell>
        </row>
        <row r="145">
          <cell r="L145">
            <v>54508447.630538821</v>
          </cell>
          <cell r="M145">
            <v>77864714.830096498</v>
          </cell>
          <cell r="N145">
            <v>125302379.05516258</v>
          </cell>
          <cell r="O145">
            <v>279038624.92162037</v>
          </cell>
          <cell r="P145">
            <v>377172082.82340437</v>
          </cell>
        </row>
        <row r="146">
          <cell r="L146">
            <v>58222255.199875817</v>
          </cell>
          <cell r="M146">
            <v>83329810.424338534</v>
          </cell>
          <cell r="N146">
            <v>134229939.51039585</v>
          </cell>
          <cell r="O146">
            <v>299506925.71393383</v>
          </cell>
          <cell r="P146">
            <v>405361383.65829158</v>
          </cell>
        </row>
        <row r="147">
          <cell r="L147">
            <v>62202615.597657517</v>
          </cell>
          <cell r="M147">
            <v>89092269.498039722</v>
          </cell>
          <cell r="N147">
            <v>143769184.16262266</v>
          </cell>
          <cell r="O147">
            <v>321355978.4037751</v>
          </cell>
          <cell r="P147">
            <v>433477699.94335592</v>
          </cell>
        </row>
        <row r="148">
          <cell r="L148">
            <v>66460953.909228235</v>
          </cell>
          <cell r="M148">
            <v>95399115.097684681</v>
          </cell>
          <cell r="N148">
            <v>154025854.6475544</v>
          </cell>
          <cell r="O148">
            <v>343601530.79847765</v>
          </cell>
          <cell r="P148">
            <v>462985035.44815344</v>
          </cell>
        </row>
        <row r="149">
          <cell r="L149">
            <v>70934204.323786035</v>
          </cell>
          <cell r="M149">
            <v>102004466.54795414</v>
          </cell>
          <cell r="N149">
            <v>164314324.18176514</v>
          </cell>
          <cell r="O149">
            <v>366371545.85117048</v>
          </cell>
          <cell r="P149">
            <v>493893104.34400183</v>
          </cell>
        </row>
        <row r="150">
          <cell r="L150">
            <v>75728515.409388557</v>
          </cell>
          <cell r="M150">
            <v>108756699.70273985</v>
          </cell>
          <cell r="N150">
            <v>175072890.13131616</v>
          </cell>
          <cell r="O150">
            <v>390364381.12920755</v>
          </cell>
          <cell r="P150">
            <v>527280604.8819595</v>
          </cell>
        </row>
        <row r="151">
          <cell r="L151">
            <v>80866930.802081034</v>
          </cell>
          <cell r="M151">
            <v>116275792.76869337</v>
          </cell>
          <cell r="N151">
            <v>187507737.75645947</v>
          </cell>
          <cell r="O151">
            <v>418989061.5143469</v>
          </cell>
          <cell r="P151">
            <v>565145693.10666561</v>
          </cell>
        </row>
        <row r="152">
          <cell r="L152">
            <v>86374148.059456855</v>
          </cell>
          <cell r="M152">
            <v>124322990.40684396</v>
          </cell>
          <cell r="N152">
            <v>200901824.47019178</v>
          </cell>
          <cell r="O152">
            <v>449075840.52126032</v>
          </cell>
          <cell r="P152">
            <v>605981757.8834312</v>
          </cell>
        </row>
        <row r="153">
          <cell r="L153">
            <v>92276637.36833404</v>
          </cell>
          <cell r="M153">
            <v>132919399.23072517</v>
          </cell>
          <cell r="N153">
            <v>215112207.14432383</v>
          </cell>
          <cell r="O153">
            <v>481342203.03059143</v>
          </cell>
          <cell r="P153">
            <v>651563703.70137095</v>
          </cell>
        </row>
        <row r="154">
          <cell r="L154">
            <v>98602768.772492707</v>
          </cell>
          <cell r="M154">
            <v>142197965.99100167</v>
          </cell>
          <cell r="N154">
            <v>230440197.66468024</v>
          </cell>
          <cell r="O154">
            <v>518095965.48027289</v>
          </cell>
          <cell r="P154">
            <v>709034303.99197984</v>
          </cell>
        </row>
        <row r="155">
          <cell r="L155">
            <v>105382948.53198764</v>
          </cell>
          <cell r="M155">
            <v>152042403.29731771</v>
          </cell>
          <cell r="N155">
            <v>247950656.43083337</v>
          </cell>
          <cell r="O155">
            <v>562504054.91756916</v>
          </cell>
          <cell r="P155">
            <v>1098419216.0039763</v>
          </cell>
        </row>
        <row r="156">
          <cell r="L156">
            <v>112649765.26944001</v>
          </cell>
          <cell r="M156">
            <v>163807280.17162213</v>
          </cell>
          <cell r="N156">
            <v>268278110.71782511</v>
          </cell>
          <cell r="O156">
            <v>744522404.74258518</v>
          </cell>
          <cell r="P156">
            <v>1880536848.1282055</v>
          </cell>
        </row>
        <row r="157">
          <cell r="L157">
            <v>120438146.60575587</v>
          </cell>
          <cell r="M157">
            <v>176039881.47491232</v>
          </cell>
          <cell r="N157">
            <v>329311182.25354558</v>
          </cell>
          <cell r="O157">
            <v>1048366425.5557858</v>
          </cell>
          <cell r="P157">
            <v>2651221534.3012562</v>
          </cell>
        </row>
        <row r="158">
          <cell r="L158">
            <v>128772171.47289588</v>
          </cell>
          <cell r="M158">
            <v>209027559.51887181</v>
          </cell>
          <cell r="N158">
            <v>429274091.88127488</v>
          </cell>
          <cell r="O158">
            <v>1361178391.8983619</v>
          </cell>
          <cell r="P158">
            <v>3455418395.3409452</v>
          </cell>
        </row>
        <row r="159">
          <cell r="L159">
            <v>137547788.35663012</v>
          </cell>
          <cell r="M159">
            <v>234743967.95066649</v>
          </cell>
          <cell r="N159">
            <v>484052633.85409045</v>
          </cell>
          <cell r="O159">
            <v>1536744389.5671546</v>
          </cell>
          <cell r="P159">
            <v>3901895010.8805704</v>
          </cell>
        </row>
        <row r="160">
          <cell r="L160">
            <v>146953261.65000191</v>
          </cell>
          <cell r="M160">
            <v>251078806.53497377</v>
          </cell>
          <cell r="N160">
            <v>518229710.79547375</v>
          </cell>
          <cell r="O160">
            <v>1646419589.0521469</v>
          </cell>
          <cell r="P160">
            <v>4168907237.9799809</v>
          </cell>
        </row>
        <row r="161">
          <cell r="L161">
            <v>157033798.3284319</v>
          </cell>
          <cell r="M161">
            <v>268586053.04444873</v>
          </cell>
          <cell r="N161">
            <v>554859794.88831043</v>
          </cell>
          <cell r="O161">
            <v>1763966557.3585384</v>
          </cell>
          <cell r="P161">
            <v>4467438110.0798645</v>
          </cell>
        </row>
        <row r="162">
          <cell r="L162">
            <v>167837850.02849692</v>
          </cell>
          <cell r="M162">
            <v>287349855.2553851</v>
          </cell>
          <cell r="N162">
            <v>594118946.94948554</v>
          </cell>
          <cell r="O162">
            <v>1889950278.5909238</v>
          </cell>
          <cell r="P162">
            <v>4787395576.5443373</v>
          </cell>
        </row>
        <row r="163">
          <cell r="L163">
            <v>179417345.92849648</v>
          </cell>
          <cell r="M163">
            <v>307460400.52134615</v>
          </cell>
          <cell r="N163">
            <v>636195864.29032934</v>
          </cell>
          <cell r="O163">
            <v>2024976287.7193623</v>
          </cell>
          <cell r="P163">
            <v>5130317498.2412987</v>
          </cell>
        </row>
      </sheetData>
      <sheetData sheetId="27"/>
      <sheetData sheetId="28">
        <row r="50">
          <cell r="GN50">
            <v>1.3433128276338895E-2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信息索引"/>
      <sheetName val="城建时间"/>
      <sheetName val="升级建筑所需大殿等级"/>
      <sheetName val="相关资料"/>
      <sheetName val="城建经验"/>
      <sheetName val="城建经验计算中介"/>
      <sheetName val="城建资源消耗（木石铜粮）"/>
      <sheetName val="消耗汇总"/>
      <sheetName val="城建资源消耗（铁）"/>
      <sheetName val="城墙信息"/>
      <sheetName val="城防实力"/>
      <sheetName val="大殿属性"/>
      <sheetName val="城建时间（旧）"/>
      <sheetName val="新-城建资源消耗（木石铜粮）"/>
    </sheetNames>
    <sheetDataSet>
      <sheetData sheetId="0"/>
      <sheetData sheetId="1"/>
      <sheetData sheetId="2"/>
      <sheetData sheetId="3">
        <row r="6">
          <cell r="AR6">
            <v>16</v>
          </cell>
        </row>
        <row r="7">
          <cell r="AR7">
            <v>19.5</v>
          </cell>
        </row>
        <row r="8">
          <cell r="AR8">
            <v>23.5</v>
          </cell>
        </row>
        <row r="9">
          <cell r="AR9">
            <v>27.5</v>
          </cell>
        </row>
        <row r="10">
          <cell r="AR10">
            <v>31.5</v>
          </cell>
        </row>
        <row r="11">
          <cell r="AR11">
            <v>35.5</v>
          </cell>
        </row>
        <row r="12">
          <cell r="AR12">
            <v>39.5</v>
          </cell>
        </row>
        <row r="13">
          <cell r="AR13">
            <v>43.5</v>
          </cell>
        </row>
        <row r="14">
          <cell r="AR14">
            <v>47.5</v>
          </cell>
        </row>
        <row r="15">
          <cell r="AR15">
            <v>52</v>
          </cell>
        </row>
        <row r="16">
          <cell r="AR16">
            <v>57</v>
          </cell>
        </row>
        <row r="17">
          <cell r="AR17">
            <v>62</v>
          </cell>
        </row>
        <row r="18">
          <cell r="AR18">
            <v>67</v>
          </cell>
        </row>
        <row r="19">
          <cell r="AR19">
            <v>72</v>
          </cell>
        </row>
        <row r="20">
          <cell r="AR20">
            <v>77</v>
          </cell>
        </row>
        <row r="21">
          <cell r="AR21">
            <v>80</v>
          </cell>
        </row>
      </sheetData>
      <sheetData sheetId="4"/>
      <sheetData sheetId="5"/>
      <sheetData sheetId="6"/>
      <sheetData sheetId="7"/>
      <sheetData sheetId="8"/>
      <sheetData sheetId="9"/>
      <sheetData sheetId="10">
        <row r="10">
          <cell r="Y10">
            <v>81.09727643992845</v>
          </cell>
        </row>
      </sheetData>
      <sheetData sheetId="11"/>
      <sheetData sheetId="12">
        <row r="7">
          <cell r="I7">
            <v>0</v>
          </cell>
        </row>
      </sheetData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V7">
            <v>25080.636248889903</v>
          </cell>
          <cell r="AP7">
            <v>18561.3045525854</v>
          </cell>
        </row>
        <row r="8">
          <cell r="V8">
            <v>32727.217671349561</v>
          </cell>
          <cell r="AP8">
            <v>25851.740609429999</v>
          </cell>
        </row>
        <row r="9">
          <cell r="V9">
            <v>41196.641435386933</v>
          </cell>
          <cell r="AP9">
            <v>34520.763687576873</v>
          </cell>
        </row>
        <row r="10">
          <cell r="V10">
            <v>50992.541109187441</v>
          </cell>
          <cell r="AP10">
            <v>45109.92961332608</v>
          </cell>
        </row>
        <row r="11">
          <cell r="V11">
            <v>62239.91092190714</v>
          </cell>
          <cell r="AP11">
            <v>57902.073119840847</v>
          </cell>
        </row>
        <row r="12">
          <cell r="V12">
            <v>75061.727779309396</v>
          </cell>
          <cell r="AP12">
            <v>73199.315599045556</v>
          </cell>
        </row>
        <row r="13">
          <cell r="V13">
            <v>89587.508663540037</v>
          </cell>
          <cell r="AP13">
            <v>91331.232675627383</v>
          </cell>
        </row>
        <row r="14">
          <cell r="V14">
            <v>105953.52882203698</v>
          </cell>
          <cell r="AP14">
            <v>112656.49167355157</v>
          </cell>
        </row>
        <row r="15">
          <cell r="V15">
            <v>123400.09963891028</v>
          </cell>
          <cell r="AP15">
            <v>136565.2739931921</v>
          </cell>
        </row>
        <row r="16">
          <cell r="V16">
            <v>143357.72820950462</v>
          </cell>
          <cell r="AP16">
            <v>164834.58092125441</v>
          </cell>
        </row>
        <row r="17">
          <cell r="V17">
            <v>169719.21315463653</v>
          </cell>
          <cell r="AP17">
            <v>197936.07213818733</v>
          </cell>
        </row>
        <row r="18">
          <cell r="V18">
            <v>198511.44021475501</v>
          </cell>
          <cell r="AP18">
            <v>225884.37015628221</v>
          </cell>
        </row>
        <row r="19">
          <cell r="V19">
            <v>230800.64173897213</v>
          </cell>
          <cell r="AP19">
            <v>256992.22439766748</v>
          </cell>
        </row>
        <row r="20">
          <cell r="V20">
            <v>266692.44349535822</v>
          </cell>
          <cell r="AP20">
            <v>290794.42953655095</v>
          </cell>
        </row>
        <row r="21">
          <cell r="V21">
            <v>306468.38970361202</v>
          </cell>
          <cell r="AP21">
            <v>327555.18799635861</v>
          </cell>
        </row>
        <row r="22">
          <cell r="V22">
            <v>350391.78607296222</v>
          </cell>
          <cell r="AP22">
            <v>367423.04993295152</v>
          </cell>
        </row>
        <row r="23">
          <cell r="V23">
            <v>398724.09356771805</v>
          </cell>
          <cell r="AP23">
            <v>410547.44972355163</v>
          </cell>
        </row>
        <row r="24">
          <cell r="V24">
            <v>451936.23549697135</v>
          </cell>
          <cell r="AP24">
            <v>457838.07225634041</v>
          </cell>
        </row>
        <row r="25">
          <cell r="V25">
            <v>510122.12777978124</v>
          </cell>
          <cell r="AP25">
            <v>508627.57177347096</v>
          </cell>
        </row>
        <row r="26">
          <cell r="V26">
            <v>574147.99831956998</v>
          </cell>
          <cell r="AP26">
            <v>565312.6355394983</v>
          </cell>
        </row>
        <row r="27">
          <cell r="V27">
            <v>643093.02915886324</v>
          </cell>
          <cell r="AP27">
            <v>623258.45240469568</v>
          </cell>
        </row>
        <row r="28">
          <cell r="V28">
            <v>716978.25509762089</v>
          </cell>
          <cell r="AP28">
            <v>685928.77702297049</v>
          </cell>
        </row>
        <row r="29">
          <cell r="V29">
            <v>795719.2544581152</v>
          </cell>
          <cell r="AP29">
            <v>752327.82510682638</v>
          </cell>
        </row>
        <row r="30">
          <cell r="V30">
            <v>879363.35800023237</v>
          </cell>
          <cell r="AP30">
            <v>822198.32266389253</v>
          </cell>
        </row>
        <row r="31">
          <cell r="V31">
            <v>967938.63789446582</v>
          </cell>
          <cell r="AP31">
            <v>895218.25796325272</v>
          </cell>
        </row>
        <row r="32">
          <cell r="V32">
            <v>1061746.7078271045</v>
          </cell>
          <cell r="AP32">
            <v>973139.84196054633</v>
          </cell>
        </row>
        <row r="33">
          <cell r="V33">
            <v>1163688.6771940037</v>
          </cell>
          <cell r="AP33">
            <v>1058134.274923265</v>
          </cell>
        </row>
        <row r="34">
          <cell r="V34">
            <v>1274221.9111814939</v>
          </cell>
          <cell r="AP34">
            <v>1150892.1373710409</v>
          </cell>
        </row>
        <row r="35">
          <cell r="V35">
            <v>1414208.2594152787</v>
          </cell>
          <cell r="AP35">
            <v>1258548.7827429422</v>
          </cell>
        </row>
        <row r="36">
          <cell r="V36">
            <v>1566883.3772132033</v>
          </cell>
          <cell r="AP36">
            <v>1373851.7252514665</v>
          </cell>
        </row>
        <row r="37">
          <cell r="V37">
            <v>1763938.4550838717</v>
          </cell>
          <cell r="AP37">
            <v>1506589.0860756652</v>
          </cell>
        </row>
        <row r="38">
          <cell r="V38">
            <v>1977808.5001826945</v>
          </cell>
          <cell r="AP38">
            <v>1647720.2909428773</v>
          </cell>
        </row>
        <row r="39">
          <cell r="V39">
            <v>2210691.5503469622</v>
          </cell>
          <cell r="AP39">
            <v>1801653.7011368575</v>
          </cell>
        </row>
        <row r="40">
          <cell r="V40">
            <v>2462821.6502298224</v>
          </cell>
          <cell r="AP40">
            <v>1964555.6974493416</v>
          </cell>
        </row>
        <row r="41">
          <cell r="V41">
            <v>2771201.9001036254</v>
          </cell>
          <cell r="AP41">
            <v>2153129.1327431789</v>
          </cell>
        </row>
        <row r="42">
          <cell r="V42">
            <v>3162458.3189295912</v>
          </cell>
          <cell r="AP42">
            <v>2371516.7730662785</v>
          </cell>
        </row>
        <row r="43">
          <cell r="V43">
            <v>3593751.5385242528</v>
          </cell>
          <cell r="AP43">
            <v>2608028.4828888308</v>
          </cell>
        </row>
        <row r="44">
          <cell r="V44">
            <v>4068939.3306904156</v>
          </cell>
          <cell r="AP44">
            <v>2862851.5438208035</v>
          </cell>
        </row>
        <row r="45">
          <cell r="V45">
            <v>4591397.4259461826</v>
          </cell>
          <cell r="AP45">
            <v>3137809.9390645721</v>
          </cell>
        </row>
        <row r="46">
          <cell r="V46">
            <v>5165006.0939870263</v>
          </cell>
          <cell r="AP46">
            <v>3435367.4116622736</v>
          </cell>
        </row>
        <row r="47">
          <cell r="V47">
            <v>5516588.5131732626</v>
          </cell>
          <cell r="AP47">
            <v>3686252.5356651274</v>
          </cell>
        </row>
        <row r="48">
          <cell r="V48">
            <v>5888049.4624211211</v>
          </cell>
          <cell r="AP48">
            <v>3956976.493080894</v>
          </cell>
        </row>
        <row r="49">
          <cell r="V49">
            <v>6278105.330544875</v>
          </cell>
          <cell r="AP49">
            <v>4240541.9702897258</v>
          </cell>
        </row>
        <row r="50">
          <cell r="V50">
            <v>6688414.1553600142</v>
          </cell>
          <cell r="AP50">
            <v>4545818.5307427198</v>
          </cell>
        </row>
        <row r="51">
          <cell r="V51">
            <v>7106065.9903219342</v>
          </cell>
          <cell r="AP51">
            <v>4861282.3855344225</v>
          </cell>
        </row>
        <row r="52">
          <cell r="V52">
            <v>7545414.3054185985</v>
          </cell>
          <cell r="AP52">
            <v>5204712.751695402</v>
          </cell>
        </row>
        <row r="53">
          <cell r="V53">
            <v>8005669.009695854</v>
          </cell>
          <cell r="AP53">
            <v>5572516.9679836463</v>
          </cell>
        </row>
        <row r="54">
          <cell r="V54">
            <v>8489585.7450101227</v>
          </cell>
          <cell r="AP54">
            <v>5972480.6097296625</v>
          </cell>
        </row>
        <row r="55">
          <cell r="V55">
            <v>8991521.0763934627</v>
          </cell>
          <cell r="AP55">
            <v>6398919.5025620358</v>
          </cell>
        </row>
        <row r="56">
          <cell r="V56">
            <v>9519264.882299263</v>
          </cell>
          <cell r="AP56">
            <v>6842576.2693815036</v>
          </cell>
        </row>
        <row r="57">
          <cell r="V57">
            <v>10368021.569213498</v>
          </cell>
          <cell r="AP57">
            <v>7392931.0322290426</v>
          </cell>
        </row>
        <row r="58">
          <cell r="V58">
            <v>11264047.940956589</v>
          </cell>
          <cell r="AP58">
            <v>7970144.7915883446</v>
          </cell>
        </row>
        <row r="59">
          <cell r="V59">
            <v>12213213.636626245</v>
          </cell>
          <cell r="AP59">
            <v>8590414.4020794109</v>
          </cell>
        </row>
        <row r="60">
          <cell r="V60">
            <v>13268022.651403949</v>
          </cell>
          <cell r="AP60">
            <v>9266718.2869316805</v>
          </cell>
        </row>
        <row r="61">
          <cell r="V61">
            <v>14460406.337406553</v>
          </cell>
          <cell r="AP61">
            <v>10018278.011420369</v>
          </cell>
        </row>
        <row r="62">
          <cell r="V62">
            <v>15726383.396860916</v>
          </cell>
          <cell r="AP62">
            <v>10827138.125667967</v>
          </cell>
        </row>
        <row r="63">
          <cell r="V63">
            <v>17060227.595192358</v>
          </cell>
          <cell r="AP63">
            <v>11682604.815291855</v>
          </cell>
        </row>
        <row r="64">
          <cell r="V64">
            <v>18476783.822123308</v>
          </cell>
          <cell r="AP64">
            <v>12600788.745749064</v>
          </cell>
        </row>
        <row r="65">
          <cell r="V65">
            <v>19973787.411159694</v>
          </cell>
          <cell r="AP65">
            <v>13568155.307999497</v>
          </cell>
        </row>
        <row r="66">
          <cell r="V66">
            <v>21782792.106445208</v>
          </cell>
          <cell r="AP66">
            <v>14918659.719027091</v>
          </cell>
        </row>
        <row r="67">
          <cell r="V67">
            <v>24017669.802177027</v>
          </cell>
          <cell r="AP67">
            <v>16897077.172131289</v>
          </cell>
        </row>
        <row r="68">
          <cell r="V68">
            <v>26417124.427701369</v>
          </cell>
          <cell r="AP68">
            <v>19113664.534662902</v>
          </cell>
        </row>
        <row r="69">
          <cell r="V69">
            <v>28985609.908478856</v>
          </cell>
          <cell r="AP69">
            <v>21572784.313627601</v>
          </cell>
        </row>
        <row r="70">
          <cell r="V70">
            <v>31753875.7417318</v>
          </cell>
          <cell r="AP70">
            <v>24334602.472624104</v>
          </cell>
        </row>
        <row r="71">
          <cell r="V71">
            <v>34730801.400818907</v>
          </cell>
          <cell r="AP71">
            <v>27419385.159789886</v>
          </cell>
        </row>
        <row r="72">
          <cell r="V72">
            <v>37513348.564699315</v>
          </cell>
          <cell r="AP72">
            <v>30310148.725533724</v>
          </cell>
        </row>
        <row r="73">
          <cell r="V73">
            <v>40429961.609140322</v>
          </cell>
          <cell r="AP73">
            <v>33427656.807614677</v>
          </cell>
        </row>
        <row r="74">
          <cell r="V74">
            <v>43521356.967222318</v>
          </cell>
          <cell r="AP74">
            <v>36839263.169360161</v>
          </cell>
        </row>
        <row r="75">
          <cell r="V75">
            <v>46799783.74005843</v>
          </cell>
          <cell r="AP75">
            <v>40583254.007490754</v>
          </cell>
        </row>
        <row r="76">
          <cell r="V76">
            <v>50338795.890516669</v>
          </cell>
          <cell r="AP76">
            <v>44927871.372170597</v>
          </cell>
        </row>
        <row r="77">
          <cell r="V77">
            <v>54565874.245511904</v>
          </cell>
          <cell r="AP77">
            <v>50223515.198554859</v>
          </cell>
        </row>
        <row r="78">
          <cell r="V78">
            <v>59260493.072326012</v>
          </cell>
          <cell r="AP78">
            <v>56291108.799765557</v>
          </cell>
        </row>
        <row r="79">
          <cell r="V79">
            <v>64411736.661694892</v>
          </cell>
          <cell r="AP79">
            <v>63157823.586826928</v>
          </cell>
        </row>
        <row r="80">
          <cell r="V80">
            <v>69995956.010202155</v>
          </cell>
          <cell r="AP80">
            <v>70829630.442229465</v>
          </cell>
        </row>
        <row r="81">
          <cell r="V81">
            <v>76000768.733499736</v>
          </cell>
          <cell r="AP81">
            <v>79491037.779800579</v>
          </cell>
        </row>
        <row r="82">
          <cell r="V82">
            <v>82536535.844644472</v>
          </cell>
          <cell r="AP82">
            <v>89060868.087808535</v>
          </cell>
        </row>
        <row r="83">
          <cell r="V83">
            <v>89551618.696708083</v>
          </cell>
          <cell r="AP83">
            <v>99826351.915632293</v>
          </cell>
        </row>
        <row r="84">
          <cell r="V84">
            <v>96637630.761029571</v>
          </cell>
          <cell r="AP84">
            <v>109954326.18322854</v>
          </cell>
        </row>
        <row r="85">
          <cell r="V85">
            <v>104170033.32660586</v>
          </cell>
          <cell r="AP85">
            <v>120611119.25123574</v>
          </cell>
        </row>
        <row r="86">
          <cell r="V86">
            <v>112150921.01775829</v>
          </cell>
          <cell r="AP86">
            <v>132198883.94155641</v>
          </cell>
        </row>
        <row r="87">
          <cell r="V87">
            <v>120846119.37214692</v>
          </cell>
          <cell r="AP87">
            <v>145371300.21457264</v>
          </cell>
        </row>
        <row r="88">
          <cell r="V88">
            <v>131039808.21929607</v>
          </cell>
          <cell r="AP88">
            <v>162027883.94490746</v>
          </cell>
        </row>
        <row r="89">
          <cell r="V89">
            <v>141866708.1545935</v>
          </cell>
          <cell r="AP89">
            <v>178547438.79709983</v>
          </cell>
        </row>
        <row r="90">
          <cell r="V90">
            <v>153364772.42597008</v>
          </cell>
          <cell r="AP90">
            <v>195531655.70901468</v>
          </cell>
        </row>
        <row r="91">
          <cell r="V91">
            <v>164479364.25804949</v>
          </cell>
          <cell r="AP91">
            <v>211173059.07420853</v>
          </cell>
        </row>
        <row r="92">
          <cell r="V92">
            <v>176134446.17109931</v>
          </cell>
          <cell r="AP92">
            <v>227841487.01868826</v>
          </cell>
        </row>
        <row r="93">
          <cell r="V93">
            <v>187669524.02830935</v>
          </cell>
          <cell r="AP93">
            <v>248190705.00549114</v>
          </cell>
        </row>
        <row r="94">
          <cell r="V94">
            <v>197898299.15917048</v>
          </cell>
          <cell r="AP94">
            <v>266569785.3475357</v>
          </cell>
        </row>
        <row r="95">
          <cell r="V95">
            <v>208439107.63818607</v>
          </cell>
          <cell r="AP95">
            <v>285404720.89757556</v>
          </cell>
        </row>
        <row r="96">
          <cell r="V96">
            <v>219548941.28357381</v>
          </cell>
          <cell r="AP96">
            <v>305920811.01764387</v>
          </cell>
        </row>
        <row r="97">
          <cell r="V97">
            <v>231056485.79201323</v>
          </cell>
          <cell r="AP97">
            <v>329763078.0802452</v>
          </cell>
        </row>
        <row r="98">
          <cell r="V98">
            <v>243871006.05656102</v>
          </cell>
          <cell r="AP98">
            <v>359542500.59052259</v>
          </cell>
        </row>
        <row r="99">
          <cell r="V99">
            <v>256227287.11574289</v>
          </cell>
          <cell r="AP99">
            <v>389811491.57517999</v>
          </cell>
        </row>
        <row r="100">
          <cell r="V100">
            <v>268659227.14726114</v>
          </cell>
          <cell r="AP100">
            <v>421128957.05979663</v>
          </cell>
        </row>
        <row r="101">
          <cell r="V101">
            <v>281787027.06606841</v>
          </cell>
          <cell r="AP101">
            <v>456009358.49953169</v>
          </cell>
        </row>
        <row r="102">
          <cell r="V102">
            <v>295806007.95824516</v>
          </cell>
          <cell r="AP102">
            <v>495300120.14460373</v>
          </cell>
        </row>
        <row r="103">
          <cell r="V103">
            <v>311848951.23553801</v>
          </cell>
          <cell r="AP103">
            <v>546524933.83973682</v>
          </cell>
        </row>
        <row r="104">
          <cell r="V104">
            <v>326541987.08130413</v>
          </cell>
          <cell r="AP104">
            <v>593508830.64051723</v>
          </cell>
        </row>
        <row r="105">
          <cell r="V105">
            <v>341156976.42549169</v>
          </cell>
          <cell r="AP105">
            <v>639856251.44482255</v>
          </cell>
        </row>
        <row r="106">
          <cell r="V106">
            <v>356255370.96677238</v>
          </cell>
          <cell r="AP106">
            <v>688846514.20973444</v>
          </cell>
        </row>
        <row r="107">
          <cell r="V107">
            <v>372438526.10287809</v>
          </cell>
          <cell r="AP107">
            <v>744957452.3651762</v>
          </cell>
        </row>
        <row r="108">
          <cell r="V108">
            <v>388610778.5029676</v>
          </cell>
          <cell r="AP108">
            <v>801519529.1949656</v>
          </cell>
        </row>
        <row r="109">
          <cell r="V109">
            <v>405378929.38547075</v>
          </cell>
          <cell r="AP109">
            <v>861742965.29816628</v>
          </cell>
        </row>
        <row r="110">
          <cell r="V110">
            <v>422710579.90752912</v>
          </cell>
          <cell r="AP110">
            <v>925487599.41753459</v>
          </cell>
        </row>
        <row r="111">
          <cell r="V111">
            <v>439311273.4734081</v>
          </cell>
          <cell r="AP111">
            <v>987560221.03186202</v>
          </cell>
        </row>
        <row r="112">
          <cell r="V112">
            <v>456311460.18470049</v>
          </cell>
          <cell r="AP112">
            <v>1052588172.3251535</v>
          </cell>
        </row>
        <row r="113">
          <cell r="V113">
            <v>473996832.94609749</v>
          </cell>
          <cell r="AP113">
            <v>1122230779.1049137</v>
          </cell>
        </row>
        <row r="114">
          <cell r="V114">
            <v>491066112.55653572</v>
          </cell>
          <cell r="AP114">
            <v>1190083087.6174605</v>
          </cell>
        </row>
        <row r="115">
          <cell r="V115">
            <v>507692634.65986657</v>
          </cell>
          <cell r="AP115">
            <v>1257253279.8832092</v>
          </cell>
        </row>
        <row r="116">
          <cell r="V116">
            <v>524571558.95039475</v>
          </cell>
          <cell r="AP116">
            <v>1326091016.1645963</v>
          </cell>
        </row>
        <row r="117">
          <cell r="V117">
            <v>542107428.70770407</v>
          </cell>
          <cell r="AP117">
            <v>1412633244.5009589</v>
          </cell>
        </row>
        <row r="118">
          <cell r="V118">
            <v>560047970.84289408</v>
          </cell>
          <cell r="AP118">
            <v>1503136043.8212283</v>
          </cell>
        </row>
        <row r="119">
          <cell r="V119">
            <v>578596375.95809889</v>
          </cell>
          <cell r="AP119">
            <v>1599295721.3881068</v>
          </cell>
        </row>
        <row r="120">
          <cell r="V120">
            <v>599514163.33196223</v>
          </cell>
          <cell r="AP120">
            <v>1705452997.4215996</v>
          </cell>
        </row>
        <row r="121">
          <cell r="V121">
            <v>621526476.68946087</v>
          </cell>
          <cell r="AP121">
            <v>1818277110.7859862</v>
          </cell>
        </row>
        <row r="122">
          <cell r="V122">
            <v>643983225.2766391</v>
          </cell>
          <cell r="AP122">
            <v>1935245223.2099819</v>
          </cell>
        </row>
        <row r="123">
          <cell r="V123">
            <v>666971148.34824681</v>
          </cell>
          <cell r="AP123">
            <v>2057115100.2631836</v>
          </cell>
        </row>
        <row r="124">
          <cell r="V124">
            <v>690669612.38745987</v>
          </cell>
          <cell r="AP124">
            <v>2185520046.7808194</v>
          </cell>
        </row>
        <row r="125">
          <cell r="V125">
            <v>715123234.88314605</v>
          </cell>
          <cell r="AP125">
            <v>2320993653.554399</v>
          </cell>
        </row>
        <row r="126">
          <cell r="V126">
            <v>740363853.45005786</v>
          </cell>
          <cell r="AP126">
            <v>2463977916.1085429</v>
          </cell>
        </row>
        <row r="127">
          <cell r="V127">
            <v>763681268.58566177</v>
          </cell>
          <cell r="AP127">
            <v>2589237977.5202761</v>
          </cell>
        </row>
        <row r="128">
          <cell r="V128">
            <v>787353703.51546347</v>
          </cell>
          <cell r="AP128">
            <v>2720477227.1621532</v>
          </cell>
        </row>
        <row r="129">
          <cell r="V129">
            <v>811065117.56831121</v>
          </cell>
          <cell r="AP129">
            <v>2854736625.9708195</v>
          </cell>
        </row>
        <row r="130">
          <cell r="V130">
            <v>835438577.96819103</v>
          </cell>
          <cell r="AP130">
            <v>2995185666.3723488</v>
          </cell>
        </row>
        <row r="131">
          <cell r="V131">
            <v>860347747.4755646</v>
          </cell>
          <cell r="AP131">
            <v>3140644244.8071828</v>
          </cell>
        </row>
        <row r="132">
          <cell r="V132">
            <v>885246493.88579869</v>
          </cell>
          <cell r="AP132">
            <v>3293323625.5721498</v>
          </cell>
        </row>
        <row r="133">
          <cell r="V133">
            <v>910605822.6759584</v>
          </cell>
          <cell r="AP133">
            <v>3450978081.5429945</v>
          </cell>
        </row>
        <row r="134">
          <cell r="V134">
            <v>936829292.47771025</v>
          </cell>
          <cell r="AP134">
            <v>3617660949.3116827</v>
          </cell>
        </row>
        <row r="135">
          <cell r="V135">
            <v>963500811.76934648</v>
          </cell>
          <cell r="AP135">
            <v>3789211828.6916366</v>
          </cell>
        </row>
        <row r="136">
          <cell r="V136">
            <v>991063774.49454594</v>
          </cell>
          <cell r="AP136">
            <v>3970369289.0981479</v>
          </cell>
        </row>
        <row r="137">
          <cell r="V137">
            <v>1018515452.1093944</v>
          </cell>
          <cell r="AP137">
            <v>4150516826.155591</v>
          </cell>
        </row>
        <row r="138">
          <cell r="V138">
            <v>1046815662.0477178</v>
          </cell>
          <cell r="AP138">
            <v>4339923345.2571487</v>
          </cell>
        </row>
        <row r="139">
          <cell r="V139">
            <v>1075673342.0754423</v>
          </cell>
          <cell r="AP139">
            <v>4535545294.5976982</v>
          </cell>
        </row>
        <row r="140">
          <cell r="V140">
            <v>1105363785.7616117</v>
          </cell>
          <cell r="AP140">
            <v>4740531424.7978497</v>
          </cell>
        </row>
        <row r="141">
          <cell r="V141">
            <v>1132670615.1106284</v>
          </cell>
          <cell r="AP141">
            <v>4939638877.5203447</v>
          </cell>
        </row>
        <row r="142">
          <cell r="V142">
            <v>1159172793.3954587</v>
          </cell>
          <cell r="AP142">
            <v>5140556734.3399715</v>
          </cell>
        </row>
        <row r="143">
          <cell r="V143">
            <v>1186170369.7950525</v>
          </cell>
          <cell r="AP143">
            <v>5348255463.5193682</v>
          </cell>
        </row>
        <row r="144">
          <cell r="V144">
            <v>1213728988.0184667</v>
          </cell>
          <cell r="AP144">
            <v>5563617244.6054859</v>
          </cell>
        </row>
        <row r="145">
          <cell r="V145">
            <v>1241857407.2771926</v>
          </cell>
          <cell r="AP145">
            <v>5786880665.5283575</v>
          </cell>
        </row>
        <row r="146">
          <cell r="V146">
            <v>1270507010.0650535</v>
          </cell>
          <cell r="AP146">
            <v>6017590111.2247133</v>
          </cell>
        </row>
        <row r="147">
          <cell r="V147">
            <v>1299715093.512476</v>
          </cell>
          <cell r="AP147">
            <v>6256318391.1641626</v>
          </cell>
        </row>
        <row r="148">
          <cell r="V148">
            <v>1329397025.6208715</v>
          </cell>
          <cell r="AP148">
            <v>6502136384.1881037</v>
          </cell>
        </row>
        <row r="149">
          <cell r="V149">
            <v>1360112745.7573624</v>
          </cell>
          <cell r="AP149">
            <v>6762225776.5478382</v>
          </cell>
        </row>
        <row r="150">
          <cell r="V150">
            <v>1391822009.5367808</v>
          </cell>
          <cell r="AP150">
            <v>7036437530.0764322</v>
          </cell>
        </row>
        <row r="151">
          <cell r="V151">
            <v>1424389137.4921279</v>
          </cell>
          <cell r="AP151">
            <v>7323359514.8706532</v>
          </cell>
        </row>
        <row r="152">
          <cell r="V152">
            <v>1457370688.3362098</v>
          </cell>
          <cell r="AP152">
            <v>7617422850.3170347</v>
          </cell>
        </row>
        <row r="153">
          <cell r="V153">
            <v>1491303249.2738304</v>
          </cell>
          <cell r="AP153">
            <v>7925857317.8826418</v>
          </cell>
        </row>
        <row r="154">
          <cell r="V154">
            <v>1525596127.5070119</v>
          </cell>
          <cell r="AP154">
            <v>8240985954.425993</v>
          </cell>
        </row>
        <row r="155">
          <cell r="V155">
            <v>1560911409.9652603</v>
          </cell>
          <cell r="AP155">
            <v>8571926536.5481405</v>
          </cell>
        </row>
        <row r="156">
          <cell r="V156">
            <v>1593210688.4072037</v>
          </cell>
          <cell r="AP156">
            <v>8896786599.4195042</v>
          </cell>
        </row>
        <row r="157">
          <cell r="V157">
            <v>1623107587.8542674</v>
          </cell>
          <cell r="AP157">
            <v>9228588606.4590855</v>
          </cell>
        </row>
        <row r="158">
          <cell r="V158">
            <v>1653263066.4081237</v>
          </cell>
          <cell r="AP158">
            <v>9567737764.4484768</v>
          </cell>
        </row>
        <row r="159">
          <cell r="V159">
            <v>1685438700.8552709</v>
          </cell>
          <cell r="AP159">
            <v>9939974735.6044388</v>
          </cell>
        </row>
        <row r="160">
          <cell r="V160">
            <v>1717259313.8946066</v>
          </cell>
          <cell r="AP160">
            <v>10323637999.94525</v>
          </cell>
        </row>
        <row r="161">
          <cell r="V161">
            <v>1749772056.9657145</v>
          </cell>
          <cell r="AP161">
            <v>10722915212.591988</v>
          </cell>
        </row>
        <row r="162">
          <cell r="V162">
            <v>1775020081.6574278</v>
          </cell>
          <cell r="AP162">
            <v>11016346911.032249</v>
          </cell>
        </row>
        <row r="163">
          <cell r="V163">
            <v>1796032491.0013103</v>
          </cell>
          <cell r="AP163">
            <v>11246787047.052246</v>
          </cell>
        </row>
        <row r="164">
          <cell r="V164">
            <v>1811576298.4661908</v>
          </cell>
          <cell r="AP164">
            <v>11393745570.776894</v>
          </cell>
        </row>
        <row r="165">
          <cell r="V165">
            <v>1824115673.7068663</v>
          </cell>
          <cell r="AP165">
            <v>11494258373.648552</v>
          </cell>
        </row>
        <row r="166">
          <cell r="V166">
            <v>1836689705.4447069</v>
          </cell>
          <cell r="AP166">
            <v>11595200496.753036</v>
          </cell>
        </row>
      </sheetData>
      <sheetData sheetId="15">
        <row r="7">
          <cell r="V7">
            <v>25211.862454755537</v>
          </cell>
          <cell r="AP7">
            <v>18630.906248060655</v>
          </cell>
        </row>
        <row r="8">
          <cell r="V8">
            <v>33094.832300854454</v>
          </cell>
          <cell r="AP8">
            <v>26138.00984776246</v>
          </cell>
        </row>
        <row r="9">
          <cell r="V9">
            <v>41901.069276733586</v>
          </cell>
          <cell r="AP9">
            <v>35133.692316512366</v>
          </cell>
        </row>
        <row r="10">
          <cell r="V10">
            <v>52158.772975354921</v>
          </cell>
          <cell r="AP10">
            <v>46191.951241598283</v>
          </cell>
        </row>
        <row r="11">
          <cell r="V11">
            <v>64004.533016983725</v>
          </cell>
          <cell r="AP11">
            <v>59619.999475666722</v>
          </cell>
        </row>
        <row r="12">
          <cell r="V12">
            <v>77582.946579772586</v>
          </cell>
          <cell r="AP12">
            <v>75755.226086863258</v>
          </cell>
        </row>
        <row r="13">
          <cell r="V13">
            <v>93046.909834803388</v>
          </cell>
          <cell r="AP13">
            <v>94967.138384556092</v>
          </cell>
        </row>
        <row r="14">
          <cell r="V14">
            <v>110266.52003334294</v>
          </cell>
          <cell r="AP14">
            <v>117349.27018985653</v>
          </cell>
        </row>
        <row r="15">
          <cell r="V15">
            <v>128876.37568874929</v>
          </cell>
          <cell r="AP15">
            <v>142710.51270677024</v>
          </cell>
        </row>
        <row r="16">
          <cell r="V16">
            <v>149653.29082946057</v>
          </cell>
          <cell r="AP16">
            <v>172057.46319364951</v>
          </cell>
        </row>
        <row r="17">
          <cell r="V17">
            <v>177274.87920157809</v>
          </cell>
          <cell r="AP17">
            <v>206506.22262844123</v>
          </cell>
        </row>
        <row r="18">
          <cell r="V18">
            <v>208626.14969516307</v>
          </cell>
          <cell r="AP18">
            <v>237100.33415743706</v>
          </cell>
        </row>
        <row r="19">
          <cell r="V19">
            <v>242664.52498890966</v>
          </cell>
          <cell r="AP19">
            <v>269719.32564286003</v>
          </cell>
        </row>
        <row r="20">
          <cell r="V20">
            <v>280477.69139500929</v>
          </cell>
          <cell r="AP20">
            <v>305235.41663368949</v>
          </cell>
        </row>
        <row r="21">
          <cell r="V21">
            <v>322280.88681957271</v>
          </cell>
          <cell r="AP21">
            <v>343553.37681636255</v>
          </cell>
        </row>
        <row r="22">
          <cell r="V22">
            <v>368484.99344479077</v>
          </cell>
          <cell r="AP22">
            <v>385397.06958968547</v>
          </cell>
        </row>
        <row r="23">
          <cell r="V23">
            <v>419229.15046801692</v>
          </cell>
          <cell r="AP23">
            <v>430357.39920614637</v>
          </cell>
        </row>
        <row r="24">
          <cell r="V24">
            <v>475126.93297206098</v>
          </cell>
          <cell r="AP24">
            <v>479846.4933657134</v>
          </cell>
        </row>
        <row r="25">
          <cell r="V25">
            <v>536376.65889090579</v>
          </cell>
          <cell r="AP25">
            <v>533673.03331246809</v>
          </cell>
        </row>
        <row r="26">
          <cell r="V26">
            <v>599899.23502509936</v>
          </cell>
          <cell r="AP26">
            <v>589755.26634478627</v>
          </cell>
        </row>
        <row r="27">
          <cell r="V27">
            <v>672780.9612959912</v>
          </cell>
          <cell r="AP27">
            <v>650629.88550000603</v>
          </cell>
        </row>
        <row r="28">
          <cell r="V28">
            <v>750969.12804521876</v>
          </cell>
          <cell r="AP28">
            <v>716027.24919813219</v>
          </cell>
        </row>
        <row r="29">
          <cell r="V29">
            <v>834570.11776524666</v>
          </cell>
          <cell r="AP29">
            <v>786062.60728173878</v>
          </cell>
        </row>
        <row r="30">
          <cell r="V30">
            <v>923272.61051904596</v>
          </cell>
          <cell r="AP30">
            <v>859100.63076860784</v>
          </cell>
        </row>
        <row r="31">
          <cell r="V31">
            <v>1017544.3005622404</v>
          </cell>
          <cell r="AP31">
            <v>936297.74859109055</v>
          </cell>
        </row>
        <row r="32">
          <cell r="V32">
            <v>1120527.9215830811</v>
          </cell>
          <cell r="AP32">
            <v>1020725.6355478121</v>
          </cell>
        </row>
        <row r="33">
          <cell r="V33">
            <v>1232459.6690860819</v>
          </cell>
          <cell r="AP33">
            <v>1113011.8543084229</v>
          </cell>
        </row>
        <row r="34">
          <cell r="V34">
            <v>1359644.4876548359</v>
          </cell>
          <cell r="AP34">
            <v>1214679.3368820858</v>
          </cell>
        </row>
        <row r="35">
          <cell r="V35">
            <v>1528746.5537696825</v>
          </cell>
          <cell r="AP35">
            <v>1336231.0248496998</v>
          </cell>
        </row>
        <row r="36">
          <cell r="V36">
            <v>1713570.8471797328</v>
          </cell>
          <cell r="AP36">
            <v>1467583.6730071215</v>
          </cell>
        </row>
        <row r="37">
          <cell r="V37">
            <v>1950113.2467459808</v>
          </cell>
          <cell r="AP37">
            <v>1616918.5126664222</v>
          </cell>
        </row>
        <row r="38">
          <cell r="V38">
            <v>2210571.2024646862</v>
          </cell>
          <cell r="AP38">
            <v>1779598.8619133083</v>
          </cell>
        </row>
        <row r="39">
          <cell r="V39">
            <v>2495226.2179171699</v>
          </cell>
          <cell r="AP39">
            <v>1951869.0733388884</v>
          </cell>
        </row>
        <row r="40">
          <cell r="V40">
            <v>2807750.3743997794</v>
          </cell>
          <cell r="AP40">
            <v>2141267.3744764072</v>
          </cell>
        </row>
        <row r="41">
          <cell r="V41">
            <v>3163969.5592974508</v>
          </cell>
          <cell r="AP41">
            <v>2346102.8592363978</v>
          </cell>
        </row>
        <row r="42">
          <cell r="V42">
            <v>3562988.9315810478</v>
          </cell>
          <cell r="AP42">
            <v>2568810.7783203591</v>
          </cell>
        </row>
        <row r="43">
          <cell r="V43">
            <v>3997859.0676299408</v>
          </cell>
          <cell r="AP43">
            <v>2805614.2454620926</v>
          </cell>
        </row>
        <row r="44">
          <cell r="V44">
            <v>4471811.1643434707</v>
          </cell>
          <cell r="AP44">
            <v>3061087.3036607546</v>
          </cell>
        </row>
        <row r="45">
          <cell r="V45">
            <v>4984944.4793352168</v>
          </cell>
          <cell r="AP45">
            <v>3333233.0614809548</v>
          </cell>
        </row>
        <row r="46">
          <cell r="V46">
            <v>5494453.4650948448</v>
          </cell>
          <cell r="AP46">
            <v>3607763.0876538968</v>
          </cell>
        </row>
        <row r="47">
          <cell r="V47">
            <v>5845980.5500776097</v>
          </cell>
          <cell r="AP47">
            <v>3860401.1251412099</v>
          </cell>
        </row>
        <row r="48">
          <cell r="V48">
            <v>6214643.1825293703</v>
          </cell>
          <cell r="AP48">
            <v>4127999.663526034</v>
          </cell>
        </row>
        <row r="49">
          <cell r="V49">
            <v>6609799.3311576582</v>
          </cell>
          <cell r="AP49">
            <v>4422610.8558436623</v>
          </cell>
        </row>
        <row r="50">
          <cell r="V50">
            <v>7033033.1497111116</v>
          </cell>
          <cell r="AP50">
            <v>4732904.6358104944</v>
          </cell>
        </row>
        <row r="51">
          <cell r="V51">
            <v>7488776.0023980327</v>
          </cell>
          <cell r="AP51">
            <v>5072924.8103755023</v>
          </cell>
        </row>
        <row r="52">
          <cell r="V52">
            <v>7966402.3510044627</v>
          </cell>
          <cell r="AP52">
            <v>5436441.9157975214</v>
          </cell>
        </row>
        <row r="53">
          <cell r="V53">
            <v>8464096.0147443898</v>
          </cell>
          <cell r="AP53">
            <v>5828632.9802582003</v>
          </cell>
        </row>
        <row r="54">
          <cell r="V54">
            <v>8969897.8687686492</v>
          </cell>
          <cell r="AP54">
            <v>6240194.9327808255</v>
          </cell>
        </row>
        <row r="55">
          <cell r="V55">
            <v>9477922.4315241501</v>
          </cell>
          <cell r="AP55">
            <v>6664026.2775157327</v>
          </cell>
        </row>
        <row r="56">
          <cell r="V56">
            <v>10092589.107571105</v>
          </cell>
          <cell r="AP56">
            <v>7148054.7106147138</v>
          </cell>
        </row>
        <row r="57">
          <cell r="V57">
            <v>11023444.046002818</v>
          </cell>
          <cell r="AP57">
            <v>7720783.4219043395</v>
          </cell>
        </row>
        <row r="58">
          <cell r="V58">
            <v>12021888.640989173</v>
          </cell>
          <cell r="AP58">
            <v>8349739.0676217852</v>
          </cell>
        </row>
        <row r="59">
          <cell r="V59">
            <v>13082066.254317643</v>
          </cell>
          <cell r="AP59">
            <v>9017872.017045673</v>
          </cell>
        </row>
        <row r="60">
          <cell r="V60">
            <v>14280120.47402744</v>
          </cell>
          <cell r="AP60">
            <v>9785354.9790595677</v>
          </cell>
        </row>
        <row r="61">
          <cell r="V61">
            <v>15582392.821850967</v>
          </cell>
          <cell r="AP61">
            <v>10606370.035738952</v>
          </cell>
        </row>
        <row r="62">
          <cell r="V62">
            <v>16958048.205066949</v>
          </cell>
          <cell r="AP62">
            <v>11480078.901364589</v>
          </cell>
        </row>
        <row r="63">
          <cell r="V63">
            <v>18419761.144007303</v>
          </cell>
          <cell r="AP63">
            <v>12419859.565587152</v>
          </cell>
        </row>
        <row r="64">
          <cell r="V64">
            <v>19955374.49546086</v>
          </cell>
          <cell r="AP64">
            <v>13401719.618583659</v>
          </cell>
        </row>
        <row r="65">
          <cell r="V65">
            <v>21574189.396045137</v>
          </cell>
          <cell r="AP65">
            <v>14454291.177268486</v>
          </cell>
        </row>
        <row r="66">
          <cell r="V66">
            <v>23760355.933115549</v>
          </cell>
          <cell r="AP66">
            <v>16497252.318706712</v>
          </cell>
        </row>
        <row r="67">
          <cell r="V67">
            <v>26430660.452101864</v>
          </cell>
          <cell r="AP67">
            <v>19416358.33423049</v>
          </cell>
        </row>
        <row r="68">
          <cell r="V68">
            <v>29302686.60467612</v>
          </cell>
          <cell r="AP68">
            <v>22676540.723482721</v>
          </cell>
        </row>
        <row r="69">
          <cell r="V69">
            <v>32414819.593805343</v>
          </cell>
          <cell r="AP69">
            <v>26381414.498799335</v>
          </cell>
        </row>
        <row r="70">
          <cell r="V70">
            <v>35758711.135250375</v>
          </cell>
          <cell r="AP70">
            <v>30553439.477469187</v>
          </cell>
        </row>
        <row r="71">
          <cell r="V71">
            <v>39360138.052825019</v>
          </cell>
          <cell r="AP71">
            <v>35259095.81394171</v>
          </cell>
        </row>
        <row r="72">
          <cell r="V72">
            <v>42964761.082432114</v>
          </cell>
          <cell r="AP72">
            <v>40039231.794525728</v>
          </cell>
        </row>
        <row r="73">
          <cell r="V73">
            <v>46804674.910664439</v>
          </cell>
          <cell r="AP73">
            <v>45338901.368294969</v>
          </cell>
        </row>
        <row r="74">
          <cell r="V74">
            <v>50925676.995371193</v>
          </cell>
          <cell r="AP74">
            <v>51261219.070648246</v>
          </cell>
        </row>
        <row r="75">
          <cell r="V75">
            <v>55318577.823192276</v>
          </cell>
          <cell r="AP75">
            <v>57827229.323878489</v>
          </cell>
        </row>
        <row r="76">
          <cell r="V76">
            <v>60132290.310909748</v>
          </cell>
          <cell r="AP76">
            <v>65719091.876928098</v>
          </cell>
        </row>
        <row r="77">
          <cell r="V77">
            <v>65412928.839988634</v>
          </cell>
          <cell r="AP77">
            <v>73067970.274923697</v>
          </cell>
        </row>
        <row r="78">
          <cell r="V78">
            <v>71048792.51907061</v>
          </cell>
          <cell r="AP78">
            <v>81288116.752018973</v>
          </cell>
        </row>
        <row r="79">
          <cell r="V79">
            <v>76972882.884808183</v>
          </cell>
          <cell r="AP79">
            <v>90204464.293724492</v>
          </cell>
        </row>
        <row r="80">
          <cell r="V80">
            <v>83312944.23753202</v>
          </cell>
          <cell r="AP80">
            <v>100172424.88499679</v>
          </cell>
        </row>
        <row r="81">
          <cell r="V81">
            <v>90256347.78641367</v>
          </cell>
          <cell r="AP81">
            <v>111389655.52107424</v>
          </cell>
        </row>
        <row r="82">
          <cell r="V82">
            <v>97256867.825531736</v>
          </cell>
          <cell r="AP82">
            <v>123702619.1275824</v>
          </cell>
        </row>
        <row r="83">
          <cell r="V83">
            <v>104695327.72882083</v>
          </cell>
          <cell r="AP83">
            <v>137312951.56417418</v>
          </cell>
        </row>
        <row r="84">
          <cell r="V84">
            <v>112888582.8362948</v>
          </cell>
          <cell r="AP84">
            <v>150867884.62329832</v>
          </cell>
        </row>
        <row r="85">
          <cell r="V85">
            <v>122891272.86923936</v>
          </cell>
          <cell r="AP85">
            <v>166763741.38662294</v>
          </cell>
        </row>
        <row r="86">
          <cell r="V86">
            <v>133826523.89922251</v>
          </cell>
          <cell r="AP86">
            <v>185339203.47545609</v>
          </cell>
        </row>
        <row r="87">
          <cell r="V87">
            <v>145806848.95482719</v>
          </cell>
          <cell r="AP87">
            <v>208415335.73242009</v>
          </cell>
        </row>
        <row r="88">
          <cell r="V88">
            <v>158189590.67661673</v>
          </cell>
          <cell r="AP88">
            <v>230796651.65940788</v>
          </cell>
        </row>
        <row r="89">
          <cell r="V89">
            <v>169811046.96122253</v>
          </cell>
          <cell r="AP89">
            <v>252615702.80861601</v>
          </cell>
        </row>
        <row r="90">
          <cell r="V90">
            <v>181996279.0091975</v>
          </cell>
          <cell r="AP90">
            <v>276503587.66185659</v>
          </cell>
        </row>
        <row r="91">
          <cell r="V91">
            <v>194520783.91916347</v>
          </cell>
          <cell r="AP91">
            <v>303734804.81381989</v>
          </cell>
        </row>
        <row r="92">
          <cell r="V92">
            <v>207940618.9719243</v>
          </cell>
          <cell r="AP92">
            <v>334433469.88887823</v>
          </cell>
        </row>
        <row r="93">
          <cell r="V93">
            <v>221615634.24249944</v>
          </cell>
          <cell r="AP93">
            <v>365697104.95339864</v>
          </cell>
        </row>
        <row r="94">
          <cell r="V94">
            <v>235985610.66592944</v>
          </cell>
          <cell r="AP94">
            <v>399816372.76564395</v>
          </cell>
        </row>
        <row r="95">
          <cell r="V95">
            <v>251184195.91993022</v>
          </cell>
          <cell r="AP95">
            <v>436958405.3331179</v>
          </cell>
        </row>
        <row r="96">
          <cell r="V96">
            <v>267181572.692514</v>
          </cell>
          <cell r="AP96">
            <v>476974947.05831492</v>
          </cell>
        </row>
        <row r="97">
          <cell r="V97">
            <v>284673977.89450884</v>
          </cell>
          <cell r="AP97">
            <v>530493903.12244356</v>
          </cell>
        </row>
        <row r="98">
          <cell r="V98">
            <v>301695738.96031398</v>
          </cell>
          <cell r="AP98">
            <v>585661116.32332063</v>
          </cell>
        </row>
        <row r="99">
          <cell r="V99">
            <v>319414793.73655689</v>
          </cell>
          <cell r="AP99">
            <v>644772722.79825461</v>
          </cell>
        </row>
        <row r="100">
          <cell r="V100">
            <v>335940192.39561522</v>
          </cell>
          <cell r="AP100">
            <v>703449207.83274662</v>
          </cell>
        </row>
        <row r="101">
          <cell r="V101">
            <v>353375263.64069211</v>
          </cell>
          <cell r="AP101">
            <v>768969910.86894584</v>
          </cell>
        </row>
        <row r="102">
          <cell r="V102">
            <v>373436016.99490786</v>
          </cell>
          <cell r="AP102">
            <v>853629621.02713776</v>
          </cell>
        </row>
        <row r="103">
          <cell r="V103">
            <v>391834714.56653577</v>
          </cell>
          <cell r="AP103">
            <v>927912389.3881768</v>
          </cell>
        </row>
        <row r="104">
          <cell r="V104">
            <v>409252604.9714011</v>
          </cell>
          <cell r="AP104">
            <v>1000005602.9943446</v>
          </cell>
        </row>
        <row r="105">
          <cell r="V105">
            <v>425783266.28051531</v>
          </cell>
          <cell r="AP105">
            <v>1065363869.9208063</v>
          </cell>
        </row>
        <row r="106">
          <cell r="V106">
            <v>442556839.70146137</v>
          </cell>
          <cell r="AP106">
            <v>1132037794.8084922</v>
          </cell>
        </row>
        <row r="107">
          <cell r="V107">
            <v>460556742.49596107</v>
          </cell>
          <cell r="AP107">
            <v>1208043447.7652564</v>
          </cell>
        </row>
        <row r="108">
          <cell r="V108">
            <v>479084806.02765596</v>
          </cell>
          <cell r="AP108">
            <v>1288296944.4754522</v>
          </cell>
        </row>
        <row r="109">
          <cell r="V109">
            <v>498243593.89852035</v>
          </cell>
          <cell r="AP109">
            <v>1373107519.8901813</v>
          </cell>
        </row>
        <row r="110">
          <cell r="V110">
            <v>517127741.37047184</v>
          </cell>
          <cell r="AP110">
            <v>1455164848.545845</v>
          </cell>
        </row>
        <row r="111">
          <cell r="V111">
            <v>536198948.8675921</v>
          </cell>
          <cell r="AP111">
            <v>1539666817.8419528</v>
          </cell>
        </row>
        <row r="112">
          <cell r="V112">
            <v>557118255.23676729</v>
          </cell>
          <cell r="AP112">
            <v>1631280273.1476953</v>
          </cell>
        </row>
        <row r="113">
          <cell r="V113">
            <v>578552456.26929593</v>
          </cell>
          <cell r="AP113">
            <v>1726602949.3175571</v>
          </cell>
        </row>
        <row r="114">
          <cell r="V114">
            <v>600206641.48111093</v>
          </cell>
          <cell r="AP114">
            <v>1827208599.2925653</v>
          </cell>
        </row>
        <row r="115">
          <cell r="V115">
            <v>621777034.45934188</v>
          </cell>
          <cell r="AP115">
            <v>1929814213.1799746</v>
          </cell>
        </row>
        <row r="116">
          <cell r="V116">
            <v>644105866.61117816</v>
          </cell>
          <cell r="AP116">
            <v>2038487727.9947722</v>
          </cell>
        </row>
        <row r="117">
          <cell r="V117">
            <v>667537869.27809119</v>
          </cell>
          <cell r="AP117">
            <v>2145452287.6796756</v>
          </cell>
        </row>
        <row r="118">
          <cell r="V118">
            <v>691448249.35679054</v>
          </cell>
          <cell r="AP118">
            <v>2257575792.2765989</v>
          </cell>
        </row>
        <row r="119">
          <cell r="V119">
            <v>718013827.5464555</v>
          </cell>
          <cell r="AP119">
            <v>2380798979.1767077</v>
          </cell>
        </row>
        <row r="120">
          <cell r="V120">
            <v>746359270.1426878</v>
          </cell>
          <cell r="AP120">
            <v>2513363906.7359123</v>
          </cell>
        </row>
        <row r="121">
          <cell r="V121">
            <v>775456846.9588418</v>
          </cell>
          <cell r="AP121">
            <v>2649609321.5555234</v>
          </cell>
        </row>
        <row r="122">
          <cell r="V122">
            <v>799874658.56247211</v>
          </cell>
          <cell r="AP122">
            <v>2784694655.6475372</v>
          </cell>
        </row>
        <row r="123">
          <cell r="V123">
            <v>825102055.97029591</v>
          </cell>
          <cell r="AP123">
            <v>2925292490.376399</v>
          </cell>
        </row>
        <row r="124">
          <cell r="V124">
            <v>850703841.5482986</v>
          </cell>
          <cell r="AP124">
            <v>3070735540.2401729</v>
          </cell>
        </row>
        <row r="125">
          <cell r="V125">
            <v>877104973.72235405</v>
          </cell>
          <cell r="AP125">
            <v>3223597468.2808585</v>
          </cell>
        </row>
        <row r="126">
          <cell r="V126">
            <v>904147083.09084773</v>
          </cell>
          <cell r="AP126">
            <v>3382405293.5548091</v>
          </cell>
        </row>
        <row r="127">
          <cell r="V127">
            <v>929794273.22414184</v>
          </cell>
          <cell r="AP127">
            <v>3543393516.4559412</v>
          </cell>
        </row>
        <row r="128">
          <cell r="V128">
            <v>955749997.84023404</v>
          </cell>
          <cell r="AP128">
            <v>3709187623.7953587</v>
          </cell>
        </row>
        <row r="129">
          <cell r="V129">
            <v>983040005.37667239</v>
          </cell>
          <cell r="AP129">
            <v>3885806931.2605515</v>
          </cell>
        </row>
        <row r="130">
          <cell r="V130">
            <v>1011137804.1893785</v>
          </cell>
          <cell r="AP130">
            <v>4068978796.8817587</v>
          </cell>
        </row>
        <row r="131">
          <cell r="V131">
            <v>1039677862.5582732</v>
          </cell>
          <cell r="AP131">
            <v>4259616904.6270919</v>
          </cell>
        </row>
        <row r="132">
          <cell r="V132">
            <v>1062853911.5568523</v>
          </cell>
          <cell r="AP132">
            <v>4447593650.644206</v>
          </cell>
        </row>
        <row r="133">
          <cell r="V133">
            <v>1086708298.1947544</v>
          </cell>
          <cell r="AP133">
            <v>4645126507.8622227</v>
          </cell>
        </row>
        <row r="134">
          <cell r="V134">
            <v>1110656587.27718</v>
          </cell>
          <cell r="AP134">
            <v>4845740082.4656439</v>
          </cell>
        </row>
        <row r="135">
          <cell r="V135">
            <v>1135544678.1320162</v>
          </cell>
          <cell r="AP135">
            <v>5059170122.8511391</v>
          </cell>
        </row>
        <row r="136">
          <cell r="V136">
            <v>1160929112.3707643</v>
          </cell>
          <cell r="AP136">
            <v>5280601365.9138498</v>
          </cell>
        </row>
        <row r="137">
          <cell r="V137">
            <v>1188451609.1484318</v>
          </cell>
          <cell r="AP137">
            <v>5529888913.3608513</v>
          </cell>
        </row>
        <row r="138">
          <cell r="V138">
            <v>1216554477.7513099</v>
          </cell>
          <cell r="AP138">
            <v>5789204136.8652859</v>
          </cell>
        </row>
        <row r="139">
          <cell r="V139">
            <v>1245364061.46925</v>
          </cell>
          <cell r="AP139">
            <v>6060337628.0047989</v>
          </cell>
        </row>
        <row r="140">
          <cell r="V140">
            <v>1272023506.2023482</v>
          </cell>
          <cell r="AP140">
            <v>6327318340.9656649</v>
          </cell>
        </row>
        <row r="141">
          <cell r="V141">
            <v>1296861031.2502294</v>
          </cell>
          <cell r="AP141">
            <v>6593496045.7103148</v>
          </cell>
        </row>
        <row r="142">
          <cell r="V142">
            <v>1327821096.0054708</v>
          </cell>
          <cell r="AP142">
            <v>6879807304.0042629</v>
          </cell>
        </row>
        <row r="143">
          <cell r="V143">
            <v>1359353058.781189</v>
          </cell>
          <cell r="AP143">
            <v>7176219337.052784</v>
          </cell>
        </row>
        <row r="144">
          <cell r="V144">
            <v>1391590850.2601917</v>
          </cell>
          <cell r="AP144">
            <v>7484723346.5244246</v>
          </cell>
        </row>
        <row r="145">
          <cell r="V145">
            <v>1424360597.0289934</v>
          </cell>
          <cell r="AP145">
            <v>7803195765.4314137</v>
          </cell>
        </row>
        <row r="146">
          <cell r="V146">
            <v>1457484885.8275661</v>
          </cell>
          <cell r="AP146">
            <v>8134983591.9359522</v>
          </cell>
        </row>
        <row r="147">
          <cell r="V147">
            <v>1491602600.4962444</v>
          </cell>
          <cell r="AP147">
            <v>8461547194.2115316</v>
          </cell>
        </row>
        <row r="148">
          <cell r="V148">
            <v>1526922411.3753338</v>
          </cell>
          <cell r="AP148">
            <v>8807129977.6873779</v>
          </cell>
        </row>
        <row r="149">
          <cell r="V149">
            <v>1562784595.3274865</v>
          </cell>
          <cell r="AP149">
            <v>9167322084.9979858</v>
          </cell>
        </row>
        <row r="150">
          <cell r="V150">
            <v>1599629812.7226219</v>
          </cell>
          <cell r="AP150">
            <v>9551854825.3509083</v>
          </cell>
        </row>
        <row r="151">
          <cell r="V151">
            <v>1636974979.7495751</v>
          </cell>
          <cell r="AP151">
            <v>9946978287.7880039</v>
          </cell>
        </row>
        <row r="152">
          <cell r="V152">
            <v>1675282250.7895799</v>
          </cell>
          <cell r="AP152">
            <v>10359821697.095074</v>
          </cell>
        </row>
        <row r="153">
          <cell r="V153">
            <v>1713821560.8934731</v>
          </cell>
          <cell r="AP153">
            <v>10779557163.951267</v>
          </cell>
        </row>
        <row r="154">
          <cell r="V154">
            <v>1753637913.1960421</v>
          </cell>
          <cell r="AP154">
            <v>11222443121.255901</v>
          </cell>
        </row>
        <row r="155">
          <cell r="V155">
            <v>1794090821.7061296</v>
          </cell>
          <cell r="AP155">
            <v>11678956988.219351</v>
          </cell>
        </row>
        <row r="156">
          <cell r="V156">
            <v>1832290714.5244141</v>
          </cell>
          <cell r="AP156">
            <v>12139321803.523827</v>
          </cell>
        </row>
        <row r="157">
          <cell r="V157">
            <v>1862810307.8729203</v>
          </cell>
          <cell r="AP157">
            <v>12539303470.582615</v>
          </cell>
        </row>
        <row r="158">
          <cell r="V158">
            <v>1893812844.0557642</v>
          </cell>
          <cell r="AP158">
            <v>12951429774.500616</v>
          </cell>
        </row>
        <row r="159">
          <cell r="V159">
            <v>1927406535.5970633</v>
          </cell>
          <cell r="AP159">
            <v>13411265097.272518</v>
          </cell>
        </row>
        <row r="160">
          <cell r="V160">
            <v>1960764413.3154681</v>
          </cell>
          <cell r="AP160">
            <v>13885826264.435457</v>
          </cell>
        </row>
        <row r="161">
          <cell r="V161">
            <v>1990587773.9055941</v>
          </cell>
          <cell r="AP161">
            <v>14305404991.418758</v>
          </cell>
        </row>
        <row r="162">
          <cell r="V162">
            <v>2012931190.5441837</v>
          </cell>
          <cell r="AP162">
            <v>14598877085.470436</v>
          </cell>
        </row>
        <row r="163">
          <cell r="V163">
            <v>2031338551.5667074</v>
          </cell>
          <cell r="AP163">
            <v>14825017904.979836</v>
          </cell>
        </row>
        <row r="164">
          <cell r="V164">
            <v>2044159770.7123485</v>
          </cell>
          <cell r="AP164">
            <v>14953805673.779036</v>
          </cell>
        </row>
        <row r="165">
          <cell r="V165">
            <v>2054037425.0389504</v>
          </cell>
          <cell r="AP165">
            <v>15030879504.709303</v>
          </cell>
        </row>
        <row r="166">
          <cell r="V166">
            <v>2063934840.636929</v>
          </cell>
          <cell r="AP166">
            <v>15108150825.307249</v>
          </cell>
        </row>
      </sheetData>
      <sheetData sheetId="16">
        <row r="7">
          <cell r="V7">
            <v>25391.091506638739</v>
          </cell>
          <cell r="AP7">
            <v>18723.681654733096</v>
          </cell>
        </row>
        <row r="8">
          <cell r="V8">
            <v>33648.979409717256</v>
          </cell>
          <cell r="AP8">
            <v>26616.385289331913</v>
          </cell>
        </row>
        <row r="9">
          <cell r="V9">
            <v>43016.624234273811</v>
          </cell>
          <cell r="AP9">
            <v>36231.159510627069</v>
          </cell>
        </row>
        <row r="10">
          <cell r="V10">
            <v>54033.266244635946</v>
          </cell>
          <cell r="AP10">
            <v>48184.630072235057</v>
          </cell>
        </row>
        <row r="11">
          <cell r="V11">
            <v>66870.979052585448</v>
          </cell>
          <cell r="AP11">
            <v>62852.094502936219</v>
          </cell>
        </row>
        <row r="12">
          <cell r="V12">
            <v>81713.058620424577</v>
          </cell>
          <cell r="AP12">
            <v>80648.914062463562</v>
          </cell>
        </row>
        <row r="13">
          <cell r="V13">
            <v>98754.473201562825</v>
          </cell>
          <cell r="AP13">
            <v>102033.32254758468</v>
          </cell>
        </row>
        <row r="14">
          <cell r="V14">
            <v>117436.36214930247</v>
          </cell>
          <cell r="AP14">
            <v>126683.08734044795</v>
          </cell>
        </row>
        <row r="15">
          <cell r="V15">
            <v>138156.48204538276</v>
          </cell>
          <cell r="AP15">
            <v>155247.85218808069</v>
          </cell>
        </row>
        <row r="16">
          <cell r="V16">
            <v>161305.07713097474</v>
          </cell>
          <cell r="AP16">
            <v>188439.09775975719</v>
          </cell>
        </row>
        <row r="17">
          <cell r="V17">
            <v>190789.26722462042</v>
          </cell>
          <cell r="AP17">
            <v>226166.28239145983</v>
          </cell>
        </row>
        <row r="18">
          <cell r="V18">
            <v>223274.29773815238</v>
          </cell>
          <cell r="AP18">
            <v>258618.84232909142</v>
          </cell>
        </row>
        <row r="19">
          <cell r="V19">
            <v>260938.88970280814</v>
          </cell>
          <cell r="AP19">
            <v>296537.70769377059</v>
          </cell>
        </row>
        <row r="20">
          <cell r="V20">
            <v>300997.78320288681</v>
          </cell>
          <cell r="AP20">
            <v>334568.23955655075</v>
          </cell>
        </row>
        <row r="21">
          <cell r="V21">
            <v>345511.85797865305</v>
          </cell>
          <cell r="AP21">
            <v>377080.20754605968</v>
          </cell>
        </row>
        <row r="22">
          <cell r="V22">
            <v>394442.19190158485</v>
          </cell>
          <cell r="AP22">
            <v>422887.95147942007</v>
          </cell>
        </row>
        <row r="23">
          <cell r="V23">
            <v>448137.11018181738</v>
          </cell>
          <cell r="AP23">
            <v>472451.85494518897</v>
          </cell>
        </row>
        <row r="24">
          <cell r="V24">
            <v>507524.12449477764</v>
          </cell>
          <cell r="AP24">
            <v>528437.78952381446</v>
          </cell>
        </row>
        <row r="25">
          <cell r="V25">
            <v>572228.69965502142</v>
          </cell>
          <cell r="AP25">
            <v>588317.18676808581</v>
          </cell>
        </row>
        <row r="26">
          <cell r="V26">
            <v>639783.69334148546</v>
          </cell>
          <cell r="AP26">
            <v>650648.11977718794</v>
          </cell>
        </row>
        <row r="27">
          <cell r="V27">
            <v>717336.57324233791</v>
          </cell>
          <cell r="AP27">
            <v>718057.30173864786</v>
          </cell>
        </row>
        <row r="28">
          <cell r="V28">
            <v>800167.96969322534</v>
          </cell>
          <cell r="AP28">
            <v>789273.25260429084</v>
          </cell>
        </row>
        <row r="29">
          <cell r="V29">
            <v>887931.2802371385</v>
          </cell>
          <cell r="AP29">
            <v>862561.80445989431</v>
          </cell>
        </row>
        <row r="30">
          <cell r="V30">
            <v>982033.20196594042</v>
          </cell>
          <cell r="AP30">
            <v>942757.74151956371</v>
          </cell>
        </row>
        <row r="31">
          <cell r="V31">
            <v>1085207.5559883094</v>
          </cell>
          <cell r="AP31">
            <v>1030119.6326095823</v>
          </cell>
        </row>
        <row r="32">
          <cell r="V32">
            <v>1196805.1086865875</v>
          </cell>
          <cell r="AP32">
            <v>1125373.652732342</v>
          </cell>
        </row>
        <row r="33">
          <cell r="V33">
            <v>1315543.3676108338</v>
          </cell>
          <cell r="AP33">
            <v>1226131.2845586075</v>
          </cell>
        </row>
        <row r="34">
          <cell r="V34">
            <v>1458502.1923368229</v>
          </cell>
          <cell r="AP34">
            <v>1340524.7756447203</v>
          </cell>
        </row>
        <row r="35">
          <cell r="V35">
            <v>1675653.2909409823</v>
          </cell>
          <cell r="AP35">
            <v>1491426.508622013</v>
          </cell>
        </row>
        <row r="36">
          <cell r="V36">
            <v>1916382.6573249002</v>
          </cell>
          <cell r="AP36">
            <v>1654087.0917169664</v>
          </cell>
        </row>
        <row r="37">
          <cell r="V37">
            <v>2222648.2211886737</v>
          </cell>
          <cell r="AP37">
            <v>1840913.606444627</v>
          </cell>
        </row>
        <row r="38">
          <cell r="V38">
            <v>2564666.9639364858</v>
          </cell>
          <cell r="AP38">
            <v>2042743.1933978649</v>
          </cell>
        </row>
        <row r="39">
          <cell r="V39">
            <v>2945978.5242326492</v>
          </cell>
          <cell r="AP39">
            <v>2262844.9033892052</v>
          </cell>
        </row>
        <row r="40">
          <cell r="V40">
            <v>3369542.768547493</v>
          </cell>
          <cell r="AP40">
            <v>2501626.6789782015</v>
          </cell>
        </row>
        <row r="41">
          <cell r="V41">
            <v>3755928.6640090928</v>
          </cell>
          <cell r="AP41">
            <v>2728454.2845122553</v>
          </cell>
        </row>
        <row r="42">
          <cell r="V42">
            <v>4152303.8121456737</v>
          </cell>
          <cell r="AP42">
            <v>2953626.6441321434</v>
          </cell>
        </row>
        <row r="43">
          <cell r="V43">
            <v>4578334.9826380508</v>
          </cell>
          <cell r="AP43">
            <v>3197649.1736474535</v>
          </cell>
        </row>
        <row r="44">
          <cell r="V44">
            <v>5034354.5466663083</v>
          </cell>
          <cell r="AP44">
            <v>3453970.0509598227</v>
          </cell>
        </row>
        <row r="45">
          <cell r="V45">
            <v>5522785.0365749206</v>
          </cell>
          <cell r="AP45">
            <v>3729054.3187167393</v>
          </cell>
        </row>
        <row r="46">
          <cell r="V46">
            <v>6031881.2871037284</v>
          </cell>
          <cell r="AP46">
            <v>4018263.5565835941</v>
          </cell>
        </row>
        <row r="47">
          <cell r="V47">
            <v>6440670.3345250804</v>
          </cell>
          <cell r="AP47">
            <v>4305424.5303418636</v>
          </cell>
        </row>
        <row r="48">
          <cell r="V48">
            <v>6868539.0752392635</v>
          </cell>
          <cell r="AP48">
            <v>4611867.9468194954</v>
          </cell>
        </row>
        <row r="49">
          <cell r="V49">
            <v>7315287.5772605799</v>
          </cell>
          <cell r="AP49">
            <v>4932615.7299830941</v>
          </cell>
        </row>
        <row r="50">
          <cell r="V50">
            <v>7810470.473416565</v>
          </cell>
          <cell r="AP50">
            <v>5291664.474438549</v>
          </cell>
        </row>
        <row r="51">
          <cell r="V51">
            <v>8360379.0884384476</v>
          </cell>
          <cell r="AP51">
            <v>5689751.1129865684</v>
          </cell>
        </row>
        <row r="52">
          <cell r="V52">
            <v>8951148.9723063894</v>
          </cell>
          <cell r="AP52">
            <v>6134322.9369475255</v>
          </cell>
        </row>
        <row r="53">
          <cell r="V53">
            <v>9545583.7475060076</v>
          </cell>
          <cell r="AP53">
            <v>6585932.6085552042</v>
          </cell>
        </row>
        <row r="54">
          <cell r="V54">
            <v>10162071.745650925</v>
          </cell>
          <cell r="AP54">
            <v>7063283.2067688908</v>
          </cell>
        </row>
        <row r="55">
          <cell r="V55">
            <v>10802899.285982631</v>
          </cell>
          <cell r="AP55">
            <v>7563602.3845486594</v>
          </cell>
        </row>
        <row r="56">
          <cell r="V56">
            <v>12278907.067597546</v>
          </cell>
          <cell r="AP56">
            <v>8270607.9148499118</v>
          </cell>
        </row>
        <row r="57">
          <cell r="V57">
            <v>14389504.595009856</v>
          </cell>
          <cell r="AP57">
            <v>9136905.19700226</v>
          </cell>
        </row>
        <row r="58">
          <cell r="V58">
            <v>16703732.994525367</v>
          </cell>
          <cell r="AP58">
            <v>10065358.644887624</v>
          </cell>
        </row>
        <row r="59">
          <cell r="V59">
            <v>19232813.346872579</v>
          </cell>
          <cell r="AP59">
            <v>11069425.019900979</v>
          </cell>
        </row>
        <row r="60">
          <cell r="V60">
            <v>20405891.94991466</v>
          </cell>
          <cell r="AP60">
            <v>11879391.832458984</v>
          </cell>
        </row>
        <row r="61">
          <cell r="V61">
            <v>21226309.338833585</v>
          </cell>
          <cell r="AP61">
            <v>12679523.436624171</v>
          </cell>
        </row>
        <row r="62">
          <cell r="V62">
            <v>22062347.132384285</v>
          </cell>
          <cell r="AP62">
            <v>13521175.346649565</v>
          </cell>
        </row>
        <row r="63">
          <cell r="V63">
            <v>22928291.057158388</v>
          </cell>
          <cell r="AP63">
            <v>14418492.795846282</v>
          </cell>
        </row>
        <row r="64">
          <cell r="V64">
            <v>23828946.42212642</v>
          </cell>
          <cell r="AP64">
            <v>15380518.441671226</v>
          </cell>
        </row>
        <row r="65">
          <cell r="V65">
            <v>24765906.233154941</v>
          </cell>
          <cell r="AP65">
            <v>16405601.963032985</v>
          </cell>
        </row>
        <row r="66">
          <cell r="V66">
            <v>27377377.666062571</v>
          </cell>
          <cell r="AP66">
            <v>19288580.23810681</v>
          </cell>
        </row>
        <row r="67">
          <cell r="V67">
            <v>30504376.864052057</v>
          </cell>
          <cell r="AP67">
            <v>22796693.991752103</v>
          </cell>
        </row>
        <row r="68">
          <cell r="V68">
            <v>33896413.196294576</v>
          </cell>
          <cell r="AP68">
            <v>26829752.539045051</v>
          </cell>
        </row>
        <row r="69">
          <cell r="V69">
            <v>37571651.697517768</v>
          </cell>
          <cell r="AP69">
            <v>31402618.624332037</v>
          </cell>
        </row>
        <row r="70">
          <cell r="V70">
            <v>41568503.287198558</v>
          </cell>
          <cell r="AP70">
            <v>36650567.377194822</v>
          </cell>
        </row>
        <row r="71">
          <cell r="V71">
            <v>45936336.240729034</v>
          </cell>
          <cell r="AP71">
            <v>42525221.395908922</v>
          </cell>
        </row>
        <row r="72">
          <cell r="V72">
            <v>50591567.31089358</v>
          </cell>
          <cell r="AP72">
            <v>48915401.315855846</v>
          </cell>
        </row>
        <row r="73">
          <cell r="V73">
            <v>55514025.98191829</v>
          </cell>
          <cell r="AP73">
            <v>55949099.893189721</v>
          </cell>
        </row>
        <row r="74">
          <cell r="V74">
            <v>60793453.008038074</v>
          </cell>
          <cell r="AP74">
            <v>63815460.685578004</v>
          </cell>
        </row>
        <row r="75">
          <cell r="V75">
            <v>66689043.512764648</v>
          </cell>
          <cell r="AP75">
            <v>73004974.3285795</v>
          </cell>
        </row>
        <row r="76">
          <cell r="V76">
            <v>72269477.47245726</v>
          </cell>
          <cell r="AP76">
            <v>83226407.324970528</v>
          </cell>
        </row>
        <row r="77">
          <cell r="V77">
            <v>77964159.607996598</v>
          </cell>
          <cell r="AP77">
            <v>91911486.571972772</v>
          </cell>
        </row>
        <row r="78">
          <cell r="V78">
            <v>83998082.458414406</v>
          </cell>
          <cell r="AP78">
            <v>101403477.01640761</v>
          </cell>
        </row>
        <row r="79">
          <cell r="V79">
            <v>90679209.73997426</v>
          </cell>
          <cell r="AP79">
            <v>112305510.95049463</v>
          </cell>
        </row>
        <row r="80">
          <cell r="V80">
            <v>97918698.008221805</v>
          </cell>
          <cell r="AP80">
            <v>124716234.91866176</v>
          </cell>
        </row>
        <row r="81">
          <cell r="V81">
            <v>105696710.05175287</v>
          </cell>
          <cell r="AP81">
            <v>137489535.34879503</v>
          </cell>
        </row>
        <row r="82">
          <cell r="V82">
            <v>114158311.71961921</v>
          </cell>
          <cell r="AP82">
            <v>151935866.31216416</v>
          </cell>
        </row>
        <row r="83">
          <cell r="V83">
            <v>123223213.82186684</v>
          </cell>
          <cell r="AP83">
            <v>168043214.72695288</v>
          </cell>
        </row>
        <row r="84">
          <cell r="V84">
            <v>132959561.56443162</v>
          </cell>
          <cell r="AP84">
            <v>185322148.6326606</v>
          </cell>
        </row>
        <row r="85">
          <cell r="V85">
            <v>143285001.6161229</v>
          </cell>
          <cell r="AP85">
            <v>204145824.40986231</v>
          </cell>
        </row>
        <row r="86">
          <cell r="V86">
            <v>154151174.36940533</v>
          </cell>
          <cell r="AP86">
            <v>224147047.27248484</v>
          </cell>
        </row>
        <row r="87">
          <cell r="V87">
            <v>165233137.4235158</v>
          </cell>
          <cell r="AP87">
            <v>247073605.45989165</v>
          </cell>
        </row>
        <row r="88">
          <cell r="V88">
            <v>177128847.47887009</v>
          </cell>
          <cell r="AP88">
            <v>272039165.08044833</v>
          </cell>
        </row>
        <row r="89">
          <cell r="V89">
            <v>190087434.96839982</v>
          </cell>
          <cell r="AP89">
            <v>301160420.94170481</v>
          </cell>
        </row>
        <row r="90">
          <cell r="V90">
            <v>203908816.41826606</v>
          </cell>
          <cell r="AP90">
            <v>333324064.68143785</v>
          </cell>
        </row>
        <row r="91">
          <cell r="V91">
            <v>218519775.36132672</v>
          </cell>
          <cell r="AP91">
            <v>365951919.06468415</v>
          </cell>
        </row>
        <row r="92">
          <cell r="V92">
            <v>233965135.7399976</v>
          </cell>
          <cell r="AP92">
            <v>401151018.4119308</v>
          </cell>
        </row>
        <row r="93">
          <cell r="V93">
            <v>251219277.41493285</v>
          </cell>
          <cell r="AP93">
            <v>447464474.7393142</v>
          </cell>
        </row>
        <row r="94">
          <cell r="V94">
            <v>269898591.09408092</v>
          </cell>
          <cell r="AP94">
            <v>503227357.92275792</v>
          </cell>
        </row>
        <row r="95">
          <cell r="V95">
            <v>289722323.50767374</v>
          </cell>
          <cell r="AP95">
            <v>564657192.19995821</v>
          </cell>
        </row>
        <row r="96">
          <cell r="V96">
            <v>311734409.5743171</v>
          </cell>
          <cell r="AP96">
            <v>638769596.81525409</v>
          </cell>
        </row>
        <row r="97">
          <cell r="V97">
            <v>330227467.28922135</v>
          </cell>
          <cell r="AP97">
            <v>704744938.93856525</v>
          </cell>
        </row>
        <row r="98">
          <cell r="V98">
            <v>347810427.67123884</v>
          </cell>
          <cell r="AP98">
            <v>769889393.22700632</v>
          </cell>
        </row>
        <row r="99">
          <cell r="V99">
            <v>366604733.93519044</v>
          </cell>
          <cell r="AP99">
            <v>843043693.10953629</v>
          </cell>
        </row>
        <row r="100">
          <cell r="V100">
            <v>387162690.9032923</v>
          </cell>
          <cell r="AP100">
            <v>929808623.06452847</v>
          </cell>
        </row>
        <row r="101">
          <cell r="V101">
            <v>408223049.74258351</v>
          </cell>
          <cell r="AP101">
            <v>1020701367.0127553</v>
          </cell>
        </row>
        <row r="102">
          <cell r="V102">
            <v>430550245.88973153</v>
          </cell>
          <cell r="AP102">
            <v>1107790903.6395948</v>
          </cell>
        </row>
        <row r="103">
          <cell r="V103">
            <v>453062685.83406669</v>
          </cell>
          <cell r="AP103">
            <v>1194746281.4615166</v>
          </cell>
        </row>
        <row r="104">
          <cell r="V104">
            <v>475260629.18075198</v>
          </cell>
          <cell r="AP104">
            <v>1284388869.769887</v>
          </cell>
        </row>
        <row r="105">
          <cell r="V105">
            <v>498233498.10863698</v>
          </cell>
          <cell r="AP105">
            <v>1379511420.1750212</v>
          </cell>
        </row>
        <row r="106">
          <cell r="V106">
            <v>522046598.84026396</v>
          </cell>
          <cell r="AP106">
            <v>1480181463.6578887</v>
          </cell>
        </row>
        <row r="107">
          <cell r="V107">
            <v>545091030.564358</v>
          </cell>
          <cell r="AP107">
            <v>1576449173.4385056</v>
          </cell>
        </row>
        <row r="108">
          <cell r="V108">
            <v>568455901.7856468</v>
          </cell>
          <cell r="AP108">
            <v>1676620212.0177646</v>
          </cell>
        </row>
        <row r="109">
          <cell r="V109">
            <v>592930106.40633667</v>
          </cell>
          <cell r="AP109">
            <v>1784632080.5180337</v>
          </cell>
        </row>
        <row r="110">
          <cell r="V110">
            <v>618585467.79801393</v>
          </cell>
          <cell r="AP110">
            <v>1900997827.7269468</v>
          </cell>
        </row>
        <row r="111">
          <cell r="V111">
            <v>645143959.73547733</v>
          </cell>
          <cell r="AP111">
            <v>2025556844.202842</v>
          </cell>
        </row>
        <row r="112">
          <cell r="V112">
            <v>667744534.83300185</v>
          </cell>
          <cell r="AP112">
            <v>2152178735.2614498</v>
          </cell>
        </row>
        <row r="113">
          <cell r="V113">
            <v>689673811.06909227</v>
          </cell>
          <cell r="AP113">
            <v>2273500176.7160449</v>
          </cell>
        </row>
        <row r="114">
          <cell r="V114">
            <v>711201374.4500041</v>
          </cell>
          <cell r="AP114">
            <v>2392083835.808846</v>
          </cell>
        </row>
        <row r="115">
          <cell r="V115">
            <v>733398044.22524512</v>
          </cell>
          <cell r="AP115">
            <v>2517787418.5323853</v>
          </cell>
        </row>
        <row r="116">
          <cell r="V116">
            <v>756264230.04665029</v>
          </cell>
          <cell r="AP116">
            <v>2650117339.8195453</v>
          </cell>
        </row>
        <row r="117">
          <cell r="V117">
            <v>777852099.32150686</v>
          </cell>
          <cell r="AP117">
            <v>2793072857.129899</v>
          </cell>
        </row>
        <row r="118">
          <cell r="V118">
            <v>802024619.66686797</v>
          </cell>
          <cell r="AP118">
            <v>2949539480.2772312</v>
          </cell>
        </row>
        <row r="119">
          <cell r="V119">
            <v>827995588.67800212</v>
          </cell>
          <cell r="AP119">
            <v>3118166064.2037463</v>
          </cell>
        </row>
        <row r="120">
          <cell r="V120">
            <v>854348204.03602052</v>
          </cell>
          <cell r="AP120">
            <v>3292556287.7415919</v>
          </cell>
        </row>
        <row r="121">
          <cell r="V121">
            <v>881636605.98908186</v>
          </cell>
          <cell r="AP121">
            <v>3474128276.2614241</v>
          </cell>
        </row>
        <row r="122">
          <cell r="V122">
            <v>910446847.19349742</v>
          </cell>
          <cell r="AP122">
            <v>3667069238.1025553</v>
          </cell>
        </row>
        <row r="123">
          <cell r="V123">
            <v>938993698.50970888</v>
          </cell>
          <cell r="AP123">
            <v>3863236118.3792205</v>
          </cell>
        </row>
        <row r="124">
          <cell r="V124">
            <v>968460337.46595764</v>
          </cell>
          <cell r="AP124">
            <v>4070103461.2631497</v>
          </cell>
        </row>
        <row r="125">
          <cell r="V125">
            <v>998294852.98079073</v>
          </cell>
          <cell r="AP125">
            <v>4285552429.4195871</v>
          </cell>
        </row>
        <row r="126">
          <cell r="V126">
            <v>1028727937.3574172</v>
          </cell>
          <cell r="AP126">
            <v>4511891210.0053635</v>
          </cell>
        </row>
        <row r="127">
          <cell r="V127">
            <v>1058019058.4203715</v>
          </cell>
          <cell r="AP127">
            <v>4726211570.7743235</v>
          </cell>
        </row>
        <row r="128">
          <cell r="V128">
            <v>1088255337.5172012</v>
          </cell>
          <cell r="AP128">
            <v>4954189965.9322262</v>
          </cell>
        </row>
        <row r="129">
          <cell r="V129">
            <v>1118934866.9568892</v>
          </cell>
          <cell r="AP129">
            <v>5192242791.0432806</v>
          </cell>
        </row>
        <row r="130">
          <cell r="V130">
            <v>1150597903.7681451</v>
          </cell>
          <cell r="AP130">
            <v>5442532159.1511936</v>
          </cell>
        </row>
        <row r="131">
          <cell r="V131">
            <v>1182182151.3719342</v>
          </cell>
          <cell r="AP131">
            <v>5698173837.1019392</v>
          </cell>
        </row>
        <row r="132">
          <cell r="V132">
            <v>1208582037.6469145</v>
          </cell>
          <cell r="AP132">
            <v>5957574849.829812</v>
          </cell>
        </row>
        <row r="133">
          <cell r="V133">
            <v>1235029819.9866743</v>
          </cell>
          <cell r="AP133">
            <v>6220994508.8854361</v>
          </cell>
        </row>
        <row r="134">
          <cell r="V134">
            <v>1262137322.9138889</v>
          </cell>
          <cell r="AP134">
            <v>6496211064.2695704</v>
          </cell>
        </row>
        <row r="135">
          <cell r="V135">
            <v>1290222494.9364431</v>
          </cell>
          <cell r="AP135">
            <v>6787752649.1381655</v>
          </cell>
        </row>
        <row r="136">
          <cell r="V136">
            <v>1319033456.2379498</v>
          </cell>
          <cell r="AP136">
            <v>7092754163.705039</v>
          </cell>
        </row>
        <row r="137">
          <cell r="V137">
            <v>1344525724.26106</v>
          </cell>
          <cell r="AP137">
            <v>7356025254.3455172</v>
          </cell>
        </row>
        <row r="138">
          <cell r="V138">
            <v>1370579181.3063538</v>
          </cell>
          <cell r="AP138">
            <v>7629379191.639678</v>
          </cell>
        </row>
        <row r="139">
          <cell r="V139">
            <v>1394448551.7041273</v>
          </cell>
          <cell r="AP139">
            <v>7894509919.7662907</v>
          </cell>
        </row>
        <row r="140">
          <cell r="V140">
            <v>1415365327.8567653</v>
          </cell>
          <cell r="AP140">
            <v>8146897761.720787</v>
          </cell>
        </row>
        <row r="141">
          <cell r="V141">
            <v>1437020603.1349733</v>
          </cell>
          <cell r="AP141">
            <v>8412795150.7226686</v>
          </cell>
        </row>
        <row r="142">
          <cell r="V142">
            <v>1465020411.63852</v>
          </cell>
          <cell r="AP142">
            <v>8696900388.2569027</v>
          </cell>
        </row>
        <row r="143">
          <cell r="V143">
            <v>1493537911.2283692</v>
          </cell>
          <cell r="AP143">
            <v>8990467390.4410133</v>
          </cell>
        </row>
        <row r="144">
          <cell r="V144">
            <v>1522223629.0670955</v>
          </cell>
          <cell r="AP144">
            <v>9288416121.9937248</v>
          </cell>
        </row>
        <row r="145">
          <cell r="V145">
            <v>1551520920.8605771</v>
          </cell>
          <cell r="AP145">
            <v>9597466414.6989307</v>
          </cell>
        </row>
        <row r="146">
          <cell r="V146">
            <v>1580617875.1458597</v>
          </cell>
          <cell r="AP146">
            <v>9905365006.2822399</v>
          </cell>
        </row>
        <row r="147">
          <cell r="V147">
            <v>1612255004.5540943</v>
          </cell>
          <cell r="AP147">
            <v>10227595013.634153</v>
          </cell>
        </row>
        <row r="148">
          <cell r="V148">
            <v>1645767842.2720437</v>
          </cell>
          <cell r="AP148">
            <v>10580280898.757973</v>
          </cell>
        </row>
        <row r="149">
          <cell r="V149">
            <v>1680100067.5784209</v>
          </cell>
          <cell r="AP149">
            <v>10947492390.951427</v>
          </cell>
        </row>
        <row r="150">
          <cell r="V150">
            <v>1714734406.1507816</v>
          </cell>
          <cell r="AP150">
            <v>11321213471.950024</v>
          </cell>
        </row>
        <row r="151">
          <cell r="V151">
            <v>1750224337.388643</v>
          </cell>
          <cell r="AP151">
            <v>11710428358.753904</v>
          </cell>
        </row>
        <row r="152">
          <cell r="V152">
            <v>1785735944.2649212</v>
          </cell>
          <cell r="AP152">
            <v>12101759646.73687</v>
          </cell>
        </row>
        <row r="153">
          <cell r="V153">
            <v>1821756279.4187179</v>
          </cell>
          <cell r="AP153">
            <v>12504690675.38336</v>
          </cell>
        </row>
        <row r="154">
          <cell r="V154">
            <v>1858555679.4401567</v>
          </cell>
          <cell r="AP154">
            <v>12925018952.371067</v>
          </cell>
        </row>
        <row r="155">
          <cell r="V155">
            <v>1896009147.9823186</v>
          </cell>
          <cell r="AP155">
            <v>13358383696.451202</v>
          </cell>
        </row>
        <row r="156">
          <cell r="V156">
            <v>1934049895.5174162</v>
          </cell>
          <cell r="AP156">
            <v>13803836836.558168</v>
          </cell>
        </row>
        <row r="157">
          <cell r="V157">
            <v>1964189207.9712954</v>
          </cell>
          <cell r="AP157">
            <v>14217134693.19816</v>
          </cell>
        </row>
        <row r="158">
          <cell r="V158">
            <v>1996395046.899256</v>
          </cell>
          <cell r="AP158">
            <v>14686153239.258133</v>
          </cell>
        </row>
        <row r="159">
          <cell r="V159">
            <v>2029522785.0670726</v>
          </cell>
          <cell r="AP159">
            <v>15176887242.922653</v>
          </cell>
        </row>
        <row r="160">
          <cell r="V160">
            <v>2050391033.2103753</v>
          </cell>
          <cell r="AP160">
            <v>15452317975.394468</v>
          </cell>
        </row>
        <row r="161">
          <cell r="V161">
            <v>2066498700.7689919</v>
          </cell>
          <cell r="AP161">
            <v>15642910813.859684</v>
          </cell>
        </row>
        <row r="162">
          <cell r="V162">
            <v>2073801784.0816839</v>
          </cell>
          <cell r="AP162">
            <v>15674786958.598503</v>
          </cell>
        </row>
        <row r="163">
          <cell r="V163">
            <v>2079556260.6939673</v>
          </cell>
          <cell r="AP163">
            <v>15678626638.620621</v>
          </cell>
        </row>
        <row r="164">
          <cell r="V164">
            <v>2085316870.0116205</v>
          </cell>
          <cell r="AP164">
            <v>15682467934.164446</v>
          </cell>
        </row>
        <row r="165">
          <cell r="V165">
            <v>2091083612.4582891</v>
          </cell>
          <cell r="AP165">
            <v>15686310841.642353</v>
          </cell>
        </row>
        <row r="166">
          <cell r="V166">
            <v>2096850755.6996405</v>
          </cell>
          <cell r="AP166">
            <v>15690152974.198065</v>
          </cell>
        </row>
      </sheetData>
      <sheetData sheetId="17">
        <row r="7">
          <cell r="V7">
            <v>25583.495659324144</v>
          </cell>
          <cell r="AP7">
            <v>18823.688474268303</v>
          </cell>
        </row>
        <row r="8">
          <cell r="V8">
            <v>34396.788192804946</v>
          </cell>
          <cell r="AP8">
            <v>27137.505812314779</v>
          </cell>
        </row>
        <row r="9">
          <cell r="V9">
            <v>44577.651168280805</v>
          </cell>
          <cell r="AP9">
            <v>37430.560563398838</v>
          </cell>
        </row>
        <row r="10">
          <cell r="V10">
            <v>56685.056647087476</v>
          </cell>
          <cell r="AP10">
            <v>50366.860438246251</v>
          </cell>
        </row>
        <row r="11">
          <cell r="V11">
            <v>70939.51835768891</v>
          </cell>
          <cell r="AP11">
            <v>66398.294207250394</v>
          </cell>
        </row>
        <row r="12">
          <cell r="V12">
            <v>87577.327783872985</v>
          </cell>
          <cell r="AP12">
            <v>86028.50216155927</v>
          </cell>
        </row>
        <row r="13">
          <cell r="V13">
            <v>106679.0687747803</v>
          </cell>
          <cell r="AP13">
            <v>109639.83159239349</v>
          </cell>
        </row>
        <row r="14">
          <cell r="V14">
            <v>127627.77153710707</v>
          </cell>
          <cell r="AP14">
            <v>136877.06470487081</v>
          </cell>
        </row>
        <row r="15">
          <cell r="V15">
            <v>151314.81205071602</v>
          </cell>
          <cell r="AP15">
            <v>168957.33118182217</v>
          </cell>
        </row>
        <row r="16">
          <cell r="V16">
            <v>177959.53936125012</v>
          </cell>
          <cell r="AP16">
            <v>206473.35244944581</v>
          </cell>
        </row>
        <row r="17">
          <cell r="V17">
            <v>211530.96501191164</v>
          </cell>
          <cell r="AP17">
            <v>248472.27006453546</v>
          </cell>
        </row>
        <row r="18">
          <cell r="V18">
            <v>248982.17310950393</v>
          </cell>
          <cell r="AP18">
            <v>285235.99499636324</v>
          </cell>
        </row>
        <row r="19">
          <cell r="V19">
            <v>290581.4319973957</v>
          </cell>
          <cell r="AP19">
            <v>325216.30708472023</v>
          </cell>
        </row>
        <row r="20">
          <cell r="V20">
            <v>336497.9625386697</v>
          </cell>
          <cell r="AP20">
            <v>367937.51633538067</v>
          </cell>
        </row>
        <row r="21">
          <cell r="V21">
            <v>387318.10933210654</v>
          </cell>
          <cell r="AP21">
            <v>414720.96468876046</v>
          </cell>
        </row>
        <row r="22">
          <cell r="V22">
            <v>445983.78250979737</v>
          </cell>
          <cell r="AP22">
            <v>469190.5513793329</v>
          </cell>
        </row>
        <row r="23">
          <cell r="V23">
            <v>508209.84416307847</v>
          </cell>
          <cell r="AP23">
            <v>525586.97104955115</v>
          </cell>
        </row>
        <row r="24">
          <cell r="V24">
            <v>576851.37072729704</v>
          </cell>
          <cell r="AP24">
            <v>588350.26750442048</v>
          </cell>
        </row>
        <row r="25">
          <cell r="V25">
            <v>651515.72536344081</v>
          </cell>
          <cell r="AP25">
            <v>654730.92667622946</v>
          </cell>
        </row>
        <row r="26">
          <cell r="V26">
            <v>723948.36632524477</v>
          </cell>
          <cell r="AP26">
            <v>721066.60776050994</v>
          </cell>
        </row>
        <row r="27">
          <cell r="V27">
            <v>811941.05471440754</v>
          </cell>
          <cell r="AP27">
            <v>794513.93688176898</v>
          </cell>
        </row>
        <row r="28">
          <cell r="V28">
            <v>905799.90818376851</v>
          </cell>
          <cell r="AP28">
            <v>871606.37258349627</v>
          </cell>
        </row>
        <row r="29">
          <cell r="V29">
            <v>1006002.3589267638</v>
          </cell>
          <cell r="AP29">
            <v>953793.32872350269</v>
          </cell>
        </row>
        <row r="30">
          <cell r="V30">
            <v>1117286.8355426649</v>
          </cell>
          <cell r="AP30">
            <v>1045492.4802379656</v>
          </cell>
        </row>
        <row r="31">
          <cell r="V31">
            <v>1237171.6490757824</v>
          </cell>
          <cell r="AP31">
            <v>1145270.9078944316</v>
          </cell>
        </row>
        <row r="32">
          <cell r="V32">
            <v>1364405.323839417</v>
          </cell>
          <cell r="AP32">
            <v>1248879.5777375554</v>
          </cell>
        </row>
        <row r="33">
          <cell r="V33">
            <v>1500505.4204606037</v>
          </cell>
          <cell r="AP33">
            <v>1361141.7428971212</v>
          </cell>
        </row>
        <row r="34">
          <cell r="V34">
            <v>1719181.5501929964</v>
          </cell>
          <cell r="AP34">
            <v>1511728.4009602703</v>
          </cell>
        </row>
        <row r="35">
          <cell r="V35">
            <v>2004477.3052687105</v>
          </cell>
          <cell r="AP35">
            <v>1695735.4537337013</v>
          </cell>
        </row>
        <row r="36">
          <cell r="V36">
            <v>2324286.8692916632</v>
          </cell>
          <cell r="AP36">
            <v>1893601.3299171266</v>
          </cell>
        </row>
        <row r="37">
          <cell r="V37">
            <v>2729636.9329868229</v>
          </cell>
          <cell r="AP37">
            <v>2121472.0067294557</v>
          </cell>
        </row>
        <row r="38">
          <cell r="V38">
            <v>3187656.2219603839</v>
          </cell>
          <cell r="AP38">
            <v>2370661.468779048</v>
          </cell>
        </row>
        <row r="39">
          <cell r="V39">
            <v>3703039.6262369743</v>
          </cell>
          <cell r="AP39">
            <v>2642665.2014864162</v>
          </cell>
        </row>
        <row r="40">
          <cell r="V40">
            <v>4231146.0759365335</v>
          </cell>
          <cell r="AP40">
            <v>2922196.8082435713</v>
          </cell>
        </row>
        <row r="41">
          <cell r="V41">
            <v>4706498.8450031094</v>
          </cell>
          <cell r="AP41">
            <v>3177486.4782540635</v>
          </cell>
        </row>
        <row r="42">
          <cell r="V42">
            <v>5223320.9859022768</v>
          </cell>
          <cell r="AP42">
            <v>3445957.3120632716</v>
          </cell>
        </row>
        <row r="43">
          <cell r="V43">
            <v>5776706.2496808944</v>
          </cell>
          <cell r="AP43">
            <v>3727182.7727086181</v>
          </cell>
        </row>
        <row r="44">
          <cell r="V44">
            <v>6371667.6177587043</v>
          </cell>
          <cell r="AP44">
            <v>4031601.8544484526</v>
          </cell>
        </row>
        <row r="45">
          <cell r="V45">
            <v>7007763.7329799607</v>
          </cell>
          <cell r="AP45">
            <v>4352596.0771732032</v>
          </cell>
        </row>
        <row r="46">
          <cell r="V46">
            <v>7714847.0495651904</v>
          </cell>
          <cell r="AP46">
            <v>4707085.9363664398</v>
          </cell>
        </row>
        <row r="47">
          <cell r="V47">
            <v>8341402.9030465456</v>
          </cell>
          <cell r="AP47">
            <v>5073090.8228371702</v>
          </cell>
        </row>
        <row r="48">
          <cell r="V48">
            <v>9012081.2416900136</v>
          </cell>
          <cell r="AP48">
            <v>5475815.8362409668</v>
          </cell>
        </row>
        <row r="49">
          <cell r="V49">
            <v>9723042.1804066803</v>
          </cell>
          <cell r="AP49">
            <v>5903832.5534028187</v>
          </cell>
        </row>
        <row r="50">
          <cell r="V50">
            <v>10507573.87371533</v>
          </cell>
          <cell r="AP50">
            <v>6372188.1855867459</v>
          </cell>
        </row>
        <row r="51">
          <cell r="V51">
            <v>11319440.261850774</v>
          </cell>
          <cell r="AP51">
            <v>6870098.0387396058</v>
          </cell>
        </row>
        <row r="52">
          <cell r="V52">
            <v>12136668.820818184</v>
          </cell>
          <cell r="AP52">
            <v>7371422.1247027013</v>
          </cell>
        </row>
        <row r="53">
          <cell r="V53">
            <v>12997066.758448068</v>
          </cell>
          <cell r="AP53">
            <v>7907199.6862299638</v>
          </cell>
        </row>
        <row r="54">
          <cell r="V54">
            <v>13895883.439466808</v>
          </cell>
          <cell r="AP54">
            <v>8461142.1708719078</v>
          </cell>
        </row>
        <row r="55">
          <cell r="V55">
            <v>15021071.002913862</v>
          </cell>
          <cell r="AP55">
            <v>9229333.8559137415</v>
          </cell>
        </row>
        <row r="56">
          <cell r="V56">
            <v>16035197.413031138</v>
          </cell>
          <cell r="AP56">
            <v>9893295.9263578635</v>
          </cell>
        </row>
        <row r="57">
          <cell r="V57">
            <v>17462225.928809807</v>
          </cell>
          <cell r="AP57">
            <v>10673871.216386272</v>
          </cell>
        </row>
        <row r="58">
          <cell r="V58">
            <v>18980236.745759375</v>
          </cell>
          <cell r="AP58">
            <v>11515425.114075636</v>
          </cell>
        </row>
        <row r="59">
          <cell r="V59">
            <v>20619862.748473398</v>
          </cell>
          <cell r="AP59">
            <v>12424240.954321343</v>
          </cell>
        </row>
        <row r="60">
          <cell r="V60">
            <v>22499830.219845872</v>
          </cell>
          <cell r="AP60">
            <v>13472385.984281469</v>
          </cell>
        </row>
        <row r="61">
          <cell r="V61">
            <v>24514919.264466248</v>
          </cell>
          <cell r="AP61">
            <v>14566882.342119472</v>
          </cell>
        </row>
        <row r="62">
          <cell r="V62">
            <v>26642763.888349965</v>
          </cell>
          <cell r="AP62">
            <v>15744065.105213623</v>
          </cell>
        </row>
        <row r="63">
          <cell r="V63">
            <v>28896352.792305417</v>
          </cell>
          <cell r="AP63">
            <v>17000681.287971929</v>
          </cell>
        </row>
        <row r="64">
          <cell r="V64">
            <v>31300339.83444424</v>
          </cell>
          <cell r="AP64">
            <v>18358663.992569793</v>
          </cell>
        </row>
        <row r="65">
          <cell r="V65">
            <v>33878010.834035814</v>
          </cell>
          <cell r="AP65">
            <v>19816701.031820662</v>
          </cell>
        </row>
        <row r="66">
          <cell r="V66">
            <v>37627907.93449574</v>
          </cell>
          <cell r="AP66">
            <v>24166444.103034478</v>
          </cell>
        </row>
        <row r="67">
          <cell r="V67">
            <v>41693039.270883203</v>
          </cell>
          <cell r="AP67">
            <v>28603921.984082047</v>
          </cell>
        </row>
        <row r="68">
          <cell r="V68">
            <v>46095725.141836151</v>
          </cell>
          <cell r="AP68">
            <v>33670913.175897561</v>
          </cell>
        </row>
        <row r="69">
          <cell r="V69">
            <v>50868253.636263236</v>
          </cell>
          <cell r="AP69">
            <v>39467652.405058131</v>
          </cell>
        </row>
        <row r="70">
          <cell r="V70">
            <v>56022572.980456635</v>
          </cell>
          <cell r="AP70">
            <v>46042476.279654555</v>
          </cell>
        </row>
        <row r="71">
          <cell r="V71">
            <v>61126418.566827565</v>
          </cell>
          <cell r="AP71">
            <v>53521432.034630381</v>
          </cell>
        </row>
        <row r="72">
          <cell r="V72">
            <v>65992266.674426034</v>
          </cell>
          <cell r="AP72">
            <v>61757419.477448165</v>
          </cell>
        </row>
        <row r="73">
          <cell r="V73">
            <v>71190816.241071135</v>
          </cell>
          <cell r="AP73">
            <v>71108782.851507097</v>
          </cell>
        </row>
        <row r="74">
          <cell r="V74">
            <v>77065359.708487824</v>
          </cell>
          <cell r="AP74">
            <v>82005451.378407151</v>
          </cell>
        </row>
        <row r="75">
          <cell r="V75">
            <v>83163537.617056563</v>
          </cell>
          <cell r="AP75">
            <v>94244053.241382375</v>
          </cell>
        </row>
        <row r="76">
          <cell r="V76">
            <v>89254507.460656822</v>
          </cell>
          <cell r="AP76">
            <v>107613237.78604876</v>
          </cell>
        </row>
        <row r="77">
          <cell r="V77">
            <v>95867259.808799788</v>
          </cell>
          <cell r="AP77">
            <v>120794400.53548089</v>
          </cell>
        </row>
        <row r="78">
          <cell r="V78">
            <v>103076313.86898449</v>
          </cell>
          <cell r="AP78">
            <v>135478693.77781758</v>
          </cell>
        </row>
        <row r="79">
          <cell r="V79">
            <v>113074826.8747208</v>
          </cell>
          <cell r="AP79">
            <v>153418235.13432747</v>
          </cell>
        </row>
        <row r="80">
          <cell r="V80">
            <v>123954527.1823062</v>
          </cell>
          <cell r="AP80">
            <v>173817247.93757635</v>
          </cell>
        </row>
        <row r="81">
          <cell r="V81">
            <v>135401094.37552205</v>
          </cell>
          <cell r="AP81">
            <v>195527274.12012902</v>
          </cell>
        </row>
        <row r="82">
          <cell r="V82">
            <v>146481738.71724972</v>
          </cell>
          <cell r="AP82">
            <v>217803686.76937979</v>
          </cell>
        </row>
        <row r="83">
          <cell r="V83">
            <v>158165385.7348004</v>
          </cell>
          <cell r="AP83">
            <v>242123665.20693469</v>
          </cell>
        </row>
        <row r="84">
          <cell r="V84">
            <v>171286228.72973385</v>
          </cell>
          <cell r="AP84">
            <v>269459861.26437312</v>
          </cell>
        </row>
        <row r="85">
          <cell r="V85">
            <v>185211310.01432347</v>
          </cell>
          <cell r="AP85">
            <v>298460859.49202168</v>
          </cell>
        </row>
        <row r="86">
          <cell r="V86">
            <v>199717364.776573</v>
          </cell>
          <cell r="AP86">
            <v>329771907.80254513</v>
          </cell>
        </row>
        <row r="87">
          <cell r="V87">
            <v>216674703.25616112</v>
          </cell>
          <cell r="AP87">
            <v>376965005.30486542</v>
          </cell>
        </row>
        <row r="88">
          <cell r="V88">
            <v>234944665.05705878</v>
          </cell>
          <cell r="AP88">
            <v>429391326.36299539</v>
          </cell>
        </row>
        <row r="89">
          <cell r="V89">
            <v>253156742.9503164</v>
          </cell>
          <cell r="AP89">
            <v>483698917.1184122</v>
          </cell>
        </row>
        <row r="90">
          <cell r="V90">
            <v>271985037.76210541</v>
          </cell>
          <cell r="AP90">
            <v>541617707.71917856</v>
          </cell>
        </row>
        <row r="91">
          <cell r="V91">
            <v>289811459.046377</v>
          </cell>
          <cell r="AP91">
            <v>596527479.56249011</v>
          </cell>
        </row>
        <row r="92">
          <cell r="V92">
            <v>311819412.00554109</v>
          </cell>
          <cell r="AP92">
            <v>658209351.89583981</v>
          </cell>
        </row>
        <row r="93">
          <cell r="V93">
            <v>334401770.88083351</v>
          </cell>
          <cell r="AP93">
            <v>724390791.47232163</v>
          </cell>
        </row>
        <row r="94">
          <cell r="V94">
            <v>358629181.58616227</v>
          </cell>
          <cell r="AP94">
            <v>800014145.24726367</v>
          </cell>
        </row>
        <row r="95">
          <cell r="V95">
            <v>383903388.78748524</v>
          </cell>
          <cell r="AP95">
            <v>882006065.1796509</v>
          </cell>
        </row>
        <row r="96">
          <cell r="V96">
            <v>409308466.63649738</v>
          </cell>
          <cell r="AP96">
            <v>966516729.59110892</v>
          </cell>
        </row>
        <row r="97">
          <cell r="V97">
            <v>430786750.12258738</v>
          </cell>
          <cell r="AP97">
            <v>1065602147.5873961</v>
          </cell>
        </row>
        <row r="98">
          <cell r="V98">
            <v>453845978.0433318</v>
          </cell>
          <cell r="AP98">
            <v>1177897240.1809969</v>
          </cell>
        </row>
        <row r="99">
          <cell r="V99">
            <v>478726089.82664621</v>
          </cell>
          <cell r="AP99">
            <v>1305982990.2500942</v>
          </cell>
        </row>
        <row r="100">
          <cell r="V100">
            <v>505047938.90788019</v>
          </cell>
          <cell r="AP100">
            <v>1447505645.5276656</v>
          </cell>
        </row>
        <row r="101">
          <cell r="V101">
            <v>530289105.08540106</v>
          </cell>
          <cell r="AP101">
            <v>1581809120.6339712</v>
          </cell>
        </row>
        <row r="102">
          <cell r="V102">
            <v>555082173.79619122</v>
          </cell>
          <cell r="AP102">
            <v>1714545908.4243221</v>
          </cell>
        </row>
        <row r="103">
          <cell r="V103">
            <v>580728078.56054151</v>
          </cell>
          <cell r="AP103">
            <v>1855664166.312098</v>
          </cell>
        </row>
        <row r="104">
          <cell r="V104">
            <v>604582961.75436842</v>
          </cell>
          <cell r="AP104">
            <v>2004628005.1335919</v>
          </cell>
        </row>
        <row r="105">
          <cell r="V105">
            <v>629140256.95689797</v>
          </cell>
          <cell r="AP105">
            <v>2162618282.1310878</v>
          </cell>
        </row>
        <row r="106">
          <cell r="V106">
            <v>654198502.11844575</v>
          </cell>
          <cell r="AP106">
            <v>2327832017.9099379</v>
          </cell>
        </row>
        <row r="107">
          <cell r="V107">
            <v>673743753.79034507</v>
          </cell>
          <cell r="AP107">
            <v>2441655865.3460851</v>
          </cell>
        </row>
        <row r="108">
          <cell r="V108">
            <v>693850515.51884818</v>
          </cell>
          <cell r="AP108">
            <v>2562081832.1008234</v>
          </cell>
        </row>
        <row r="109">
          <cell r="V109">
            <v>714721270.48800802</v>
          </cell>
          <cell r="AP109">
            <v>2690293932.1782265</v>
          </cell>
        </row>
        <row r="110">
          <cell r="V110">
            <v>736664780.76477814</v>
          </cell>
          <cell r="AP110">
            <v>2829721884.4968772</v>
          </cell>
        </row>
        <row r="111">
          <cell r="V111">
            <v>758745543.70905042</v>
          </cell>
          <cell r="AP111">
            <v>2973669416.2422433</v>
          </cell>
        </row>
        <row r="112">
          <cell r="V112">
            <v>781945495.22231126</v>
          </cell>
          <cell r="AP112">
            <v>3128448236.8127384</v>
          </cell>
        </row>
        <row r="113">
          <cell r="V113">
            <v>804536269.71151042</v>
          </cell>
          <cell r="AP113">
            <v>3278662609.0692015</v>
          </cell>
        </row>
        <row r="114">
          <cell r="V114">
            <v>826201161.2771672</v>
          </cell>
          <cell r="AP114">
            <v>3420061827.4297771</v>
          </cell>
        </row>
        <row r="115">
          <cell r="V115">
            <v>848116736.13180804</v>
          </cell>
          <cell r="AP115">
            <v>3565269379.2542243</v>
          </cell>
        </row>
        <row r="116">
          <cell r="V116">
            <v>870868838.16929793</v>
          </cell>
          <cell r="AP116">
            <v>3719969193.6956673</v>
          </cell>
        </row>
        <row r="117">
          <cell r="V117">
            <v>891950755.41696537</v>
          </cell>
          <cell r="AP117">
            <v>3868191741.3557763</v>
          </cell>
        </row>
        <row r="118">
          <cell r="V118">
            <v>914510661.55079305</v>
          </cell>
          <cell r="AP118">
            <v>4025802167.9841881</v>
          </cell>
        </row>
        <row r="119">
          <cell r="V119">
            <v>937337265.08010507</v>
          </cell>
          <cell r="AP119">
            <v>4186216913.4423614</v>
          </cell>
        </row>
        <row r="120">
          <cell r="V120">
            <v>960623045.92686498</v>
          </cell>
          <cell r="AP120">
            <v>4351695079.5118227</v>
          </cell>
        </row>
        <row r="121">
          <cell r="V121">
            <v>984858926.37633419</v>
          </cell>
          <cell r="AP121">
            <v>4522870304.0468979</v>
          </cell>
        </row>
        <row r="122">
          <cell r="V122">
            <v>1010007281.9853234</v>
          </cell>
          <cell r="AP122">
            <v>4701237003.9869556</v>
          </cell>
        </row>
        <row r="123">
          <cell r="V123">
            <v>1034771957.0129464</v>
          </cell>
          <cell r="AP123">
            <v>4880731242.447011</v>
          </cell>
        </row>
        <row r="124">
          <cell r="V124">
            <v>1059986908.8374212</v>
          </cell>
          <cell r="AP124">
            <v>5065466198.1707745</v>
          </cell>
        </row>
        <row r="125">
          <cell r="V125">
            <v>1085833479.0331059</v>
          </cell>
          <cell r="AP125">
            <v>5257731429.9473276</v>
          </cell>
        </row>
        <row r="126">
          <cell r="V126">
            <v>1111746150.3398123</v>
          </cell>
          <cell r="AP126">
            <v>5450548969.4657612</v>
          </cell>
        </row>
        <row r="127">
          <cell r="V127">
            <v>1138400929.9506903</v>
          </cell>
          <cell r="AP127">
            <v>5652640406.7420321</v>
          </cell>
        </row>
        <row r="128">
          <cell r="V128">
            <v>1165408743.0008593</v>
          </cell>
          <cell r="AP128">
            <v>5860392853.9670181</v>
          </cell>
        </row>
        <row r="129">
          <cell r="V129">
            <v>1193711630.2955863</v>
          </cell>
          <cell r="AP129">
            <v>6081691608.327281</v>
          </cell>
        </row>
        <row r="130">
          <cell r="V130">
            <v>1221832530.6826949</v>
          </cell>
          <cell r="AP130">
            <v>6303919100.2680416</v>
          </cell>
        </row>
        <row r="131">
          <cell r="V131">
            <v>1250470177.3130262</v>
          </cell>
          <cell r="AP131">
            <v>6533723510.3887329</v>
          </cell>
        </row>
        <row r="132">
          <cell r="V132">
            <v>1272984917.7476182</v>
          </cell>
          <cell r="AP132">
            <v>6755180444.8345022</v>
          </cell>
        </row>
        <row r="133">
          <cell r="V133">
            <v>1295887182.1075437</v>
          </cell>
          <cell r="AP133">
            <v>6983516308.9118996</v>
          </cell>
        </row>
        <row r="134">
          <cell r="V134">
            <v>1319253422.8191299</v>
          </cell>
          <cell r="AP134">
            <v>7219785359.5613613</v>
          </cell>
        </row>
        <row r="135">
          <cell r="V135">
            <v>1343584150.3729324</v>
          </cell>
          <cell r="AP135">
            <v>7471087646.9940195</v>
          </cell>
        </row>
        <row r="136">
          <cell r="V136">
            <v>1368423390.1730635</v>
          </cell>
          <cell r="AP136">
            <v>7731425304.3178816</v>
          </cell>
        </row>
        <row r="137">
          <cell r="V137">
            <v>1393629104.0580144</v>
          </cell>
          <cell r="AP137">
            <v>7998947288.580122</v>
          </cell>
        </row>
        <row r="138">
          <cell r="V138">
            <v>1416859575.2568402</v>
          </cell>
          <cell r="AP138">
            <v>8259311384.3601618</v>
          </cell>
        </row>
        <row r="139">
          <cell r="V139">
            <v>1436720411.3775718</v>
          </cell>
          <cell r="AP139">
            <v>8501901216.2879143</v>
          </cell>
        </row>
        <row r="140">
          <cell r="V140">
            <v>1457079564.6502171</v>
          </cell>
          <cell r="AP140">
            <v>8754252081.1825733</v>
          </cell>
        </row>
        <row r="141">
          <cell r="V141">
            <v>1477760471.4022288</v>
          </cell>
          <cell r="AP141">
            <v>9013947730.2087841</v>
          </cell>
        </row>
        <row r="142">
          <cell r="V142">
            <v>1505251040.4972651</v>
          </cell>
          <cell r="AP142">
            <v>9297125140.0098248</v>
          </cell>
        </row>
        <row r="143">
          <cell r="V143">
            <v>1532720166.0713329</v>
          </cell>
          <cell r="AP143">
            <v>9581431689.1492348</v>
          </cell>
        </row>
        <row r="144">
          <cell r="V144">
            <v>1560724406.4067008</v>
          </cell>
          <cell r="AP144">
            <v>9875387010.6056309</v>
          </cell>
        </row>
        <row r="145">
          <cell r="V145">
            <v>1588415925.7837591</v>
          </cell>
          <cell r="AP145">
            <v>10165903223.543913</v>
          </cell>
        </row>
        <row r="146">
          <cell r="V146">
            <v>1616837434.525363</v>
          </cell>
          <cell r="AP146">
            <v>10469210068.961075</v>
          </cell>
        </row>
        <row r="147">
          <cell r="V147">
            <v>1648952451.2744608</v>
          </cell>
          <cell r="AP147">
            <v>10804701001.771046</v>
          </cell>
        </row>
        <row r="148">
          <cell r="V148">
            <v>1682187662.2435682</v>
          </cell>
          <cell r="AP148">
            <v>11159252148.345497</v>
          </cell>
        </row>
        <row r="149">
          <cell r="V149">
            <v>1715791582.73474</v>
          </cell>
          <cell r="AP149">
            <v>11521051827.031509</v>
          </cell>
        </row>
        <row r="150">
          <cell r="V150">
            <v>1750086804.5721974</v>
          </cell>
          <cell r="AP150">
            <v>11895447705.134155</v>
          </cell>
        </row>
        <row r="151">
          <cell r="V151">
            <v>1784484225.019882</v>
          </cell>
          <cell r="AP151">
            <v>12272859581.354881</v>
          </cell>
        </row>
        <row r="152">
          <cell r="V152">
            <v>1819232863.6168342</v>
          </cell>
          <cell r="AP152">
            <v>12657373687.984289</v>
          </cell>
        </row>
        <row r="153">
          <cell r="V153">
            <v>1854283843.8506172</v>
          </cell>
          <cell r="AP153">
            <v>13049934882.884684</v>
          </cell>
        </row>
        <row r="154">
          <cell r="V154">
            <v>1889977559.1671622</v>
          </cell>
          <cell r="AP154">
            <v>13460218688.577663</v>
          </cell>
        </row>
        <row r="155">
          <cell r="V155">
            <v>1926234383.495208</v>
          </cell>
          <cell r="AP155">
            <v>13881770180.18157</v>
          </cell>
        </row>
        <row r="156">
          <cell r="V156">
            <v>1964107688.2981029</v>
          </cell>
          <cell r="AP156">
            <v>14333128955.323597</v>
          </cell>
        </row>
        <row r="157">
          <cell r="V157">
            <v>1999012580.3716931</v>
          </cell>
          <cell r="AP157">
            <v>14827619538.021147</v>
          </cell>
        </row>
        <row r="158">
          <cell r="V158">
            <v>2033032619.7515924</v>
          </cell>
          <cell r="AP158">
            <v>15337623224.479279</v>
          </cell>
        </row>
        <row r="159">
          <cell r="V159">
            <v>2054453950.8662155</v>
          </cell>
          <cell r="AP159">
            <v>15624863312.269379</v>
          </cell>
        </row>
        <row r="160">
          <cell r="V160">
            <v>2070661844.1576827</v>
          </cell>
          <cell r="AP160">
            <v>15818465088.777515</v>
          </cell>
        </row>
        <row r="161">
          <cell r="V161">
            <v>2077748214.7365263</v>
          </cell>
          <cell r="AP161">
            <v>15846348152.898346</v>
          </cell>
        </row>
        <row r="162">
          <cell r="V162">
            <v>2083518920.8703184</v>
          </cell>
          <cell r="AP162">
            <v>15850209100.599335</v>
          </cell>
        </row>
        <row r="163">
          <cell r="V163">
            <v>2089295765.47644</v>
          </cell>
          <cell r="AP163">
            <v>15854071677.428762</v>
          </cell>
        </row>
        <row r="164">
          <cell r="V164">
            <v>2095078748.9650588</v>
          </cell>
          <cell r="AP164">
            <v>15857935879.766453</v>
          </cell>
        </row>
        <row r="165">
          <cell r="V165">
            <v>2100867871.7463145</v>
          </cell>
          <cell r="AP165">
            <v>15861801704.002953</v>
          </cell>
        </row>
        <row r="166">
          <cell r="V166">
            <v>2106657378.9268892</v>
          </cell>
          <cell r="AP166">
            <v>15865666748.440336</v>
          </cell>
        </row>
      </sheetData>
      <sheetData sheetId="18">
        <row r="7">
          <cell r="V7">
            <v>25733.356195046705</v>
          </cell>
          <cell r="AP7">
            <v>18904.325877052539</v>
          </cell>
        </row>
        <row r="8">
          <cell r="V8">
            <v>34857.624190189083</v>
          </cell>
          <cell r="AP8">
            <v>27591.896947544254</v>
          </cell>
        </row>
        <row r="9">
          <cell r="V9">
            <v>45530.472837275876</v>
          </cell>
          <cell r="AP9">
            <v>38506.105897648005</v>
          </cell>
        </row>
        <row r="10">
          <cell r="V10">
            <v>58317.871039791105</v>
          </cell>
          <cell r="AP10">
            <v>52357.730583215787</v>
          </cell>
        </row>
        <row r="11">
          <cell r="V11">
            <v>73478.174108929408</v>
          </cell>
          <cell r="AP11">
            <v>69677.261746677017</v>
          </cell>
        </row>
        <row r="12">
          <cell r="V12">
            <v>91289.575503721804</v>
          </cell>
          <cell r="AP12">
            <v>91059.731259259788</v>
          </cell>
        </row>
        <row r="13">
          <cell r="V13">
            <v>111388.5511211033</v>
          </cell>
          <cell r="AP13">
            <v>116477.15891968455</v>
          </cell>
        </row>
        <row r="14">
          <cell r="V14">
            <v>133939.31660504069</v>
          </cell>
          <cell r="AP14">
            <v>146404.3166186469</v>
          </cell>
        </row>
        <row r="15">
          <cell r="V15">
            <v>159562.43465631019</v>
          </cell>
          <cell r="AP15">
            <v>181864.61643694557</v>
          </cell>
        </row>
        <row r="16">
          <cell r="V16">
            <v>188518.48986446898</v>
          </cell>
          <cell r="AP16">
            <v>223567.02217562054</v>
          </cell>
        </row>
        <row r="17">
          <cell r="V17">
            <v>224102.08953733841</v>
          </cell>
          <cell r="AP17">
            <v>269375.10709600151</v>
          </cell>
        </row>
        <row r="18">
          <cell r="V18">
            <v>265611.02003880276</v>
          </cell>
          <cell r="AP18">
            <v>309785.62260215369</v>
          </cell>
        </row>
        <row r="19">
          <cell r="V19">
            <v>311958.68226738786</v>
          </cell>
          <cell r="AP19">
            <v>354418.87165515218</v>
          </cell>
        </row>
        <row r="20">
          <cell r="V20">
            <v>362878.55203909718</v>
          </cell>
          <cell r="AP20">
            <v>400732.00174527569</v>
          </cell>
        </row>
        <row r="21">
          <cell r="V21">
            <v>419873.29955539317</v>
          </cell>
          <cell r="AP21">
            <v>453793.75714370963</v>
          </cell>
        </row>
        <row r="22">
          <cell r="V22">
            <v>483179.73674510355</v>
          </cell>
          <cell r="AP22">
            <v>513171.84850348183</v>
          </cell>
        </row>
        <row r="23">
          <cell r="V23">
            <v>551914.54391336651</v>
          </cell>
          <cell r="AP23">
            <v>573875.26242681977</v>
          </cell>
        </row>
        <row r="24">
          <cell r="V24">
            <v>627772.06383137894</v>
          </cell>
          <cell r="AP24">
            <v>641557.73811243742</v>
          </cell>
        </row>
        <row r="25">
          <cell r="V25">
            <v>710524.19404443004</v>
          </cell>
          <cell r="AP25">
            <v>713906.83182464237</v>
          </cell>
        </row>
        <row r="26">
          <cell r="V26">
            <v>790087.56722425763</v>
          </cell>
          <cell r="AP26">
            <v>783941.81787407573</v>
          </cell>
        </row>
        <row r="27">
          <cell r="V27">
            <v>889636.93417280586</v>
          </cell>
          <cell r="AP27">
            <v>864109.0101807547</v>
          </cell>
        </row>
        <row r="28">
          <cell r="V28">
            <v>1003190.6949965421</v>
          </cell>
          <cell r="AP28">
            <v>956939.90729089384</v>
          </cell>
        </row>
        <row r="29">
          <cell r="V29">
            <v>1123370.0445042951</v>
          </cell>
          <cell r="AP29">
            <v>1051483.7219325567</v>
          </cell>
        </row>
        <row r="30">
          <cell r="V30">
            <v>1253721.9261959249</v>
          </cell>
          <cell r="AP30">
            <v>1156565.8316185619</v>
          </cell>
        </row>
        <row r="31">
          <cell r="V31">
            <v>1392844.0604761129</v>
          </cell>
          <cell r="AP31">
            <v>1265774.3861693894</v>
          </cell>
        </row>
        <row r="32">
          <cell r="V32">
            <v>1542534.4430147819</v>
          </cell>
          <cell r="AP32">
            <v>1384669.3807609433</v>
          </cell>
        </row>
        <row r="33">
          <cell r="V33">
            <v>1702338.7166778999</v>
          </cell>
          <cell r="AP33">
            <v>1510286.8116425797</v>
          </cell>
        </row>
        <row r="34">
          <cell r="V34">
            <v>1983570.6185911926</v>
          </cell>
          <cell r="AP34">
            <v>1695079.2900101675</v>
          </cell>
        </row>
        <row r="35">
          <cell r="V35">
            <v>2321957.5650104447</v>
          </cell>
          <cell r="AP35">
            <v>1904112.1272261853</v>
          </cell>
        </row>
        <row r="36">
          <cell r="V36">
            <v>2703776.8860433982</v>
          </cell>
          <cell r="AP36">
            <v>2133333.9284612909</v>
          </cell>
        </row>
        <row r="37">
          <cell r="V37">
            <v>3184416.6752531822</v>
          </cell>
          <cell r="AP37">
            <v>2393351.4680287428</v>
          </cell>
        </row>
        <row r="38">
          <cell r="V38">
            <v>3729658.2442114865</v>
          </cell>
          <cell r="AP38">
            <v>2681272.5539624835</v>
          </cell>
        </row>
        <row r="39">
          <cell r="V39">
            <v>4342225.9432428479</v>
          </cell>
          <cell r="AP39">
            <v>2991748.3967239424</v>
          </cell>
        </row>
        <row r="40">
          <cell r="V40">
            <v>4924985.7981581474</v>
          </cell>
          <cell r="AP40">
            <v>3295390.2860919987</v>
          </cell>
        </row>
        <row r="41">
          <cell r="V41">
            <v>5488597.8596485835</v>
          </cell>
          <cell r="AP41">
            <v>3584567.1620889832</v>
          </cell>
        </row>
        <row r="42">
          <cell r="V42">
            <v>6101392.1500034686</v>
          </cell>
          <cell r="AP42">
            <v>3885439.3626930933</v>
          </cell>
        </row>
        <row r="43">
          <cell r="V43">
            <v>6761689.9326859294</v>
          </cell>
          <cell r="AP43">
            <v>4210505.2383018974</v>
          </cell>
        </row>
        <row r="44">
          <cell r="V44">
            <v>7470239.6256165747</v>
          </cell>
          <cell r="AP44">
            <v>4555198.0359552922</v>
          </cell>
        </row>
        <row r="45">
          <cell r="V45">
            <v>8235958.8553562183</v>
          </cell>
          <cell r="AP45">
            <v>4927934.0435089879</v>
          </cell>
        </row>
        <row r="46">
          <cell r="V46">
            <v>9080066.6344677061</v>
          </cell>
          <cell r="AP46">
            <v>5329088.6125319907</v>
          </cell>
        </row>
        <row r="47">
          <cell r="V47">
            <v>9835814.4089023508</v>
          </cell>
          <cell r="AP47">
            <v>5763595.7047091397</v>
          </cell>
        </row>
        <row r="48">
          <cell r="V48">
            <v>10631185.050901694</v>
          </cell>
          <cell r="AP48">
            <v>6220497.6102143545</v>
          </cell>
        </row>
        <row r="49">
          <cell r="V49">
            <v>11494327.378328422</v>
          </cell>
          <cell r="AP49">
            <v>6717193.739625412</v>
          </cell>
        </row>
        <row r="50">
          <cell r="V50">
            <v>12395174.878427889</v>
          </cell>
          <cell r="AP50">
            <v>7219678.4778290978</v>
          </cell>
        </row>
        <row r="51">
          <cell r="V51">
            <v>13336735.033047121</v>
          </cell>
          <cell r="AP51">
            <v>7756285.7862178404</v>
          </cell>
        </row>
        <row r="52">
          <cell r="V52">
            <v>14324474.295671389</v>
          </cell>
          <cell r="AP52">
            <v>8316113.4340793518</v>
          </cell>
        </row>
        <row r="53">
          <cell r="V53">
            <v>15363292.578092983</v>
          </cell>
          <cell r="AP53">
            <v>8909568.2584849503</v>
          </cell>
        </row>
        <row r="54">
          <cell r="V54">
            <v>16455662.66117214</v>
          </cell>
          <cell r="AP54">
            <v>9540592.5587482955</v>
          </cell>
        </row>
        <row r="55">
          <cell r="V55">
            <v>17627590.896145202</v>
          </cell>
          <cell r="AP55">
            <v>10211046.758106846</v>
          </cell>
        </row>
        <row r="56">
          <cell r="V56">
            <v>18884362.353277665</v>
          </cell>
          <cell r="AP56">
            <v>10944101.564943809</v>
          </cell>
        </row>
        <row r="57">
          <cell r="V57">
            <v>20624312.502408728</v>
          </cell>
          <cell r="AP57">
            <v>11788484.44499984</v>
          </cell>
        </row>
        <row r="58">
          <cell r="V58">
            <v>22473195.401799444</v>
          </cell>
          <cell r="AP58">
            <v>12697343.4537558</v>
          </cell>
        </row>
        <row r="59">
          <cell r="V59">
            <v>24355848.060165599</v>
          </cell>
          <cell r="AP59">
            <v>13670223.213904317</v>
          </cell>
        </row>
        <row r="60">
          <cell r="V60">
            <v>26259728.673618279</v>
          </cell>
          <cell r="AP60">
            <v>14706419.414143531</v>
          </cell>
        </row>
        <row r="61">
          <cell r="V61">
            <v>28300778.910878081</v>
          </cell>
          <cell r="AP61">
            <v>15806103.220386337</v>
          </cell>
        </row>
        <row r="62">
          <cell r="V62">
            <v>30435454.209794305</v>
          </cell>
          <cell r="AP62">
            <v>16968426.455645133</v>
          </cell>
        </row>
        <row r="63">
          <cell r="V63">
            <v>32687996.004357107</v>
          </cell>
          <cell r="AP63">
            <v>18217550.749257021</v>
          </cell>
        </row>
        <row r="64">
          <cell r="V64">
            <v>35875362.395344965</v>
          </cell>
          <cell r="AP64">
            <v>20325768.202171315</v>
          </cell>
        </row>
        <row r="65">
          <cell r="V65">
            <v>38410384.187880665</v>
          </cell>
          <cell r="AP65">
            <v>21866322.766611058</v>
          </cell>
        </row>
        <row r="66">
          <cell r="V66">
            <v>42480440.734758228</v>
          </cell>
          <cell r="AP66">
            <v>27844429.243927963</v>
          </cell>
        </row>
        <row r="67">
          <cell r="V67">
            <v>46433760.150616296</v>
          </cell>
          <cell r="AP67">
            <v>32766300.106364299</v>
          </cell>
        </row>
        <row r="68">
          <cell r="V68">
            <v>50672237.927834757</v>
          </cell>
          <cell r="AP68">
            <v>38378187.961451195</v>
          </cell>
        </row>
        <row r="69">
          <cell r="V69">
            <v>55198034.076201126</v>
          </cell>
          <cell r="AP69">
            <v>44695141.616218962</v>
          </cell>
        </row>
        <row r="70">
          <cell r="V70">
            <v>60031337.974557951</v>
          </cell>
          <cell r="AP70">
            <v>51763286.778768733</v>
          </cell>
        </row>
        <row r="71">
          <cell r="V71">
            <v>64840641.942830265</v>
          </cell>
          <cell r="AP71">
            <v>59652115.5732411</v>
          </cell>
        </row>
        <row r="72">
          <cell r="V72">
            <v>69827208.135071352</v>
          </cell>
          <cell r="AP72">
            <v>68704960.884643883</v>
          </cell>
        </row>
        <row r="73">
          <cell r="V73">
            <v>75287917.349850327</v>
          </cell>
          <cell r="AP73">
            <v>79036190.724487975</v>
          </cell>
        </row>
        <row r="74">
          <cell r="V74">
            <v>81212754.053348064</v>
          </cell>
          <cell r="AP74">
            <v>90879697.934038907</v>
          </cell>
        </row>
        <row r="75">
          <cell r="V75">
            <v>87687371.841234162</v>
          </cell>
          <cell r="AP75">
            <v>104069321.48077106</v>
          </cell>
        </row>
        <row r="76">
          <cell r="V76">
            <v>94805778.367536411</v>
          </cell>
          <cell r="AP76">
            <v>118941785.31358844</v>
          </cell>
        </row>
        <row r="77">
          <cell r="V77">
            <v>102519532.39670748</v>
          </cell>
          <cell r="AP77">
            <v>134379708.65246293</v>
          </cell>
        </row>
        <row r="78">
          <cell r="V78">
            <v>111188011.03426041</v>
          </cell>
          <cell r="AP78">
            <v>151986583.99950644</v>
          </cell>
        </row>
        <row r="79">
          <cell r="V79">
            <v>121887829.79845576</v>
          </cell>
          <cell r="AP79">
            <v>172544939.38579401</v>
          </cell>
        </row>
        <row r="80">
          <cell r="V80">
            <v>133824413.38750826</v>
          </cell>
          <cell r="AP80">
            <v>196559952.64523256</v>
          </cell>
        </row>
        <row r="81">
          <cell r="V81">
            <v>146644793.53078234</v>
          </cell>
          <cell r="AP81">
            <v>223116730.27054307</v>
          </cell>
        </row>
        <row r="82">
          <cell r="V82">
            <v>160006115.82964453</v>
          </cell>
          <cell r="AP82">
            <v>252717937.61082751</v>
          </cell>
        </row>
        <row r="83">
          <cell r="V83">
            <v>174192691.56478089</v>
          </cell>
          <cell r="AP83">
            <v>284926694.52103382</v>
          </cell>
        </row>
        <row r="84">
          <cell r="V84">
            <v>188880703.219953</v>
          </cell>
          <cell r="AP84">
            <v>318681688.66983044</v>
          </cell>
        </row>
        <row r="85">
          <cell r="V85">
            <v>204598340.18051857</v>
          </cell>
          <cell r="AP85">
            <v>356267779.20179808</v>
          </cell>
        </row>
        <row r="86">
          <cell r="V86">
            <v>221532472.71541184</v>
          </cell>
          <cell r="AP86">
            <v>399280871.31411827</v>
          </cell>
        </row>
        <row r="87">
          <cell r="V87">
            <v>243701998.78449556</v>
          </cell>
          <cell r="AP87">
            <v>460920465.69278049</v>
          </cell>
        </row>
        <row r="88">
          <cell r="V88">
            <v>267395722.11400282</v>
          </cell>
          <cell r="AP88">
            <v>528103298.89143831</v>
          </cell>
        </row>
        <row r="89">
          <cell r="V89">
            <v>290025545.05198848</v>
          </cell>
          <cell r="AP89">
            <v>590886659.85455024</v>
          </cell>
        </row>
        <row r="90">
          <cell r="V90">
            <v>313888951.54800051</v>
          </cell>
          <cell r="AP90">
            <v>658946962.99175143</v>
          </cell>
        </row>
        <row r="91">
          <cell r="V91">
            <v>338382754.36272472</v>
          </cell>
          <cell r="AP91">
            <v>731577990.57851434</v>
          </cell>
        </row>
        <row r="92">
          <cell r="V92">
            <v>358153535.04132158</v>
          </cell>
          <cell r="AP92">
            <v>804277054.17041922</v>
          </cell>
        </row>
        <row r="93">
          <cell r="V93">
            <v>378684415.14191383</v>
          </cell>
          <cell r="AP93">
            <v>884385351.92470312</v>
          </cell>
        </row>
        <row r="94">
          <cell r="V94">
            <v>398824763.24743366</v>
          </cell>
          <cell r="AP94">
            <v>969639746.19257808</v>
          </cell>
        </row>
        <row r="95">
          <cell r="V95">
            <v>419451029.83981776</v>
          </cell>
          <cell r="AP95">
            <v>1061618543.2919261</v>
          </cell>
        </row>
        <row r="96">
          <cell r="V96">
            <v>441249905.20443225</v>
          </cell>
          <cell r="AP96">
            <v>1162974619.5063872</v>
          </cell>
        </row>
        <row r="97">
          <cell r="V97">
            <v>463750622.88858664</v>
          </cell>
          <cell r="AP97">
            <v>1274344226.9258049</v>
          </cell>
        </row>
        <row r="98">
          <cell r="V98">
            <v>487382936.78369766</v>
          </cell>
          <cell r="AP98">
            <v>1394551584.7301021</v>
          </cell>
        </row>
        <row r="99">
          <cell r="V99">
            <v>512207475.45816159</v>
          </cell>
          <cell r="AP99">
            <v>1525726240.5180132</v>
          </cell>
        </row>
        <row r="100">
          <cell r="V100">
            <v>537278309.14542115</v>
          </cell>
          <cell r="AP100">
            <v>1666843164.0992632</v>
          </cell>
        </row>
        <row r="101">
          <cell r="V101">
            <v>558815413.44035363</v>
          </cell>
          <cell r="AP101">
            <v>1789887117.9097531</v>
          </cell>
        </row>
        <row r="102">
          <cell r="V102">
            <v>580553318.58316433</v>
          </cell>
          <cell r="AP102">
            <v>1919928102.8626299</v>
          </cell>
        </row>
        <row r="103">
          <cell r="V103">
            <v>603423224.82244825</v>
          </cell>
          <cell r="AP103">
            <v>2061420113.2733848</v>
          </cell>
        </row>
        <row r="104">
          <cell r="V104">
            <v>626827386.68792915</v>
          </cell>
          <cell r="AP104">
            <v>2211793843.8695545</v>
          </cell>
        </row>
        <row r="105">
          <cell r="V105">
            <v>650547859.6829083</v>
          </cell>
          <cell r="AP105">
            <v>2367129947.2533193</v>
          </cell>
        </row>
        <row r="106">
          <cell r="V106">
            <v>674980819.8936913</v>
          </cell>
          <cell r="AP106">
            <v>2531305049.7411537</v>
          </cell>
        </row>
        <row r="107">
          <cell r="V107">
            <v>694241401.64432061</v>
          </cell>
          <cell r="AP107">
            <v>2644936737.57618</v>
          </cell>
        </row>
        <row r="108">
          <cell r="V108">
            <v>713991676.03103673</v>
          </cell>
          <cell r="AP108">
            <v>2764468041.7057872</v>
          </cell>
        </row>
        <row r="109">
          <cell r="V109">
            <v>734572204.55968165</v>
          </cell>
          <cell r="AP109">
            <v>2892504329.0710516</v>
          </cell>
        </row>
        <row r="110">
          <cell r="V110">
            <v>755834672.08088398</v>
          </cell>
          <cell r="AP110">
            <v>3027730900.1825204</v>
          </cell>
        </row>
        <row r="111">
          <cell r="V111">
            <v>777839283.28303885</v>
          </cell>
          <cell r="AP111">
            <v>3171128236.6184959</v>
          </cell>
        </row>
        <row r="112">
          <cell r="V112">
            <v>798446614.26160622</v>
          </cell>
          <cell r="AP112">
            <v>3302587092.6346955</v>
          </cell>
        </row>
        <row r="113">
          <cell r="V113">
            <v>818979834.72384381</v>
          </cell>
          <cell r="AP113">
            <v>3433205889.8526697</v>
          </cell>
        </row>
        <row r="114">
          <cell r="V114">
            <v>839624844.87714553</v>
          </cell>
          <cell r="AP114">
            <v>3565030224.9802332</v>
          </cell>
        </row>
        <row r="115">
          <cell r="V115">
            <v>860759024.67435837</v>
          </cell>
          <cell r="AP115">
            <v>3703188201.0265751</v>
          </cell>
        </row>
        <row r="116">
          <cell r="V116">
            <v>885164046.67319608</v>
          </cell>
          <cell r="AP116">
            <v>3858393944.7406678</v>
          </cell>
        </row>
        <row r="117">
          <cell r="V117">
            <v>907687220.14634013</v>
          </cell>
          <cell r="AP117">
            <v>4016801931.1210666</v>
          </cell>
        </row>
        <row r="118">
          <cell r="V118">
            <v>930249912.82828927</v>
          </cell>
          <cell r="AP118">
            <v>4175537170.7093954</v>
          </cell>
        </row>
        <row r="119">
          <cell r="V119">
            <v>953403693.68033266</v>
          </cell>
          <cell r="AP119">
            <v>4340844068.2907515</v>
          </cell>
        </row>
        <row r="120">
          <cell r="V120">
            <v>977045662.99142838</v>
          </cell>
          <cell r="AP120">
            <v>4511621568.6506701</v>
          </cell>
        </row>
        <row r="121">
          <cell r="V121">
            <v>1001818272.1213672</v>
          </cell>
          <cell r="AP121">
            <v>4688946756.0212154</v>
          </cell>
        </row>
        <row r="122">
          <cell r="V122">
            <v>1027293592.6356115</v>
          </cell>
          <cell r="AP122">
            <v>4873484474.9398336</v>
          </cell>
        </row>
        <row r="123">
          <cell r="V123">
            <v>1052840970.4858823</v>
          </cell>
          <cell r="AP123">
            <v>5059712512.6077461</v>
          </cell>
        </row>
        <row r="124">
          <cell r="V124">
            <v>1078486105.972374</v>
          </cell>
          <cell r="AP124">
            <v>5250796870.9433422</v>
          </cell>
        </row>
        <row r="125">
          <cell r="V125">
            <v>1104314079.9059396</v>
          </cell>
          <cell r="AP125">
            <v>5443873782.5532551</v>
          </cell>
        </row>
        <row r="126">
          <cell r="V126">
            <v>1130857590.5282125</v>
          </cell>
          <cell r="AP126">
            <v>5645630085.3539829</v>
          </cell>
        </row>
        <row r="127">
          <cell r="V127">
            <v>1157836617.3625493</v>
          </cell>
          <cell r="AP127">
            <v>5852590765.8424673</v>
          </cell>
        </row>
        <row r="128">
          <cell r="V128">
            <v>1185164024.3052835</v>
          </cell>
          <cell r="AP128">
            <v>6068400991.1599636</v>
          </cell>
        </row>
        <row r="129">
          <cell r="V129">
            <v>1213038524.8075871</v>
          </cell>
          <cell r="AP129">
            <v>6290611018.6713362</v>
          </cell>
        </row>
        <row r="130">
          <cell r="V130">
            <v>1241532608.4860692</v>
          </cell>
          <cell r="AP130">
            <v>6520892348.6369944</v>
          </cell>
        </row>
        <row r="131">
          <cell r="V131">
            <v>1269791383.3953743</v>
          </cell>
          <cell r="AP131">
            <v>6747926097.7160788</v>
          </cell>
        </row>
        <row r="132">
          <cell r="V132">
            <v>1292653887.4839129</v>
          </cell>
          <cell r="AP132">
            <v>6976504640.9862041</v>
          </cell>
        </row>
        <row r="133">
          <cell r="V133">
            <v>1315900971.7283435</v>
          </cell>
          <cell r="AP133">
            <v>7212059640.2368717</v>
          </cell>
        </row>
        <row r="134">
          <cell r="V134">
            <v>1339747042.8066468</v>
          </cell>
          <cell r="AP134">
            <v>7457574746.5136194</v>
          </cell>
        </row>
        <row r="135">
          <cell r="V135">
            <v>1364422027.0063887</v>
          </cell>
          <cell r="AP135">
            <v>7716510333.5131407</v>
          </cell>
        </row>
        <row r="136">
          <cell r="V136">
            <v>1389569100.7391582</v>
          </cell>
          <cell r="AP136">
            <v>7984123745.9975996</v>
          </cell>
        </row>
        <row r="137">
          <cell r="V137">
            <v>1412584237.5774722</v>
          </cell>
          <cell r="AP137">
            <v>8243034493.4715538</v>
          </cell>
        </row>
        <row r="138">
          <cell r="V138">
            <v>1432468900.7554429</v>
          </cell>
          <cell r="AP138">
            <v>8486414007.1929588</v>
          </cell>
        </row>
        <row r="139">
          <cell r="V139">
            <v>1452686991.2556586</v>
          </cell>
          <cell r="AP139">
            <v>8737140942.9197788</v>
          </cell>
        </row>
        <row r="140">
          <cell r="V140">
            <v>1473053485.9984474</v>
          </cell>
          <cell r="AP140">
            <v>8992577439.9617786</v>
          </cell>
        </row>
        <row r="141">
          <cell r="V141">
            <v>1494253746.1681638</v>
          </cell>
          <cell r="AP141">
            <v>9263185482.3826027</v>
          </cell>
        </row>
        <row r="142">
          <cell r="V142">
            <v>1521637725.6192117</v>
          </cell>
          <cell r="AP142">
            <v>9547315696.3827152</v>
          </cell>
        </row>
        <row r="143">
          <cell r="V143">
            <v>1549509179.6965423</v>
          </cell>
          <cell r="AP143">
            <v>9840375953.1519012</v>
          </cell>
        </row>
        <row r="144">
          <cell r="V144">
            <v>1577042701.0572674</v>
          </cell>
          <cell r="AP144">
            <v>10129567609.552919</v>
          </cell>
        </row>
        <row r="145">
          <cell r="V145">
            <v>1605387244.8256259</v>
          </cell>
          <cell r="AP145">
            <v>10432840450.411943</v>
          </cell>
        </row>
        <row r="146">
          <cell r="V146">
            <v>1635312271.4030771</v>
          </cell>
          <cell r="AP146">
            <v>10762795238.160315</v>
          </cell>
        </row>
        <row r="147">
          <cell r="V147">
            <v>1668126205.966795</v>
          </cell>
          <cell r="AP147">
            <v>11112496044.305216</v>
          </cell>
        </row>
        <row r="148">
          <cell r="V148">
            <v>1701597713.1735988</v>
          </cell>
          <cell r="AP148">
            <v>11474085250.648785</v>
          </cell>
        </row>
        <row r="149">
          <cell r="V149">
            <v>1735833332.0717692</v>
          </cell>
          <cell r="AP149">
            <v>11849509969.282366</v>
          </cell>
        </row>
        <row r="150">
          <cell r="V150">
            <v>1770064393.6943955</v>
          </cell>
          <cell r="AP150">
            <v>12226198623.534956</v>
          </cell>
        </row>
        <row r="151">
          <cell r="V151">
            <v>1804730399.2922187</v>
          </cell>
          <cell r="AP151">
            <v>12611405567.863985</v>
          </cell>
        </row>
        <row r="152">
          <cell r="V152">
            <v>1839758185.4443092</v>
          </cell>
          <cell r="AP152">
            <v>13003961125.221039</v>
          </cell>
        </row>
        <row r="153">
          <cell r="V153">
            <v>1875314322.5377183</v>
          </cell>
          <cell r="AP153">
            <v>13406761246.213535</v>
          </cell>
        </row>
        <row r="154">
          <cell r="V154">
            <v>1910730049.843183</v>
          </cell>
          <cell r="AP154">
            <v>13823170974.135557</v>
          </cell>
        </row>
        <row r="155">
          <cell r="V155">
            <v>1947282588.8923702</v>
          </cell>
          <cell r="AP155">
            <v>14264470163.909901</v>
          </cell>
        </row>
        <row r="156">
          <cell r="V156">
            <v>1988965197.4426405</v>
          </cell>
          <cell r="AP156">
            <v>14798822684.410643</v>
          </cell>
        </row>
        <row r="157">
          <cell r="V157">
            <v>2027865496.627311</v>
          </cell>
          <cell r="AP157">
            <v>15343118740.124937</v>
          </cell>
        </row>
        <row r="158">
          <cell r="V158">
            <v>2049171104.1469374</v>
          </cell>
          <cell r="AP158">
            <v>15629056796.836645</v>
          </cell>
        </row>
        <row r="159">
          <cell r="V159">
            <v>2065375267.8081005</v>
          </cell>
          <cell r="AP159">
            <v>15823147510.744009</v>
          </cell>
        </row>
        <row r="160">
          <cell r="V160">
            <v>2071983646.6648719</v>
          </cell>
          <cell r="AP160">
            <v>15842488837.95672</v>
          </cell>
        </row>
        <row r="161">
          <cell r="V161">
            <v>2077748214.736526</v>
          </cell>
          <cell r="AP161">
            <v>15846348152.898342</v>
          </cell>
        </row>
        <row r="162">
          <cell r="V162">
            <v>2083518920.8703194</v>
          </cell>
          <cell r="AP162">
            <v>15850209100.59934</v>
          </cell>
        </row>
        <row r="163">
          <cell r="V163">
            <v>2089295765.4764395</v>
          </cell>
          <cell r="AP163">
            <v>15854071677.428766</v>
          </cell>
        </row>
        <row r="164">
          <cell r="V164">
            <v>2095078748.9650583</v>
          </cell>
          <cell r="AP164">
            <v>15857935879.766453</v>
          </cell>
        </row>
        <row r="165">
          <cell r="V165">
            <v>2100867871.7463148</v>
          </cell>
          <cell r="AP165">
            <v>15861801704.002956</v>
          </cell>
        </row>
        <row r="166">
          <cell r="V166">
            <v>2106657378.9268894</v>
          </cell>
          <cell r="AP166">
            <v>15865666748.440334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产出汇总"/>
      <sheetName val="王者铸币"/>
      <sheetName val="积分赛"/>
      <sheetName val="晋级赛"/>
      <sheetName val="竞猜"/>
      <sheetName val="商店"/>
      <sheetName val="道具投放节奏"/>
    </sheetNames>
    <sheetDataSet>
      <sheetData sheetId="0"/>
      <sheetData sheetId="1"/>
      <sheetData sheetId="2">
        <row r="5"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</row>
        <row r="6"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</row>
        <row r="7"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</row>
        <row r="11"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</row>
        <row r="13"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  <row r="14"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</row>
        <row r="15"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</row>
        <row r="16"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</row>
        <row r="17"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</row>
        <row r="18"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</row>
        <row r="19"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</row>
        <row r="22"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</row>
        <row r="23"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</row>
        <row r="24"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</row>
        <row r="25"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</row>
        <row r="26"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</row>
        <row r="27"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28"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</row>
        <row r="29"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</row>
        <row r="30"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</row>
        <row r="31"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</row>
        <row r="32"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</row>
        <row r="33"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</row>
        <row r="34"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</row>
        <row r="35"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1"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</row>
        <row r="42"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</row>
        <row r="43"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</row>
        <row r="44"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</row>
        <row r="45"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</row>
        <row r="46"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</row>
        <row r="48"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  <row r="54">
          <cell r="K54">
            <v>9233.3333333333321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</row>
        <row r="55">
          <cell r="K55">
            <v>30439.99906405661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</row>
        <row r="56">
          <cell r="K56">
            <v>53168.740623123966</v>
          </cell>
          <cell r="L56">
            <v>15064.100318198169</v>
          </cell>
          <cell r="M56">
            <v>0</v>
          </cell>
          <cell r="N56">
            <v>0</v>
          </cell>
          <cell r="O56">
            <v>0</v>
          </cell>
        </row>
        <row r="57">
          <cell r="K57">
            <v>77528.802662977818</v>
          </cell>
          <cell r="L57">
            <v>47764.838267604267</v>
          </cell>
          <cell r="M57">
            <v>0</v>
          </cell>
          <cell r="N57">
            <v>0</v>
          </cell>
          <cell r="O57">
            <v>0</v>
          </cell>
        </row>
        <row r="58">
          <cell r="K58">
            <v>103637.27070303114</v>
          </cell>
          <cell r="L58">
            <v>82869.179141415312</v>
          </cell>
          <cell r="M58">
            <v>0</v>
          </cell>
          <cell r="N58">
            <v>0</v>
          </cell>
          <cell r="O58">
            <v>0</v>
          </cell>
        </row>
        <row r="59">
          <cell r="K59">
            <v>131619.63389583718</v>
          </cell>
          <cell r="L59">
            <v>118888.72984634686</v>
          </cell>
          <cell r="M59">
            <v>30326.076471047138</v>
          </cell>
          <cell r="N59">
            <v>0</v>
          </cell>
          <cell r="O59">
            <v>0</v>
          </cell>
        </row>
        <row r="60">
          <cell r="K60">
            <v>161610.38818493881</v>
          </cell>
          <cell r="L60">
            <v>157102.45743988239</v>
          </cell>
          <cell r="M60">
            <v>71809.301862270717</v>
          </cell>
          <cell r="N60">
            <v>0</v>
          </cell>
          <cell r="O60">
            <v>0</v>
          </cell>
        </row>
        <row r="61">
          <cell r="K61">
            <v>193753.68275344479</v>
          </cell>
          <cell r="L61">
            <v>199390.56582911874</v>
          </cell>
          <cell r="M61">
            <v>116635.69645055749</v>
          </cell>
          <cell r="N61">
            <v>0</v>
          </cell>
          <cell r="O61">
            <v>0</v>
          </cell>
        </row>
        <row r="62">
          <cell r="K62">
            <v>228204.01287045609</v>
          </cell>
          <cell r="L62">
            <v>243275.94079163336</v>
          </cell>
          <cell r="M62">
            <v>164602.18790693677</v>
          </cell>
          <cell r="N62">
            <v>0</v>
          </cell>
          <cell r="O62">
            <v>0</v>
          </cell>
        </row>
        <row r="63">
          <cell r="K63">
            <v>265126.96246548434</v>
          </cell>
          <cell r="L63">
            <v>291769.05921102047</v>
          </cell>
          <cell r="M63">
            <v>216579.26444843935</v>
          </cell>
          <cell r="N63">
            <v>15799.323884261483</v>
          </cell>
          <cell r="O63">
            <v>0</v>
          </cell>
        </row>
        <row r="64">
          <cell r="K64">
            <v>304700</v>
          </cell>
          <cell r="L64">
            <v>342613.7</v>
          </cell>
          <cell r="M64">
            <v>271781.31999999995</v>
          </cell>
          <cell r="N64">
            <v>73070.400000000038</v>
          </cell>
          <cell r="O64">
            <v>0</v>
          </cell>
        </row>
        <row r="65">
          <cell r="K65">
            <v>347113.33146144648</v>
          </cell>
          <cell r="L65">
            <v>398448.83777747978</v>
          </cell>
          <cell r="M65">
            <v>331991.28534266958</v>
          </cell>
          <cell r="N65">
            <v>135973.0589133958</v>
          </cell>
          <cell r="O65">
            <v>0</v>
          </cell>
        </row>
        <row r="66">
          <cell r="K66">
            <v>392570.81457958109</v>
          </cell>
          <cell r="L66">
            <v>457612.01584234647</v>
          </cell>
          <cell r="M66">
            <v>397192.2991917528</v>
          </cell>
          <cell r="N66">
            <v>204008.03733099272</v>
          </cell>
          <cell r="O66">
            <v>0</v>
          </cell>
        </row>
        <row r="67">
          <cell r="K67">
            <v>441290.93865928892</v>
          </cell>
          <cell r="L67">
            <v>522083.10324717016</v>
          </cell>
          <cell r="M67">
            <v>466835.08202258148</v>
          </cell>
          <cell r="N67">
            <v>277630.24846012605</v>
          </cell>
          <cell r="O67">
            <v>0</v>
          </cell>
        </row>
        <row r="68">
          <cell r="K68">
            <v>493507.87473939534</v>
          </cell>
          <cell r="L68">
            <v>590772.27519057726</v>
          </cell>
          <cell r="M68">
            <v>542278.60417921178</v>
          </cell>
          <cell r="N68">
            <v>356685.48357132135</v>
          </cell>
          <cell r="O68">
            <v>0</v>
          </cell>
        </row>
        <row r="69">
          <cell r="K69">
            <v>549472.60112500738</v>
          </cell>
          <cell r="L69">
            <v>663918.2752958287</v>
          </cell>
          <cell r="M69">
            <v>624219.34016381053</v>
          </cell>
          <cell r="N69">
            <v>440177.89213168336</v>
          </cell>
          <cell r="O69">
            <v>0</v>
          </cell>
        </row>
        <row r="70">
          <cell r="K70">
            <v>609454.10970321088</v>
          </cell>
          <cell r="L70">
            <v>743375.21105606121</v>
          </cell>
          <cell r="M70">
            <v>710792.72372454137</v>
          </cell>
          <cell r="N70">
            <v>524239.61158679996</v>
          </cell>
          <cell r="O70">
            <v>0</v>
          </cell>
        </row>
        <row r="71">
          <cell r="K71">
            <v>673740.69884022267</v>
          </cell>
          <cell r="L71">
            <v>828603.65331013931</v>
          </cell>
          <cell r="M71">
            <v>799474.45886894083</v>
          </cell>
          <cell r="N71">
            <v>614273.24781830562</v>
          </cell>
          <cell r="O71">
            <v>0</v>
          </cell>
        </row>
        <row r="72">
          <cell r="K72">
            <v>742641.35907424556</v>
          </cell>
          <cell r="L72">
            <v>917253.12074778148</v>
          </cell>
          <cell r="M72">
            <v>891035.73408002104</v>
          </cell>
          <cell r="N72">
            <v>712732.86359027517</v>
          </cell>
          <cell r="O72">
            <v>116261.42312750054</v>
          </cell>
        </row>
        <row r="73">
          <cell r="K73">
            <v>816487.25826430134</v>
          </cell>
          <cell r="L73">
            <v>1010326.4786100941</v>
          </cell>
          <cell r="M73">
            <v>995252.74750886194</v>
          </cell>
          <cell r="N73">
            <v>819917.92031560303</v>
          </cell>
          <cell r="O73">
            <v>253882.63882491412</v>
          </cell>
        </row>
        <row r="74">
          <cell r="K74">
            <v>895633.33333333326</v>
          </cell>
          <cell r="L74">
            <v>1114238.9133333333</v>
          </cell>
          <cell r="M74">
            <v>1109966.7</v>
          </cell>
          <cell r="N74">
            <v>934068.20000000007</v>
          </cell>
          <cell r="O74">
            <v>406454.16000000009</v>
          </cell>
        </row>
        <row r="75">
          <cell r="K75">
            <v>980459.99625622691</v>
          </cell>
          <cell r="L75">
            <v>1226596.9744393632</v>
          </cell>
          <cell r="M75">
            <v>1229581.2586898319</v>
          </cell>
          <cell r="N75">
            <v>1055936.9902018257</v>
          </cell>
          <cell r="O75">
            <v>570712.09382743866</v>
          </cell>
        </row>
        <row r="76">
          <cell r="K76">
            <v>1071374.9624924955</v>
          </cell>
          <cell r="L76">
            <v>1345705.6047299313</v>
          </cell>
          <cell r="M76">
            <v>1353950.5719268811</v>
          </cell>
          <cell r="N76">
            <v>1185258.9417226359</v>
          </cell>
          <cell r="O76">
            <v>743957.78037020133</v>
          </cell>
        </row>
        <row r="77">
          <cell r="K77">
            <v>1168815.2106519116</v>
          </cell>
          <cell r="L77">
            <v>1468796.1572700401</v>
          </cell>
          <cell r="M77">
            <v>1488069.4035247599</v>
          </cell>
          <cell r="N77">
            <v>1324835.5301353426</v>
          </cell>
          <cell r="O77">
            <v>930351.33380304626</v>
          </cell>
        </row>
        <row r="78">
          <cell r="K78">
            <v>1273249.0828121244</v>
          </cell>
          <cell r="L78">
            <v>1604615.0152553564</v>
          </cell>
          <cell r="M78">
            <v>1638052.2030963439</v>
          </cell>
          <cell r="N78">
            <v>1478617.7720168035</v>
          </cell>
          <cell r="O78">
            <v>1136208.9619029092</v>
          </cell>
        </row>
        <row r="79">
          <cell r="K79">
            <v>1385178.5355833482</v>
          </cell>
          <cell r="L79">
            <v>1752154.6976044979</v>
          </cell>
          <cell r="M79">
            <v>1798315.0635575543</v>
          </cell>
          <cell r="N79">
            <v>1643564.3164821123</v>
          </cell>
          <cell r="O79">
            <v>1360447.628761295</v>
          </cell>
        </row>
        <row r="80">
          <cell r="K80">
            <v>1505141.5527397555</v>
          </cell>
          <cell r="L80">
            <v>1908510.5225307504</v>
          </cell>
          <cell r="M80">
            <v>1967017.4405056583</v>
          </cell>
          <cell r="N80">
            <v>1820987.3432935446</v>
          </cell>
          <cell r="O80">
            <v>1604891.7482593241</v>
          </cell>
        </row>
        <row r="81">
          <cell r="K81">
            <v>1633714.7310137791</v>
          </cell>
          <cell r="L81">
            <v>2077799.0344663907</v>
          </cell>
          <cell r="M81">
            <v>2151954.2020617132</v>
          </cell>
          <cell r="N81">
            <v>2012940.6973213609</v>
          </cell>
          <cell r="O81">
            <v>1846963.5030301732</v>
          </cell>
        </row>
        <row r="82">
          <cell r="K82">
            <v>1771516.0514818248</v>
          </cell>
          <cell r="L82">
            <v>2257796.8106859033</v>
          </cell>
          <cell r="M82">
            <v>2349566.6513703386</v>
          </cell>
          <cell r="N82">
            <v>2214368.4195411112</v>
          </cell>
          <cell r="O82">
            <v>2104365.7859175964</v>
          </cell>
        </row>
        <row r="83">
          <cell r="K83">
            <v>1919207.8498619362</v>
          </cell>
          <cell r="L83">
            <v>2453364.9570697444</v>
          </cell>
          <cell r="M83">
            <v>2561979.6973841144</v>
          </cell>
          <cell r="N83">
            <v>2420976.9054478682</v>
          </cell>
          <cell r="O83">
            <v>2383901.1166211548</v>
          </cell>
        </row>
        <row r="84">
          <cell r="K84">
            <v>2077500</v>
          </cell>
          <cell r="L84">
            <v>2662451</v>
          </cell>
          <cell r="M84">
            <v>2776204.8</v>
          </cell>
          <cell r="N84">
            <v>2641080.0000000005</v>
          </cell>
          <cell r="O84">
            <v>2674988.4</v>
          </cell>
        </row>
        <row r="85">
          <cell r="K85">
            <v>2247153.3258457868</v>
          </cell>
          <cell r="L85">
            <v>2875271.0454511913</v>
          </cell>
          <cell r="M85">
            <v>3004046.528112221</v>
          </cell>
          <cell r="N85">
            <v>2879767.1734037423</v>
          </cell>
          <cell r="O85">
            <v>2992652.5446528913</v>
          </cell>
        </row>
        <row r="86">
          <cell r="K86">
            <v>2428983.2583183227</v>
          </cell>
          <cell r="L86">
            <v>3109238.4314360409</v>
          </cell>
          <cell r="M86">
            <v>3257106.8210155247</v>
          </cell>
          <cell r="N86">
            <v>3141116.2746926872</v>
          </cell>
          <cell r="O86">
            <v>3328709.6906132447</v>
          </cell>
        </row>
        <row r="87">
          <cell r="K87">
            <v>2623863.7546371585</v>
          </cell>
          <cell r="L87">
            <v>3365453.1228503631</v>
          </cell>
          <cell r="M87">
            <v>3537378.2395402496</v>
          </cell>
          <cell r="N87">
            <v>3421058.1177895833</v>
          </cell>
          <cell r="O87">
            <v>3701579.7567156474</v>
          </cell>
        </row>
        <row r="88">
          <cell r="K88">
            <v>2832731.4989575823</v>
          </cell>
          <cell r="L88">
            <v>3640215.3231941517</v>
          </cell>
          <cell r="M88">
            <v>3827611.6820312329</v>
          </cell>
          <cell r="N88">
            <v>3717412.6943480098</v>
          </cell>
          <cell r="O88">
            <v>4105282.263323524</v>
          </cell>
        </row>
        <row r="89">
          <cell r="K89">
            <v>3056590.4045000304</v>
          </cell>
          <cell r="L89">
            <v>3925309.6653160513</v>
          </cell>
          <cell r="M89">
            <v>4135028.2629697425</v>
          </cell>
          <cell r="N89">
            <v>4044920.8121738345</v>
          </cell>
          <cell r="O89">
            <v>4535854.2601846354</v>
          </cell>
        </row>
        <row r="90">
          <cell r="K90">
            <v>3296516.4388128449</v>
          </cell>
          <cell r="L90">
            <v>4235750.4658437278</v>
          </cell>
          <cell r="M90">
            <v>4473222.926121911</v>
          </cell>
          <cell r="N90">
            <v>4404256.3972403407</v>
          </cell>
          <cell r="O90">
            <v>4936825.2355177989</v>
          </cell>
        </row>
        <row r="91">
          <cell r="K91">
            <v>3553662.7953608884</v>
          </cell>
          <cell r="L91">
            <v>4574097.6283422057</v>
          </cell>
          <cell r="M91">
            <v>4845702.2763407072</v>
          </cell>
          <cell r="N91">
            <v>4747107.0785107464</v>
          </cell>
          <cell r="O91">
            <v>5362210.2156789526</v>
          </cell>
        </row>
        <row r="92">
          <cell r="K92">
            <v>3829265.4362969827</v>
          </cell>
          <cell r="L92">
            <v>4943175.7313804124</v>
          </cell>
          <cell r="M92">
            <v>5224336.7219571155</v>
          </cell>
          <cell r="N92">
            <v>5096199.2559075048</v>
          </cell>
          <cell r="O92">
            <v>5827353.9584931415</v>
          </cell>
        </row>
        <row r="93">
          <cell r="K93">
            <v>4124649.0330572058</v>
          </cell>
          <cell r="L93">
            <v>5319532.0351173729</v>
          </cell>
          <cell r="M93">
            <v>5588061.0607280238</v>
          </cell>
          <cell r="N93">
            <v>5468085.1859206753</v>
          </cell>
          <cell r="O93">
            <v>6292062.2475386169</v>
          </cell>
        </row>
        <row r="94">
          <cell r="K94">
            <v>4441233.333333333</v>
          </cell>
          <cell r="L94">
            <v>5686630.8399999999</v>
          </cell>
          <cell r="M94">
            <v>5978865.873333334</v>
          </cell>
          <cell r="N94">
            <v>5847056.8000000007</v>
          </cell>
          <cell r="O94">
            <v>6783678.533333336</v>
          </cell>
        </row>
        <row r="95">
          <cell r="K95">
            <v>4780539.9850249076</v>
          </cell>
          <cell r="L95">
            <v>6122585.9879983114</v>
          </cell>
          <cell r="M95">
            <v>6434508.7513074176</v>
          </cell>
          <cell r="N95">
            <v>6307968.8354750155</v>
          </cell>
          <cell r="O95">
            <v>7372177.4484289419</v>
          </cell>
        </row>
        <row r="96">
          <cell r="K96">
            <v>5144199.8499699784</v>
          </cell>
          <cell r="L96">
            <v>6580612.437362507</v>
          </cell>
          <cell r="M96">
            <v>6927255.7929585688</v>
          </cell>
          <cell r="N96">
            <v>6800833.6443544095</v>
          </cell>
          <cell r="O96">
            <v>8018805.2799549522</v>
          </cell>
        </row>
        <row r="97">
          <cell r="K97">
            <v>5533960.8426076462</v>
          </cell>
          <cell r="L97">
            <v>7080275.0675190166</v>
          </cell>
          <cell r="M97">
            <v>7454666.2332818601</v>
          </cell>
          <cell r="N97">
            <v>7340954.1358311065</v>
          </cell>
          <cell r="O97">
            <v>8671166.6459067184</v>
          </cell>
        </row>
        <row r="98">
          <cell r="K98">
            <v>5951696.3312484976</v>
          </cell>
          <cell r="L98">
            <v>7615547.6653608754</v>
          </cell>
          <cell r="M98">
            <v>8020423.3695966834</v>
          </cell>
          <cell r="N98">
            <v>7877393.2025318472</v>
          </cell>
          <cell r="O98">
            <v>9366099.8035848811</v>
          </cell>
        </row>
        <row r="99">
          <cell r="K99">
            <v>6399414.1423333939</v>
          </cell>
          <cell r="L99">
            <v>8199042.8615955962</v>
          </cell>
          <cell r="M99">
            <v>8610046.0517668165</v>
          </cell>
          <cell r="N99">
            <v>8467725.3825226016</v>
          </cell>
          <cell r="O99">
            <v>10174180.346989712</v>
          </cell>
        </row>
        <row r="100">
          <cell r="K100">
            <v>6879266.2109590229</v>
          </cell>
          <cell r="L100">
            <v>8792455.6341323648</v>
          </cell>
          <cell r="M100">
            <v>9227184.6571387928</v>
          </cell>
          <cell r="N100">
            <v>9110218.2525060549</v>
          </cell>
          <cell r="O100">
            <v>11040259.629002914</v>
          </cell>
        </row>
        <row r="101">
          <cell r="K101">
            <v>7393558.9240551097</v>
          </cell>
          <cell r="L101">
            <v>9438169.7695384957</v>
          </cell>
          <cell r="M101">
            <v>9946995.1670314446</v>
          </cell>
          <cell r="N101">
            <v>9857708.3417897858</v>
          </cell>
          <cell r="O101">
            <v>12046424.437290033</v>
          </cell>
        </row>
        <row r="102">
          <cell r="K102">
            <v>7944764.2059273003</v>
          </cell>
          <cell r="L102">
            <v>10166283.698281623</v>
          </cell>
          <cell r="M102">
            <v>10752570.135991223</v>
          </cell>
          <cell r="N102">
            <v>10691587.176710622</v>
          </cell>
          <cell r="O102">
            <v>13158252.727748362</v>
          </cell>
        </row>
        <row r="103">
          <cell r="K103">
            <v>8535531.3994477447</v>
          </cell>
          <cell r="L103">
            <v>10948084.857079925</v>
          </cell>
          <cell r="M103">
            <v>11602005.812398219</v>
          </cell>
          <cell r="N103">
            <v>11580386.549641296</v>
          </cell>
          <cell r="O103">
            <v>14208683.212980472</v>
          </cell>
        </row>
        <row r="104">
          <cell r="K104">
            <v>9168700</v>
          </cell>
          <cell r="L104">
            <v>11773275.139999997</v>
          </cell>
          <cell r="M104">
            <v>12496179.120000001</v>
          </cell>
          <cell r="N104">
            <v>12433886.4</v>
          </cell>
          <cell r="O104">
            <v>15268388.800000001</v>
          </cell>
        </row>
        <row r="105">
          <cell r="K105">
            <v>9847313.3033831418</v>
          </cell>
          <cell r="L105">
            <v>12673585.058200896</v>
          </cell>
          <cell r="M105">
            <v>13415527.496008057</v>
          </cell>
          <cell r="N105">
            <v>13294842.284283755</v>
          </cell>
          <cell r="O105">
            <v>16431536.242448332</v>
          </cell>
        </row>
        <row r="106">
          <cell r="K106">
            <v>10574633.033273291</v>
          </cell>
          <cell r="L106">
            <v>13574769.452915478</v>
          </cell>
          <cell r="M106">
            <v>14334440.521650955</v>
          </cell>
          <cell r="N106">
            <v>14223459.996689549</v>
          </cell>
          <cell r="O106">
            <v>17673236.497227091</v>
          </cell>
        </row>
        <row r="107">
          <cell r="K107">
            <v>11354155.018548628</v>
          </cell>
          <cell r="L107">
            <v>14537809.407818083</v>
          </cell>
          <cell r="M107">
            <v>15336483.986341137</v>
          </cell>
          <cell r="N107">
            <v>15288125.735155111</v>
          </cell>
          <cell r="O107">
            <v>19077546.760780007</v>
          </cell>
        </row>
        <row r="108">
          <cell r="K108">
            <v>12189625.995830329</v>
          </cell>
          <cell r="L108">
            <v>15604566.789715353</v>
          </cell>
          <cell r="M108">
            <v>16530264.264685884</v>
          </cell>
          <cell r="N108">
            <v>16498473.595000714</v>
          </cell>
          <cell r="O108">
            <v>20667080.246582836</v>
          </cell>
        </row>
        <row r="109">
          <cell r="K109">
            <v>13085061.618000122</v>
          </cell>
          <cell r="L109">
            <v>16787675.525889214</v>
          </cell>
          <cell r="M109">
            <v>17786765.776866969</v>
          </cell>
          <cell r="N109">
            <v>17803492.208814453</v>
          </cell>
          <cell r="O109">
            <v>22286273.530553497</v>
          </cell>
        </row>
        <row r="110">
          <cell r="K110">
            <v>14044765.755251367</v>
          </cell>
          <cell r="L110">
            <v>18036406.914711267</v>
          </cell>
          <cell r="M110">
            <v>19106920.028809074</v>
          </cell>
          <cell r="N110">
            <v>19109985.555892348</v>
          </cell>
          <cell r="O110">
            <v>23924686.859648071</v>
          </cell>
        </row>
        <row r="111">
          <cell r="K111">
            <v>15073351.181443553</v>
          </cell>
          <cell r="L111">
            <v>19352531.908105947</v>
          </cell>
          <cell r="M111">
            <v>20552732.874484889</v>
          </cell>
          <cell r="N111">
            <v>20464996.867978398</v>
          </cell>
          <cell r="O111">
            <v>25632139.649156291</v>
          </cell>
        </row>
        <row r="112">
          <cell r="K112">
            <v>16175761.74518794</v>
          </cell>
          <cell r="L112">
            <v>20787281.55647717</v>
          </cell>
          <cell r="M112">
            <v>21940215.85802095</v>
          </cell>
          <cell r="N112">
            <v>21865652.541578818</v>
          </cell>
          <cell r="O112">
            <v>27540825.245374579</v>
          </cell>
        </row>
        <row r="113">
          <cell r="K113">
            <v>17357296.132228825</v>
          </cell>
          <cell r="L113">
            <v>22219636.140177585</v>
          </cell>
          <cell r="M113">
            <v>23453330.754416324</v>
          </cell>
          <cell r="N113">
            <v>23407506.151215725</v>
          </cell>
          <cell r="O113">
            <v>29581699.913017116</v>
          </cell>
        </row>
        <row r="114">
          <cell r="K114">
            <v>18623633.333333336</v>
          </cell>
          <cell r="L114">
            <v>23833859.793333333</v>
          </cell>
          <cell r="M114">
            <v>25218903.613333333</v>
          </cell>
          <cell r="N114">
            <v>25213624.800000004</v>
          </cell>
          <cell r="O114">
            <v>31968715.893333334</v>
          </cell>
        </row>
        <row r="115">
          <cell r="K115">
            <v>19980859.940099616</v>
          </cell>
          <cell r="L115">
            <v>25624261.476829678</v>
          </cell>
          <cell r="M115">
            <v>27154700.826068256</v>
          </cell>
          <cell r="N115">
            <v>27211389.388568114</v>
          </cell>
          <cell r="O115">
            <v>34591131.721369043</v>
          </cell>
        </row>
        <row r="116">
          <cell r="K116">
            <v>21435499.399879914</v>
          </cell>
          <cell r="L116">
            <v>27513915.518592812</v>
          </cell>
          <cell r="M116">
            <v>29166069.178555626</v>
          </cell>
          <cell r="N116">
            <v>29258027.960381161</v>
          </cell>
          <cell r="O116">
            <v>37092057.587206863</v>
          </cell>
        </row>
        <row r="117">
          <cell r="K117">
            <v>22994543.370430589</v>
          </cell>
          <cell r="L117">
            <v>29533585.286597919</v>
          </cell>
          <cell r="M117">
            <v>31332668.726163995</v>
          </cell>
          <cell r="N117">
            <v>31349348.076993696</v>
          </cell>
          <cell r="O117">
            <v>39748272.192596495</v>
          </cell>
        </row>
        <row r="118">
          <cell r="K118">
            <v>24665485.324993998</v>
          </cell>
          <cell r="L118">
            <v>31691694.976370022</v>
          </cell>
          <cell r="M118">
            <v>33542377.439266793</v>
          </cell>
          <cell r="N118">
            <v>33522850.79251666</v>
          </cell>
          <cell r="O118">
            <v>42584943.574086919</v>
          </cell>
        </row>
        <row r="119">
          <cell r="K119">
            <v>26456356.569333576</v>
          </cell>
          <cell r="L119">
            <v>33900352.957459956</v>
          </cell>
          <cell r="M119">
            <v>35824751.61954914</v>
          </cell>
          <cell r="N119">
            <v>35805129.27185189</v>
          </cell>
          <cell r="O119">
            <v>45578082.064255208</v>
          </cell>
        </row>
        <row r="120">
          <cell r="K120">
            <v>28375764.843836069</v>
          </cell>
          <cell r="L120">
            <v>36321112.968604833</v>
          </cell>
          <cell r="M120">
            <v>38390837.975741982</v>
          </cell>
          <cell r="N120">
            <v>38456082.469223231</v>
          </cell>
          <cell r="O120">
            <v>48985202.211582161</v>
          </cell>
        </row>
        <row r="121">
          <cell r="K121">
            <v>30432935.696220413</v>
          </cell>
          <cell r="L121">
            <v>38968124.467707627</v>
          </cell>
          <cell r="M121">
            <v>41229938.508277498</v>
          </cell>
          <cell r="N121">
            <v>41290394.579944976</v>
          </cell>
          <cell r="O121">
            <v>52720057.161024347</v>
          </cell>
        </row>
        <row r="122">
          <cell r="K122">
            <v>32637756.823709235</v>
          </cell>
          <cell r="L122">
            <v>41805786.773643039</v>
          </cell>
          <cell r="M122">
            <v>44249566.988433018</v>
          </cell>
          <cell r="N122">
            <v>44394256.069253393</v>
          </cell>
          <cell r="O122">
            <v>56662075.112692215</v>
          </cell>
        </row>
        <row r="123">
          <cell r="K123">
            <v>35000825.597790986</v>
          </cell>
          <cell r="L123">
            <v>44869125.367021836</v>
          </cell>
          <cell r="M123">
            <v>47543787.420028217</v>
          </cell>
          <cell r="N123">
            <v>47667279.871311471</v>
          </cell>
          <cell r="O123">
            <v>60673597.021866962</v>
          </cell>
        </row>
        <row r="124">
          <cell r="K124">
            <v>37533500</v>
          </cell>
          <cell r="L124">
            <v>48154624.100000001</v>
          </cell>
          <cell r="M124">
            <v>51004397.799999997</v>
          </cell>
          <cell r="N124">
            <v>50921832</v>
          </cell>
          <cell r="O124">
            <v>64908099.199999988</v>
          </cell>
        </row>
        <row r="125">
          <cell r="K125">
            <v>40247953.213532597</v>
          </cell>
          <cell r="L125">
            <v>51574432.356883705</v>
          </cell>
          <cell r="M125">
            <v>54454571.49204915</v>
          </cell>
          <cell r="N125">
            <v>54393919.153139174</v>
          </cell>
          <cell r="O125">
            <v>69620258.431577459</v>
          </cell>
        </row>
        <row r="126">
          <cell r="K126">
            <v>43157232.133093171</v>
          </cell>
          <cell r="L126">
            <v>55169318.446671128</v>
          </cell>
          <cell r="M126">
            <v>58238576.615354903</v>
          </cell>
          <cell r="N126">
            <v>58269230.590645336</v>
          </cell>
          <cell r="O126">
            <v>74664713.318172768</v>
          </cell>
        </row>
        <row r="127">
          <cell r="K127">
            <v>46275320.074194521</v>
          </cell>
          <cell r="L127">
            <v>59159860.901654817</v>
          </cell>
          <cell r="M127">
            <v>62598877.412652284</v>
          </cell>
          <cell r="N127">
            <v>62731145.412414618</v>
          </cell>
          <cell r="O127">
            <v>80443223.852325737</v>
          </cell>
        </row>
        <row r="128">
          <cell r="K128">
            <v>49617203.983321287</v>
          </cell>
          <cell r="L128">
            <v>63557284.989510976</v>
          </cell>
          <cell r="M128">
            <v>67242244.372536957</v>
          </cell>
          <cell r="N128">
            <v>67445010.304529369</v>
          </cell>
          <cell r="O128">
            <v>86656851.943141565</v>
          </cell>
        </row>
        <row r="129">
          <cell r="K129">
            <v>53198946.472000502</v>
          </cell>
          <cell r="L129">
            <v>68117583.825141042</v>
          </cell>
          <cell r="M129">
            <v>72205372.769803897</v>
          </cell>
          <cell r="N129">
            <v>72448069.169965327</v>
          </cell>
          <cell r="O129">
            <v>92541517.198880836</v>
          </cell>
        </row>
        <row r="130">
          <cell r="K130">
            <v>57037763.021005474</v>
          </cell>
          <cell r="L130">
            <v>73141256.631172001</v>
          </cell>
          <cell r="M130">
            <v>77485781.329401046</v>
          </cell>
          <cell r="N130">
            <v>77398164.41065903</v>
          </cell>
          <cell r="O130">
            <v>98814741.205303937</v>
          </cell>
        </row>
        <row r="131">
          <cell r="K131">
            <v>61152104.725774169</v>
          </cell>
          <cell r="L131">
            <v>78421709.718249992</v>
          </cell>
          <cell r="M131">
            <v>82707008.545314297</v>
          </cell>
          <cell r="N131">
            <v>82508551.847866446</v>
          </cell>
          <cell r="O131">
            <v>105668399.351427</v>
          </cell>
        </row>
        <row r="132">
          <cell r="K132">
            <v>65561746.980751693</v>
          </cell>
          <cell r="L132">
            <v>83683749.87519218</v>
          </cell>
          <cell r="M132">
            <v>88196630.930053294</v>
          </cell>
          <cell r="N132">
            <v>88116569.524443835</v>
          </cell>
          <cell r="O132">
            <v>113120855.23366818</v>
          </cell>
        </row>
        <row r="133">
          <cell r="K133">
            <v>70287884.528915301</v>
          </cell>
          <cell r="L133">
            <v>89720870.205984861</v>
          </cell>
          <cell r="M133">
            <v>94722707.090941459</v>
          </cell>
          <cell r="N133">
            <v>94815803.027262464</v>
          </cell>
          <cell r="O133">
            <v>121662478.31321071</v>
          </cell>
        </row>
        <row r="134">
          <cell r="K134">
            <v>75353233.333333343</v>
          </cell>
          <cell r="L134">
            <v>96305423.5</v>
          </cell>
          <cell r="M134">
            <v>101788831.74666665</v>
          </cell>
          <cell r="N134">
            <v>101954798.40000002</v>
          </cell>
          <cell r="O134">
            <v>130991412.34666668</v>
          </cell>
        </row>
        <row r="135">
          <cell r="K135">
            <v>80782139.760398537</v>
          </cell>
          <cell r="L135">
            <v>103297374.16602139</v>
          </cell>
          <cell r="M135">
            <v>109232498.89148378</v>
          </cell>
          <cell r="N135">
            <v>109580409.30627836</v>
          </cell>
          <cell r="O135">
            <v>140419135.20786852</v>
          </cell>
        </row>
        <row r="136">
          <cell r="K136">
            <v>86600697.59951967</v>
          </cell>
          <cell r="L136">
            <v>110820894.00979945</v>
          </cell>
          <cell r="M136">
            <v>117373786.721588</v>
          </cell>
          <cell r="N136">
            <v>117379941.49329616</v>
          </cell>
          <cell r="O136">
            <v>150162605.3574982</v>
          </cell>
        </row>
        <row r="137">
          <cell r="K137">
            <v>92836873.48172237</v>
          </cell>
          <cell r="L137">
            <v>118890049.85145175</v>
          </cell>
          <cell r="M137">
            <v>125522184.69425212</v>
          </cell>
          <cell r="N137">
            <v>125258535.76345803</v>
          </cell>
          <cell r="O137">
            <v>160445482.67202333</v>
          </cell>
        </row>
        <row r="138">
          <cell r="K138">
            <v>99520641.299975917</v>
          </cell>
          <cell r="L138">
            <v>127092617.6443042</v>
          </cell>
          <cell r="M138">
            <v>133953260.94410756</v>
          </cell>
          <cell r="N138">
            <v>133771719.53232566</v>
          </cell>
          <cell r="O138">
            <v>171691481.30044854</v>
          </cell>
        </row>
        <row r="139">
          <cell r="K139">
            <v>106684126.27733433</v>
          </cell>
          <cell r="L139">
            <v>136083935.87713358</v>
          </cell>
          <cell r="M139">
            <v>143415675.96929201</v>
          </cell>
          <cell r="N139">
            <v>143490093.86186877</v>
          </cell>
          <cell r="O139">
            <v>184439933.38961375</v>
          </cell>
        </row>
        <row r="140">
          <cell r="K140">
            <v>114361759.37534429</v>
          </cell>
          <cell r="L140">
            <v>145985793.86573982</v>
          </cell>
          <cell r="M140">
            <v>154277108.41234002</v>
          </cell>
          <cell r="N140">
            <v>154362247.1101681</v>
          </cell>
          <cell r="O140">
            <v>198512385.84476703</v>
          </cell>
        </row>
        <row r="141">
          <cell r="K141">
            <v>122590442.78488168</v>
          </cell>
          <cell r="L141">
            <v>156679957.4929294</v>
          </cell>
          <cell r="M141">
            <v>165562782.64516008</v>
          </cell>
          <cell r="N141">
            <v>165809622.69573289</v>
          </cell>
          <cell r="O141">
            <v>213145750.81765631</v>
          </cell>
        </row>
        <row r="142">
          <cell r="K142">
            <v>131409727.29483674</v>
          </cell>
          <cell r="L142">
            <v>167956269.19650018</v>
          </cell>
          <cell r="M142">
            <v>177618142.02991408</v>
          </cell>
          <cell r="N142">
            <v>177878479.65454447</v>
          </cell>
          <cell r="O142">
            <v>227687909.4739216</v>
          </cell>
        </row>
        <row r="143">
          <cell r="K143">
            <v>140862002.39116395</v>
          </cell>
          <cell r="L143">
            <v>180127113.76419383</v>
          </cell>
          <cell r="M143">
            <v>190435298.03572309</v>
          </cell>
          <cell r="N143">
            <v>189947197.30348477</v>
          </cell>
          <cell r="O143">
            <v>243305375.87225184</v>
          </cell>
        </row>
        <row r="144">
          <cell r="K144">
            <v>150992700</v>
          </cell>
          <cell r="L144">
            <v>192995001.54000002</v>
          </cell>
          <cell r="M144">
            <v>203266793.78000003</v>
          </cell>
          <cell r="N144">
            <v>202742732.40000001</v>
          </cell>
          <cell r="O144">
            <v>260289353.24000001</v>
          </cell>
        </row>
        <row r="145">
          <cell r="K145">
            <v>161850512.85413015</v>
          </cell>
          <cell r="L145">
            <v>206339529.76622602</v>
          </cell>
          <cell r="M145">
            <v>217150824.260526</v>
          </cell>
          <cell r="N145">
            <v>217122889.06323293</v>
          </cell>
          <cell r="O145">
            <v>278887413.17342532</v>
          </cell>
        </row>
        <row r="146">
          <cell r="K146">
            <v>173487628.53237271</v>
          </cell>
          <cell r="L146">
            <v>221180078.71982679</v>
          </cell>
          <cell r="M146">
            <v>233367942.93028018</v>
          </cell>
          <cell r="N146">
            <v>233301655.83433911</v>
          </cell>
          <cell r="O146">
            <v>299746022.28657466</v>
          </cell>
        </row>
        <row r="147">
          <cell r="K147">
            <v>185959980.29677811</v>
          </cell>
          <cell r="L147">
            <v>237366821.56738427</v>
          </cell>
          <cell r="M147">
            <v>250493449.44005692</v>
          </cell>
          <cell r="N147">
            <v>250627821.3586095</v>
          </cell>
          <cell r="O147">
            <v>322404670.9095664</v>
          </cell>
        </row>
        <row r="148">
          <cell r="K148">
            <v>199327515.93328518</v>
          </cell>
          <cell r="L148">
            <v>254434307.68672124</v>
          </cell>
          <cell r="M148">
            <v>268792333.80037504</v>
          </cell>
          <cell r="N148">
            <v>269122776.42565906</v>
          </cell>
          <cell r="O148">
            <v>345004654.32198668</v>
          </cell>
        </row>
        <row r="149">
          <cell r="K149">
            <v>213654485.88800204</v>
          </cell>
          <cell r="L149">
            <v>273114180.00373256</v>
          </cell>
          <cell r="M149">
            <v>288467437.43469077</v>
          </cell>
          <cell r="N149">
            <v>287953363.62878382</v>
          </cell>
          <cell r="O149">
            <v>368743540.04737598</v>
          </cell>
        </row>
        <row r="150">
          <cell r="K150">
            <v>229009752.08402196</v>
          </cell>
          <cell r="L150">
            <v>292678179.11399543</v>
          </cell>
          <cell r="M150">
            <v>308203540.35634398</v>
          </cell>
          <cell r="N150">
            <v>307257232.299797</v>
          </cell>
          <cell r="O150">
            <v>393637190.89487922</v>
          </cell>
        </row>
        <row r="151">
          <cell r="K151">
            <v>245467118.90309674</v>
          </cell>
          <cell r="L151">
            <v>312677218.44249725</v>
          </cell>
          <cell r="M151">
            <v>328841416.97771078</v>
          </cell>
          <cell r="N151">
            <v>327637053.74909592</v>
          </cell>
          <cell r="O151">
            <v>420527799.42378616</v>
          </cell>
        </row>
        <row r="152">
          <cell r="K152">
            <v>263105687.92300683</v>
          </cell>
          <cell r="L152">
            <v>335149990.71046567</v>
          </cell>
          <cell r="M152">
            <v>352694861.0423367</v>
          </cell>
          <cell r="N152">
            <v>351951223.73076534</v>
          </cell>
          <cell r="O152">
            <v>451024699.40003639</v>
          </cell>
        </row>
        <row r="153">
          <cell r="K153">
            <v>282010238.11566132</v>
          </cell>
          <cell r="L153">
            <v>359320907.37208146</v>
          </cell>
          <cell r="M153">
            <v>378388388.44646376</v>
          </cell>
          <cell r="N153">
            <v>377507319.00003505</v>
          </cell>
          <cell r="O153">
            <v>483914451.9744966</v>
          </cell>
        </row>
        <row r="154">
          <cell r="K154">
            <v>302271633.33333337</v>
          </cell>
          <cell r="L154">
            <v>385141458.89999998</v>
          </cell>
          <cell r="M154">
            <v>405647795.11333334</v>
          </cell>
          <cell r="N154">
            <v>404914780.40000004</v>
          </cell>
          <cell r="O154">
            <v>520626582.00000006</v>
          </cell>
        </row>
        <row r="155">
          <cell r="K155">
            <v>323987259.04159367</v>
          </cell>
          <cell r="L155">
            <v>413010970.00019264</v>
          </cell>
          <cell r="M155">
            <v>435127458.44828528</v>
          </cell>
          <cell r="N155">
            <v>436133896.75846213</v>
          </cell>
          <cell r="O155">
            <v>566913946.71539974</v>
          </cell>
        </row>
        <row r="156">
          <cell r="K156">
            <v>347261490.39807874</v>
          </cell>
          <cell r="L156">
            <v>442580154.75382477</v>
          </cell>
          <cell r="M156">
            <v>468970500.52780443</v>
          </cell>
          <cell r="N156">
            <v>473854696.45340496</v>
          </cell>
          <cell r="O156">
            <v>880771393.48392916</v>
          </cell>
        </row>
        <row r="157">
          <cell r="K157">
            <v>372206193.92688954</v>
          </cell>
          <cell r="L157">
            <v>477917656.23568696</v>
          </cell>
          <cell r="M157">
            <v>508258042.90413111</v>
          </cell>
          <cell r="N157">
            <v>628541786.1291852</v>
          </cell>
          <cell r="O157">
            <v>1511723577.9209633</v>
          </cell>
        </row>
        <row r="158">
          <cell r="K158">
            <v>398941265.19990379</v>
          </cell>
          <cell r="L158">
            <v>514660035.37831634</v>
          </cell>
          <cell r="M158">
            <v>626218676.36384892</v>
          </cell>
          <cell r="N158">
            <v>887300487.42303503</v>
          </cell>
          <cell r="O158">
            <v>2134071428.7251456</v>
          </cell>
        </row>
        <row r="159">
          <cell r="K159">
            <v>427595205.10933751</v>
          </cell>
          <cell r="L159">
            <v>613743275.62094128</v>
          </cell>
          <cell r="M159">
            <v>819420293.87153435</v>
          </cell>
          <cell r="N159">
            <v>1153696442.6350124</v>
          </cell>
          <cell r="O159">
            <v>2783481228.959764</v>
          </cell>
        </row>
        <row r="160">
          <cell r="K160">
            <v>458305737.50137722</v>
          </cell>
          <cell r="L160">
            <v>691594939.62301695</v>
          </cell>
          <cell r="M160">
            <v>925783129.75278211</v>
          </cell>
          <cell r="N160">
            <v>1303449171.8540978</v>
          </cell>
          <cell r="O160">
            <v>3144279708.8619761</v>
          </cell>
        </row>
        <row r="161">
          <cell r="K161">
            <v>491220471.13952672</v>
          </cell>
          <cell r="L161">
            <v>741264104.46325719</v>
          </cell>
          <cell r="M161">
            <v>992270891.7018441</v>
          </cell>
          <cell r="N161">
            <v>1397060100.2300334</v>
          </cell>
          <cell r="O161">
            <v>3360108651.3224902</v>
          </cell>
        </row>
        <row r="162">
          <cell r="K162">
            <v>526497609.17934704</v>
          </cell>
          <cell r="L162">
            <v>794498197.24536836</v>
          </cell>
          <cell r="M162">
            <v>1063530710.542281</v>
          </cell>
          <cell r="N162">
            <v>1497389809.0667496</v>
          </cell>
          <cell r="O162">
            <v>3601414463.8579769</v>
          </cell>
        </row>
        <row r="163">
          <cell r="K163">
            <v>564306709.5646559</v>
          </cell>
          <cell r="L163">
            <v>851553085.19143009</v>
          </cell>
          <cell r="M163">
            <v>1139905093.3206048</v>
          </cell>
          <cell r="N163">
            <v>1604920528.5019345</v>
          </cell>
          <cell r="O163">
            <v>3860039630.0892692</v>
          </cell>
        </row>
        <row r="164">
          <cell r="K164">
            <v>604829500</v>
          </cell>
          <cell r="L164">
            <v>912703000</v>
          </cell>
          <cell r="M164">
            <v>1221761130</v>
          </cell>
          <cell r="N164">
            <v>1720169100.0000002</v>
          </cell>
          <cell r="O164">
            <v>4137227220.000001</v>
          </cell>
        </row>
      </sheetData>
      <sheetData sheetId="3"/>
      <sheetData sheetId="4"/>
      <sheetData sheetId="5"/>
      <sheetData sheetId="6">
        <row r="9">
          <cell r="I9">
            <v>300000</v>
          </cell>
        </row>
      </sheetData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6">
          <cell r="D6">
            <v>1.2825281669981821E-2</v>
          </cell>
        </row>
        <row r="16">
          <cell r="E16">
            <v>94954.230756282486</v>
          </cell>
        </row>
        <row r="41">
          <cell r="E41">
            <v>84420.292315640909</v>
          </cell>
        </row>
        <row r="50">
          <cell r="E50">
            <v>794544.38335637981</v>
          </cell>
        </row>
        <row r="52">
          <cell r="E52">
            <v>1023658.5692617481</v>
          </cell>
        </row>
        <row r="56">
          <cell r="E56">
            <v>86669.567300324634</v>
          </cell>
        </row>
        <row r="57">
          <cell r="E57">
            <v>34667.826920129854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攻城基础信息"/>
      <sheetName val="疲劳值&amp;地图信息"/>
      <sheetName val="赛季服难度系数"/>
      <sheetName val="玩家城池攻打"/>
      <sheetName val="国家城池攻打"/>
      <sheetName val="国家城池具体内容"/>
      <sheetName val="NPC城池自动攻城"/>
      <sheetName val="村庄县城"/>
      <sheetName val="村庄县城具体内容"/>
      <sheetName val="军团县城攻打"/>
      <sheetName val="军团建筑攻打"/>
      <sheetName val="玩家城池具体内容"/>
      <sheetName val="系统城外建筑规划"/>
      <sheetName val="攻城后台影响系数"/>
      <sheetName val="城建规划"/>
      <sheetName val="城池连线观测"/>
      <sheetName val="各国城池可攻打"/>
      <sheetName val="疲劳值"/>
      <sheetName val="县城攻打"/>
      <sheetName val="Sheet1"/>
      <sheetName val="国家城池成长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AG4">
            <v>49941.012284541714</v>
          </cell>
        </row>
        <row r="5">
          <cell r="AG5">
            <v>162029.58932394753</v>
          </cell>
        </row>
        <row r="6">
          <cell r="AG6">
            <v>340557.523690895</v>
          </cell>
        </row>
        <row r="7">
          <cell r="AG7">
            <v>589816.60795806127</v>
          </cell>
        </row>
        <row r="8">
          <cell r="AG8">
            <v>914098.63469812495</v>
          </cell>
        </row>
        <row r="9">
          <cell r="AG9">
            <v>1158824.3203119617</v>
          </cell>
        </row>
        <row r="10">
          <cell r="AG10">
            <v>1426092.7888495028</v>
          </cell>
        </row>
        <row r="11">
          <cell r="AG11">
            <v>1716721.5246103066</v>
          </cell>
        </row>
        <row r="12">
          <cell r="AG12">
            <v>2031528.0118939315</v>
          </cell>
        </row>
        <row r="13">
          <cell r="AG13">
            <v>2371329.7349999337</v>
          </cell>
        </row>
        <row r="14">
          <cell r="AG14">
            <v>2566267.9604877783</v>
          </cell>
        </row>
        <row r="15">
          <cell r="AG15">
            <v>2722690.2568411655</v>
          </cell>
        </row>
        <row r="16">
          <cell r="AG16">
            <v>2957339.674726462</v>
          </cell>
        </row>
        <row r="17">
          <cell r="AG17">
            <v>3138404.3589152577</v>
          </cell>
        </row>
        <row r="18">
          <cell r="AG18">
            <v>3327716.8936707675</v>
          </cell>
        </row>
        <row r="19">
          <cell r="AG19">
            <v>3525390.6315024626</v>
          </cell>
        </row>
        <row r="20">
          <cell r="AG20">
            <v>3730920.7157548075</v>
          </cell>
        </row>
        <row r="21">
          <cell r="AG21">
            <v>3947094.2385222083</v>
          </cell>
        </row>
        <row r="22">
          <cell r="AG22">
            <v>4172232.1490169046</v>
          </cell>
        </row>
        <row r="23">
          <cell r="AG23">
            <v>4400482.7396931639</v>
          </cell>
        </row>
        <row r="24">
          <cell r="AG24">
            <v>4600604.2348324098</v>
          </cell>
        </row>
        <row r="25">
          <cell r="AG25">
            <v>4807866.3240001006</v>
          </cell>
        </row>
        <row r="26">
          <cell r="AG26">
            <v>5021077.4124167515</v>
          </cell>
        </row>
        <row r="27">
          <cell r="AG27">
            <v>5243901.8042652123</v>
          </cell>
        </row>
        <row r="28">
          <cell r="AG28">
            <v>5473965.6568681197</v>
          </cell>
        </row>
        <row r="29">
          <cell r="AG29">
            <v>5707560.1151505178</v>
          </cell>
        </row>
        <row r="30">
          <cell r="AG30">
            <v>6447823.436777845</v>
          </cell>
        </row>
        <row r="31">
          <cell r="AG31">
            <v>6738335.3903679634</v>
          </cell>
        </row>
        <row r="32">
          <cell r="AG32">
            <v>7154305.3091025576</v>
          </cell>
        </row>
        <row r="33">
          <cell r="AG33">
            <v>7584174.3569654468</v>
          </cell>
        </row>
        <row r="34">
          <cell r="AG34">
            <v>8374697.7763098683</v>
          </cell>
        </row>
        <row r="35">
          <cell r="AG35">
            <v>8838390.1993986201</v>
          </cell>
        </row>
        <row r="36">
          <cell r="AG36">
            <v>9319993.0358928144</v>
          </cell>
        </row>
        <row r="37">
          <cell r="AG37">
            <v>9820553.916499801</v>
          </cell>
        </row>
        <row r="38">
          <cell r="AG38">
            <v>10206801.983024145</v>
          </cell>
        </row>
        <row r="39">
          <cell r="AG39">
            <v>10604911.135640329</v>
          </cell>
        </row>
        <row r="40">
          <cell r="AG40">
            <v>11015230.210243195</v>
          </cell>
        </row>
        <row r="41">
          <cell r="AG41">
            <v>11450493.18796139</v>
          </cell>
        </row>
        <row r="42">
          <cell r="AG42">
            <v>11910880.32837918</v>
          </cell>
        </row>
        <row r="43">
          <cell r="AG43">
            <v>12355746.465978278</v>
          </cell>
        </row>
        <row r="44">
          <cell r="AG44">
            <v>12788117.984914972</v>
          </cell>
        </row>
        <row r="45">
          <cell r="AG45">
            <v>13193816.16184354</v>
          </cell>
        </row>
        <row r="46">
          <cell r="AG46">
            <v>13608708.803428642</v>
          </cell>
        </row>
        <row r="47">
          <cell r="AG47">
            <v>14061660.113855785</v>
          </cell>
        </row>
        <row r="48">
          <cell r="AG48">
            <v>14913062.689742073</v>
          </cell>
        </row>
        <row r="49">
          <cell r="AG49">
            <v>15456224.446501033</v>
          </cell>
        </row>
        <row r="50">
          <cell r="AG50">
            <v>16049767.627360325</v>
          </cell>
        </row>
        <row r="51">
          <cell r="AG51">
            <v>16687958.916812364</v>
          </cell>
        </row>
        <row r="52">
          <cell r="AG52">
            <v>17348474.162150875</v>
          </cell>
        </row>
        <row r="53">
          <cell r="AG53">
            <v>17950782.802263357</v>
          </cell>
        </row>
        <row r="54">
          <cell r="AG54">
            <v>18698630.723267518</v>
          </cell>
        </row>
        <row r="55">
          <cell r="AG55">
            <v>19495703.315639906</v>
          </cell>
        </row>
        <row r="56">
          <cell r="AG56">
            <v>20323540.938601248</v>
          </cell>
        </row>
        <row r="57">
          <cell r="AG57">
            <v>21184109.976829089</v>
          </cell>
        </row>
        <row r="58">
          <cell r="AG58">
            <v>22097972.265515197</v>
          </cell>
        </row>
        <row r="59">
          <cell r="AG59">
            <v>23052265.360937268</v>
          </cell>
        </row>
        <row r="60">
          <cell r="AG60">
            <v>24046687.059398975</v>
          </cell>
        </row>
        <row r="61">
          <cell r="AG61">
            <v>25078560.851359263</v>
          </cell>
        </row>
        <row r="62">
          <cell r="AG62">
            <v>26149877.055506162</v>
          </cell>
        </row>
        <row r="63">
          <cell r="AG63">
            <v>27278324.209729433</v>
          </cell>
        </row>
        <row r="64">
          <cell r="AG64">
            <v>28455068.144281246</v>
          </cell>
        </row>
        <row r="65">
          <cell r="AG65">
            <v>29538371.639539607</v>
          </cell>
        </row>
        <row r="66">
          <cell r="AG66">
            <v>30662289.28743165</v>
          </cell>
        </row>
        <row r="67">
          <cell r="AG67">
            <v>31830660.509065669</v>
          </cell>
        </row>
        <row r="68">
          <cell r="AG68">
            <v>33029679.229524031</v>
          </cell>
        </row>
        <row r="69">
          <cell r="AG69">
            <v>34294512.67242191</v>
          </cell>
        </row>
        <row r="70">
          <cell r="AG70">
            <v>37382938.442938164</v>
          </cell>
        </row>
        <row r="71">
          <cell r="AG71">
            <v>38526892.522695579</v>
          </cell>
        </row>
        <row r="72">
          <cell r="AG72">
            <v>39742009.116543643</v>
          </cell>
        </row>
        <row r="73">
          <cell r="AG73">
            <v>40811572.131556615</v>
          </cell>
        </row>
        <row r="74">
          <cell r="AG74">
            <v>41894386.827670813</v>
          </cell>
        </row>
        <row r="75">
          <cell r="AG75">
            <v>42968596.883844517</v>
          </cell>
        </row>
        <row r="76">
          <cell r="AG76">
            <v>43973774.797947027</v>
          </cell>
        </row>
        <row r="77">
          <cell r="AG77">
            <v>45000602.860433586</v>
          </cell>
        </row>
        <row r="78">
          <cell r="AG78">
            <v>46257779.114679903</v>
          </cell>
        </row>
        <row r="79">
          <cell r="AG79">
            <v>47642233.909994021</v>
          </cell>
        </row>
        <row r="80">
          <cell r="AG80">
            <v>49058713.986032255</v>
          </cell>
        </row>
        <row r="81">
          <cell r="AG81">
            <v>50520692.370773979</v>
          </cell>
        </row>
        <row r="82">
          <cell r="AG82">
            <v>52156483.311391018</v>
          </cell>
        </row>
        <row r="83">
          <cell r="AG83">
            <v>53813757.330013692</v>
          </cell>
        </row>
        <row r="84">
          <cell r="AG84">
            <v>55034475.650602959</v>
          </cell>
        </row>
        <row r="85">
          <cell r="AG85">
            <v>56340668.608764559</v>
          </cell>
        </row>
        <row r="86">
          <cell r="AG86">
            <v>57536914.340532444</v>
          </cell>
        </row>
        <row r="87">
          <cell r="AG87">
            <v>58702069.838691704</v>
          </cell>
        </row>
        <row r="88">
          <cell r="AG88">
            <v>59296519.458460927</v>
          </cell>
        </row>
        <row r="89">
          <cell r="AG89">
            <v>59796420.132352248</v>
          </cell>
        </row>
        <row r="90">
          <cell r="AG90">
            <v>60303243.384046085</v>
          </cell>
        </row>
        <row r="91">
          <cell r="AG91">
            <v>63656166.914362617</v>
          </cell>
        </row>
        <row r="92">
          <cell r="AG92">
            <v>64130945.792034812</v>
          </cell>
        </row>
        <row r="93">
          <cell r="AG93">
            <v>64590473.543937087</v>
          </cell>
        </row>
        <row r="94">
          <cell r="AG94">
            <v>65078289.891450986</v>
          </cell>
        </row>
        <row r="95">
          <cell r="AG95">
            <v>65078289.891450986</v>
          </cell>
        </row>
        <row r="96">
          <cell r="AG96">
            <v>65078289.891450986</v>
          </cell>
        </row>
        <row r="97">
          <cell r="AG97">
            <v>65078289.891450986</v>
          </cell>
        </row>
        <row r="98">
          <cell r="AG98">
            <v>65078289.891450986</v>
          </cell>
        </row>
        <row r="99">
          <cell r="AG99">
            <v>65078289.891450986</v>
          </cell>
        </row>
        <row r="100">
          <cell r="AG100">
            <v>65078289.891450986</v>
          </cell>
        </row>
        <row r="101">
          <cell r="AG101">
            <v>65078289.891450986</v>
          </cell>
        </row>
        <row r="102">
          <cell r="AG102">
            <v>65078289.891450986</v>
          </cell>
        </row>
        <row r="103">
          <cell r="AG103">
            <v>65078289.891450986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workbookViewId="0">
      <selection activeCell="R83" sqref="R83"/>
    </sheetView>
  </sheetViews>
  <sheetFormatPr defaultColWidth="6.625" defaultRowHeight="11.25" x14ac:dyDescent="0.15"/>
  <cols>
    <col min="1" max="1" width="6.625" style="1"/>
    <col min="2" max="2" width="10.5" style="1" bestFit="1" customWidth="1"/>
    <col min="3" max="23" width="6.625" style="1"/>
    <col min="24" max="24" width="6.625" style="8"/>
    <col min="25" max="25" width="6.625" style="1"/>
    <col min="26" max="31" width="6.625" style="2"/>
    <col min="32" max="32" width="6.625" style="3"/>
    <col min="33" max="38" width="6.625" style="2"/>
    <col min="39" max="39" width="6.625" style="3"/>
    <col min="40" max="45" width="6.625" style="2"/>
    <col min="46" max="16384" width="6.625" style="1"/>
  </cols>
  <sheetData>
    <row r="1" spans="2:45" x14ac:dyDescent="0.15">
      <c r="AA1" s="2">
        <v>1</v>
      </c>
      <c r="AB1" s="2">
        <v>0.8</v>
      </c>
      <c r="AC1" s="2">
        <v>0.6</v>
      </c>
      <c r="AD1" s="2">
        <v>0.4</v>
      </c>
      <c r="AE1" s="2">
        <v>0.2</v>
      </c>
    </row>
    <row r="2" spans="2:45" x14ac:dyDescent="0.15">
      <c r="D2" s="120" t="s">
        <v>99</v>
      </c>
      <c r="E2" s="120"/>
      <c r="F2" s="120"/>
      <c r="G2" s="120"/>
      <c r="H2" s="120"/>
      <c r="K2" s="120" t="s">
        <v>100</v>
      </c>
      <c r="L2" s="120"/>
      <c r="M2" s="120"/>
      <c r="N2" s="120"/>
      <c r="O2" s="120"/>
      <c r="R2" s="120" t="s">
        <v>101</v>
      </c>
      <c r="S2" s="120"/>
      <c r="T2" s="120"/>
      <c r="U2" s="120"/>
      <c r="V2" s="120"/>
      <c r="AA2" s="120" t="s">
        <v>22</v>
      </c>
      <c r="AB2" s="120"/>
      <c r="AC2" s="120"/>
      <c r="AD2" s="120"/>
      <c r="AE2" s="120"/>
      <c r="AH2" s="120" t="s">
        <v>23</v>
      </c>
      <c r="AI2" s="120"/>
      <c r="AJ2" s="120"/>
      <c r="AK2" s="120"/>
      <c r="AL2" s="120"/>
      <c r="AO2" s="120" t="s">
        <v>24</v>
      </c>
      <c r="AP2" s="120"/>
      <c r="AQ2" s="120"/>
      <c r="AR2" s="120"/>
      <c r="AS2" s="120"/>
    </row>
    <row r="3" spans="2:45" x14ac:dyDescent="0.15">
      <c r="B3" s="29" t="str">
        <f>[1]节奏总纲!N3</f>
        <v>对应玩家等级</v>
      </c>
      <c r="C3" s="1" t="s">
        <v>102</v>
      </c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J3" s="1" t="s">
        <v>102</v>
      </c>
      <c r="K3" s="1" t="s">
        <v>0</v>
      </c>
      <c r="L3" s="1" t="s">
        <v>1</v>
      </c>
      <c r="M3" s="1" t="s">
        <v>5</v>
      </c>
      <c r="N3" s="1" t="s">
        <v>3</v>
      </c>
      <c r="O3" s="1" t="s">
        <v>4</v>
      </c>
      <c r="Q3" s="1" t="s">
        <v>6</v>
      </c>
      <c r="R3" s="1" t="s">
        <v>0</v>
      </c>
      <c r="S3" s="1" t="s">
        <v>1</v>
      </c>
      <c r="T3" s="1" t="s">
        <v>2</v>
      </c>
      <c r="U3" s="1" t="s">
        <v>3</v>
      </c>
      <c r="V3" s="1" t="s">
        <v>4</v>
      </c>
      <c r="Z3" s="2" t="s">
        <v>25</v>
      </c>
      <c r="AA3" s="2" t="s">
        <v>0</v>
      </c>
      <c r="AB3" s="2" t="s">
        <v>26</v>
      </c>
      <c r="AC3" s="2" t="s">
        <v>2</v>
      </c>
      <c r="AD3" s="2" t="s">
        <v>27</v>
      </c>
      <c r="AE3" s="2" t="s">
        <v>4</v>
      </c>
      <c r="AG3" s="2" t="s">
        <v>25</v>
      </c>
      <c r="AH3" s="2" t="s">
        <v>0</v>
      </c>
      <c r="AI3" s="2" t="s">
        <v>1</v>
      </c>
      <c r="AJ3" s="2" t="s">
        <v>28</v>
      </c>
      <c r="AK3" s="2" t="s">
        <v>29</v>
      </c>
      <c r="AL3" s="2" t="s">
        <v>4</v>
      </c>
      <c r="AN3" s="2" t="s">
        <v>30</v>
      </c>
      <c r="AO3" s="2" t="s">
        <v>0</v>
      </c>
      <c r="AP3" s="2" t="s">
        <v>1</v>
      </c>
      <c r="AQ3" s="2" t="s">
        <v>2</v>
      </c>
      <c r="AR3" s="2" t="s">
        <v>27</v>
      </c>
      <c r="AS3" s="2" t="s">
        <v>31</v>
      </c>
    </row>
    <row r="4" spans="2:45" x14ac:dyDescent="0.15">
      <c r="B4" s="29">
        <f>[1]节奏总纲!N4</f>
        <v>2</v>
      </c>
      <c r="C4" s="1">
        <v>1</v>
      </c>
      <c r="D4" s="1">
        <f>[1]节奏总纲!P4</f>
        <v>7.1773462536293131E-2</v>
      </c>
      <c r="E4" s="1">
        <f>[1]节奏总纲!Q4</f>
        <v>5.9787294292732177E-2</v>
      </c>
      <c r="F4" s="1">
        <f>[1]节奏总纲!R4</f>
        <v>4.677476553490223E-2</v>
      </c>
      <c r="G4" s="1">
        <f>[1]节奏总纲!S4</f>
        <v>3.2585151991477081E-2</v>
      </c>
      <c r="H4" s="1">
        <f>[1]节奏总纲!T4</f>
        <v>1.7039020006115988E-2</v>
      </c>
      <c r="J4" s="1">
        <v>1</v>
      </c>
      <c r="K4" s="1">
        <f>[1]节奏总纲!W4</f>
        <v>7.1773462536293131E-2</v>
      </c>
      <c r="L4" s="1">
        <f>[1]节奏总纲!X4</f>
        <v>5.9787294292732177E-2</v>
      </c>
      <c r="M4" s="1">
        <f>[1]节奏总纲!Y4</f>
        <v>4.677476553490223E-2</v>
      </c>
      <c r="N4" s="1">
        <f>[1]节奏总纲!Z4</f>
        <v>3.2585151991477081E-2</v>
      </c>
      <c r="O4" s="1">
        <f>[1]节奏总纲!AA4</f>
        <v>1.7039020006115988E-2</v>
      </c>
      <c r="Q4" s="1">
        <v>1</v>
      </c>
      <c r="R4" s="1">
        <f>[1]节奏总纲!AD4</f>
        <v>10</v>
      </c>
      <c r="S4" s="1">
        <f>[1]节奏总纲!AE4</f>
        <v>11.148446722089302</v>
      </c>
      <c r="T4" s="1">
        <f>[1]节奏总纲!AF4</f>
        <v>12.761737853656415</v>
      </c>
      <c r="U4" s="1">
        <f>[1]节奏总纲!AG4</f>
        <v>15.452231935206081</v>
      </c>
      <c r="V4" s="1">
        <f>[1]节奏总纲!AH4</f>
        <v>21.291911942729964</v>
      </c>
      <c r="Z4" s="2">
        <v>1</v>
      </c>
      <c r="AA4" s="2">
        <f>[1]节奏总纲!AM4</f>
        <v>7.4349177498517554E-3</v>
      </c>
      <c r="AB4" s="2">
        <f>[1]节奏总纲!AN4</f>
        <v>5.947934199881405E-3</v>
      </c>
      <c r="AC4" s="2">
        <f>[1]节奏总纲!AO4</f>
        <v>4.4609506499110529E-3</v>
      </c>
      <c r="AD4" s="2">
        <f>[1]节奏总纲!AP4</f>
        <v>2.9739670999407025E-3</v>
      </c>
      <c r="AE4" s="2">
        <f>[1]节奏总纲!AQ4</f>
        <v>1.4869835499703513E-3</v>
      </c>
      <c r="AG4" s="2">
        <v>1</v>
      </c>
      <c r="AH4" s="2">
        <f>[1]节奏总纲!AT4</f>
        <v>7.4349177498517554E-3</v>
      </c>
      <c r="AI4" s="2">
        <f>[1]节奏总纲!AU4</f>
        <v>5.947934199881405E-3</v>
      </c>
      <c r="AJ4" s="2">
        <f>[1]节奏总纲!AV4</f>
        <v>4.4609506499110529E-3</v>
      </c>
      <c r="AK4" s="2">
        <f>[1]节奏总纲!AW4</f>
        <v>2.9739670999407025E-3</v>
      </c>
      <c r="AL4" s="2">
        <f>[1]节奏总纲!AX4</f>
        <v>1.4869835499703513E-3</v>
      </c>
      <c r="AM4" s="2"/>
      <c r="AN4" s="2">
        <v>1</v>
      </c>
      <c r="AO4" s="2">
        <f>[1]节奏总纲!BA4</f>
        <v>11.296493250964016</v>
      </c>
      <c r="AP4" s="2">
        <f>[1]节奏总纲!BB4</f>
        <v>12.361596792946616</v>
      </c>
      <c r="AQ4" s="2">
        <f>[1]节奏总纲!BC4</f>
        <v>13.798091195443488</v>
      </c>
      <c r="AR4" s="2">
        <f>[1]节奏总纲!BD4</f>
        <v>15.911635365458322</v>
      </c>
      <c r="AS4" s="2">
        <f>[1]节奏总纲!BE4</f>
        <v>19.707330185578734</v>
      </c>
    </row>
    <row r="5" spans="2:45" x14ac:dyDescent="0.15">
      <c r="B5" s="29">
        <f>[1]节奏总纲!N5</f>
        <v>4</v>
      </c>
      <c r="C5" s="1">
        <v>2</v>
      </c>
      <c r="D5" s="1">
        <f>[1]节奏总纲!P5</f>
        <v>0.1486983549970351</v>
      </c>
      <c r="E5" s="1">
        <f>[1]节奏总纲!Q5</f>
        <v>0.12505531655250651</v>
      </c>
      <c r="F5" s="1">
        <f>[1]节奏总纲!R5</f>
        <v>9.883979656652922E-2</v>
      </c>
      <c r="G5" s="1">
        <f>[1]节奏总纲!S5</f>
        <v>6.9828747506607683E-2</v>
      </c>
      <c r="H5" s="1">
        <f>[1]节奏总纲!T5</f>
        <v>3.7085369736260552E-2</v>
      </c>
      <c r="J5" s="1">
        <v>2</v>
      </c>
      <c r="K5" s="1">
        <f>[1]节奏总纲!W5</f>
        <v>7.6924892460741967E-2</v>
      </c>
      <c r="L5" s="1">
        <f>[1]节奏总纲!X5</f>
        <v>6.5268022259774336E-2</v>
      </c>
      <c r="M5" s="1">
        <f>[1]节奏总纲!Y5</f>
        <v>5.206503103162699E-2</v>
      </c>
      <c r="N5" s="1">
        <f>[1]节奏总纲!Z5</f>
        <v>3.7243595515130602E-2</v>
      </c>
      <c r="O5" s="1">
        <f>[1]节奏总纲!AA5</f>
        <v>2.0046349730144564E-2</v>
      </c>
      <c r="Q5" s="1">
        <v>2</v>
      </c>
      <c r="R5" s="1">
        <f>[1]节奏总纲!AD5</f>
        <v>15.845161563010114</v>
      </c>
      <c r="S5" s="1">
        <f>[1]节奏总纲!AE5</f>
        <v>17.271997130667014</v>
      </c>
      <c r="T5" s="1">
        <f>[1]节奏总纲!AF5</f>
        <v>19.263096801323076</v>
      </c>
      <c r="U5" s="1">
        <f>[1]节奏总纲!AG5</f>
        <v>22.536681597650272</v>
      </c>
      <c r="V5" s="1">
        <f>[1]节奏总纲!AH5</f>
        <v>29.386000042029625</v>
      </c>
      <c r="Z5" s="2">
        <v>2</v>
      </c>
      <c r="AA5" s="2">
        <f>[1]节奏总纲!AM5</f>
        <v>2.3963093307967063E-2</v>
      </c>
      <c r="AB5" s="2">
        <f>[1]节奏总纲!AN5</f>
        <v>1.9170474646373652E-2</v>
      </c>
      <c r="AC5" s="2">
        <f>[1]节奏总纲!AO5</f>
        <v>1.4377855984780237E-2</v>
      </c>
      <c r="AD5" s="2">
        <f>[1]节奏总纲!AP5</f>
        <v>9.5852373231868262E-3</v>
      </c>
      <c r="AE5" s="2">
        <f>[1]节奏总纲!AQ5</f>
        <v>4.7926186615934131E-3</v>
      </c>
      <c r="AG5" s="2">
        <v>2</v>
      </c>
      <c r="AH5" s="2">
        <f>[1]节奏总纲!AT5</f>
        <v>1.6528175558115307E-2</v>
      </c>
      <c r="AI5" s="2">
        <f>[1]节奏总纲!AU5</f>
        <v>1.3222540446492247E-2</v>
      </c>
      <c r="AJ5" s="2">
        <f>[1]节奏总纲!AV5</f>
        <v>9.9169053348691846E-3</v>
      </c>
      <c r="AK5" s="2">
        <f>[1]节奏总纲!AW5</f>
        <v>6.6112702232461237E-3</v>
      </c>
      <c r="AL5" s="2">
        <f>[1]节奏总纲!AX5</f>
        <v>3.3056351116230618E-3</v>
      </c>
      <c r="AM5" s="2"/>
      <c r="AN5" s="2">
        <v>2</v>
      </c>
      <c r="AO5" s="2">
        <f>[1]节奏总纲!BA5</f>
        <v>14.729965238833779</v>
      </c>
      <c r="AP5" s="2">
        <f>[1]节奏总纲!BB5</f>
        <v>15.911635365458322</v>
      </c>
      <c r="AQ5" s="2">
        <f>[1]节奏总纲!BC5</f>
        <v>17.448850811924295</v>
      </c>
      <c r="AR5" s="2">
        <f>[1]节奏总纲!BD5</f>
        <v>19.707330185578734</v>
      </c>
      <c r="AS5" s="2">
        <f>[1]节奏总纲!BE5</f>
        <v>23.710496742673982</v>
      </c>
    </row>
    <row r="6" spans="2:45" x14ac:dyDescent="0.15">
      <c r="B6" s="29">
        <f>[1]节奏总纲!N6</f>
        <v>6</v>
      </c>
      <c r="C6" s="1">
        <v>3</v>
      </c>
      <c r="D6" s="1">
        <f>[1]节奏总纲!P6</f>
        <v>0.23114441334491631</v>
      </c>
      <c r="E6" s="1">
        <f>[1]节奏总纲!Q6</f>
        <v>0.19582554698581309</v>
      </c>
      <c r="F6" s="1">
        <f>[1]节奏总纲!R6</f>
        <v>0.15616116565582547</v>
      </c>
      <c r="G6" s="1">
        <f>[1]节奏总纲!S6</f>
        <v>0.11120357726023924</v>
      </c>
      <c r="H6" s="1">
        <f>[1]节奏总纲!T6</f>
        <v>5.9380999788309005E-2</v>
      </c>
      <c r="J6" s="1">
        <v>3</v>
      </c>
      <c r="K6" s="1">
        <f>[1]节奏总纲!W6</f>
        <v>8.2446058347881213E-2</v>
      </c>
      <c r="L6" s="1">
        <f>[1]节奏总纲!X6</f>
        <v>7.0770230433306575E-2</v>
      </c>
      <c r="M6" s="1">
        <f>[1]节奏总纲!Y6</f>
        <v>5.7321369089296248E-2</v>
      </c>
      <c r="N6" s="1">
        <f>[1]节奏总纲!Z6</f>
        <v>4.1374829753631562E-2</v>
      </c>
      <c r="O6" s="1">
        <f>[1]节奏总纲!AA6</f>
        <v>2.2295630052048453E-2</v>
      </c>
      <c r="Q6" s="1">
        <v>3</v>
      </c>
      <c r="R6" s="1">
        <f>[1]节奏总纲!AD6</f>
        <v>20</v>
      </c>
      <c r="S6" s="1">
        <f>[1]节奏总纲!AE6</f>
        <v>21.543844702365945</v>
      </c>
      <c r="T6" s="1">
        <f>[1]节奏总纲!AF6</f>
        <v>23.734615677065324</v>
      </c>
      <c r="U6" s="1">
        <f>[1]节奏总纲!AG6</f>
        <v>27.324610510337703</v>
      </c>
      <c r="V6" s="1">
        <f>[1]节奏总纲!AH6</f>
        <v>34.517938607173015</v>
      </c>
      <c r="Z6" s="2">
        <v>3</v>
      </c>
      <c r="AA6" s="2">
        <f>[1]节奏总纲!AM6</f>
        <v>5.1571656651039799E-2</v>
      </c>
      <c r="AB6" s="2">
        <f>[1]节奏总纲!AN6</f>
        <v>4.1257325320831845E-2</v>
      </c>
      <c r="AC6" s="2">
        <f>[1]节奏总纲!AO6</f>
        <v>3.0942993990623877E-2</v>
      </c>
      <c r="AD6" s="2">
        <f>[1]节奏总纲!AP6</f>
        <v>2.0628662660415922E-2</v>
      </c>
      <c r="AE6" s="2">
        <f>[1]节奏总纲!AQ6</f>
        <v>1.0314331330207961E-2</v>
      </c>
      <c r="AG6" s="2">
        <v>3</v>
      </c>
      <c r="AH6" s="2">
        <f>[1]节奏总纲!AT6</f>
        <v>2.7608563343072736E-2</v>
      </c>
      <c r="AI6" s="2">
        <f>[1]节奏总纲!AU6</f>
        <v>2.2086850674458192E-2</v>
      </c>
      <c r="AJ6" s="2">
        <f>[1]节奏总纲!AV6</f>
        <v>1.6565138005843638E-2</v>
      </c>
      <c r="AK6" s="2">
        <f>[1]节奏总纲!AW6</f>
        <v>1.1043425337229096E-2</v>
      </c>
      <c r="AL6" s="2">
        <f>[1]节奏总纲!AX6</f>
        <v>5.5217126686145481E-3</v>
      </c>
      <c r="AM6" s="2"/>
      <c r="AN6" s="2">
        <v>3</v>
      </c>
      <c r="AO6" s="2">
        <f>[1]节奏总纲!BA6</f>
        <v>16.888397947066121</v>
      </c>
      <c r="AP6" s="2">
        <f>[1]节奏总纲!BB6</f>
        <v>18.108391417375849</v>
      </c>
      <c r="AQ6" s="2">
        <f>[1]节奏总纲!BC6</f>
        <v>19.707330185578734</v>
      </c>
      <c r="AR6" s="2">
        <f>[1]节奏总纲!BD6</f>
        <v>22.041972908628715</v>
      </c>
      <c r="AS6" s="2">
        <f>[1]节奏总纲!BE6</f>
        <v>26.127796402772656</v>
      </c>
    </row>
    <row r="7" spans="2:45" x14ac:dyDescent="0.15">
      <c r="B7" s="29">
        <f>[1]节奏总纲!N7</f>
        <v>8</v>
      </c>
      <c r="C7" s="1">
        <v>4</v>
      </c>
      <c r="D7" s="1">
        <f>[1]节奏总纲!P7</f>
        <v>0.3195079107728942</v>
      </c>
      <c r="E7" s="1">
        <f>[1]节奏总纲!Q7</f>
        <v>0.2719651336498875</v>
      </c>
      <c r="F7" s="1">
        <f>[1]节奏总纲!R7</f>
        <v>0.21816000147573214</v>
      </c>
      <c r="G7" s="1">
        <f>[1]节奏总纲!S7</f>
        <v>0.15607961441255883</v>
      </c>
      <c r="H7" s="1">
        <f>[1]节奏总纲!T7</f>
        <v>8.4062531324348461E-2</v>
      </c>
      <c r="J7" s="1">
        <v>4</v>
      </c>
      <c r="K7" s="1">
        <f>[1]节奏总纲!W7</f>
        <v>8.8363497427977888E-2</v>
      </c>
      <c r="L7" s="1">
        <f>[1]节奏总纲!X7</f>
        <v>7.6139586664074416E-2</v>
      </c>
      <c r="M7" s="1">
        <f>[1]节奏总纲!Y7</f>
        <v>6.1998835819906672E-2</v>
      </c>
      <c r="N7" s="1">
        <f>[1]节奏总纲!Z7</f>
        <v>4.4876037152319581E-2</v>
      </c>
      <c r="O7" s="1">
        <f>[1]节奏总纲!AA7</f>
        <v>2.4681531536039455E-2</v>
      </c>
      <c r="Q7" s="1">
        <v>4</v>
      </c>
      <c r="R7" s="1">
        <f>[1]节奏总纲!AD7</f>
        <v>23.213386604241784</v>
      </c>
      <c r="S7" s="1">
        <f>[1]节奏总纲!AE7</f>
        <v>24.836966034810484</v>
      </c>
      <c r="T7" s="1">
        <f>[1]节奏总纲!AF7</f>
        <v>27.155717181399513</v>
      </c>
      <c r="U7" s="1">
        <f>[1]节奏总纲!AG7</f>
        <v>30.831257561377125</v>
      </c>
      <c r="V7" s="1">
        <f>[1]节奏总纲!AH7</f>
        <v>38.431365705145346</v>
      </c>
      <c r="Z7" s="2">
        <v>4</v>
      </c>
      <c r="AA7" s="2">
        <f>[1]节奏总纲!AM7</f>
        <v>9.2637640824031031E-2</v>
      </c>
      <c r="AB7" s="2">
        <f>[1]节奏总纲!AN7</f>
        <v>7.4110112659224833E-2</v>
      </c>
      <c r="AC7" s="2">
        <f>[1]节奏总纲!AO7</f>
        <v>5.5582584494418615E-2</v>
      </c>
      <c r="AD7" s="2">
        <f>[1]节奏总纲!AP7</f>
        <v>3.7055056329612417E-2</v>
      </c>
      <c r="AE7" s="2">
        <f>[1]节奏总纲!AQ7</f>
        <v>1.8527528164806208E-2</v>
      </c>
      <c r="AG7" s="2">
        <v>4</v>
      </c>
      <c r="AH7" s="2">
        <f>[1]节奏总纲!AT7</f>
        <v>4.1065984172991232E-2</v>
      </c>
      <c r="AI7" s="2">
        <f>[1]节奏总纲!AU7</f>
        <v>3.2852787338392989E-2</v>
      </c>
      <c r="AJ7" s="2">
        <f>[1]节奏总纲!AV7</f>
        <v>2.4639590503794738E-2</v>
      </c>
      <c r="AK7" s="2">
        <f>[1]节奏总纲!AW7</f>
        <v>1.6426393669196494E-2</v>
      </c>
      <c r="AL7" s="2">
        <f>[1]节奏总纲!AX7</f>
        <v>8.2131968345982471E-3</v>
      </c>
      <c r="AM7" s="2"/>
      <c r="AN7" s="2">
        <v>4</v>
      </c>
      <c r="AO7" s="2">
        <f>[1]节奏总纲!BA7</f>
        <v>18.453550676044042</v>
      </c>
      <c r="AP7" s="2">
        <f>[1]节奏总纲!BB7</f>
        <v>19.707330185578734</v>
      </c>
      <c r="AQ7" s="2">
        <f>[1]节奏总纲!BC7</f>
        <v>21.34613466141565</v>
      </c>
      <c r="AR7" s="2">
        <f>[1]节奏总纲!BD7</f>
        <v>23.710496742673982</v>
      </c>
      <c r="AS7" s="2">
        <f>[1]节奏总纲!BE7</f>
        <v>27.863030247590562</v>
      </c>
    </row>
    <row r="8" spans="2:45" x14ac:dyDescent="0.15">
      <c r="B8" s="29">
        <f>[1]节奏总纲!N8</f>
        <v>10</v>
      </c>
      <c r="C8" s="1">
        <v>5</v>
      </c>
      <c r="D8" s="1">
        <f>[1]节奏总纲!P8</f>
        <v>0.41421356237309515</v>
      </c>
      <c r="E8" s="1">
        <f>[1]节奏总纲!Q8</f>
        <v>0.35241289886702937</v>
      </c>
      <c r="F8" s="1">
        <f>[1]节奏总纲!R8</f>
        <v>0.28315639123824782</v>
      </c>
      <c r="G8" s="1">
        <f>[1]节奏总纲!S8</f>
        <v>0.20296464556281663</v>
      </c>
      <c r="H8" s="1">
        <f>[1]节奏总纲!T8</f>
        <v>0.10951806589144637</v>
      </c>
      <c r="J8" s="1">
        <v>5</v>
      </c>
      <c r="K8" s="1">
        <f>[1]节奏总纲!W8</f>
        <v>9.4705651600200946E-2</v>
      </c>
      <c r="L8" s="1">
        <f>[1]节奏总纲!X8</f>
        <v>8.0447765217141864E-2</v>
      </c>
      <c r="M8" s="1">
        <f>[1]节奏总纲!Y8</f>
        <v>6.4996389762515677E-2</v>
      </c>
      <c r="N8" s="1">
        <f>[1]节奏总纲!Z8</f>
        <v>4.68850311502578E-2</v>
      </c>
      <c r="O8" s="1">
        <f>[1]节奏总纲!AA8</f>
        <v>2.5455534567097912E-2</v>
      </c>
      <c r="Q8" s="1">
        <v>5</v>
      </c>
      <c r="R8" s="1">
        <f>[1]节奏总纲!AD8</f>
        <v>25.845161563010112</v>
      </c>
      <c r="S8" s="1">
        <f>[1]节奏总纲!AE8</f>
        <v>27.525245270311611</v>
      </c>
      <c r="T8" s="1">
        <f>[1]节奏总纲!AF8</f>
        <v>29.892344464157688</v>
      </c>
      <c r="U8" s="1">
        <f>[1]节奏总纲!AG8</f>
        <v>33.672145166817529</v>
      </c>
      <c r="V8" s="1">
        <f>[1]节奏总纲!AH8</f>
        <v>41.359260538726978</v>
      </c>
      <c r="Z8" s="2">
        <v>5</v>
      </c>
      <c r="AA8" s="2">
        <f>[1]节奏总纲!AM8</f>
        <v>0.15</v>
      </c>
      <c r="AB8" s="2">
        <f>[1]节奏总纲!AN8</f>
        <v>0.12</v>
      </c>
      <c r="AC8" s="2">
        <f>[1]节奏总纲!AO8</f>
        <v>0.09</v>
      </c>
      <c r="AD8" s="2">
        <f>[1]节奏总纲!AP8</f>
        <v>0.06</v>
      </c>
      <c r="AE8" s="2">
        <f>[1]节奏总纲!AQ8</f>
        <v>0.03</v>
      </c>
      <c r="AG8" s="2">
        <v>5</v>
      </c>
      <c r="AH8" s="2">
        <f>[1]节奏总纲!AT8</f>
        <v>5.7362359175968963E-2</v>
      </c>
      <c r="AI8" s="2">
        <f>[1]节奏总纲!AU8</f>
        <v>4.5889887340775162E-2</v>
      </c>
      <c r="AJ8" s="2">
        <f>[1]节奏总纲!AV8</f>
        <v>3.4417415505581382E-2</v>
      </c>
      <c r="AK8" s="2">
        <f>[1]节奏总纲!AW8</f>
        <v>2.2944943670387581E-2</v>
      </c>
      <c r="AL8" s="2">
        <f>[1]节奏总纲!AX8</f>
        <v>1.1472471835193791E-2</v>
      </c>
      <c r="AM8" s="2"/>
      <c r="AN8" s="2">
        <v>5</v>
      </c>
      <c r="AO8" s="2">
        <f>[1]节奏总纲!BA8</f>
        <v>19.707330185578734</v>
      </c>
      <c r="AP8" s="2">
        <f>[1]节奏总纲!BB8</f>
        <v>20.993539484876777</v>
      </c>
      <c r="AQ8" s="2">
        <f>[1]节奏总纲!BC8</f>
        <v>22.639743033177162</v>
      </c>
      <c r="AR8" s="2">
        <f>[1]节奏总纲!BD8</f>
        <v>25.044229735272328</v>
      </c>
      <c r="AS8" s="2">
        <f>[1]节奏总纲!BE8</f>
        <v>29.216428548527322</v>
      </c>
    </row>
    <row r="9" spans="2:45" x14ac:dyDescent="0.15">
      <c r="B9" s="29">
        <f>[1]节奏总纲!N9</f>
        <v>12</v>
      </c>
      <c r="C9" s="1">
        <v>6</v>
      </c>
      <c r="D9" s="1">
        <f>[1]节奏总纲!P9</f>
        <v>0.51571656651039799</v>
      </c>
      <c r="E9" s="1">
        <f>[1]节奏总纲!Q9</f>
        <v>0.43939051466685908</v>
      </c>
      <c r="F9" s="1">
        <f>[1]节奏总纲!R9</f>
        <v>0.35336899137292471</v>
      </c>
      <c r="G9" s="1">
        <f>[1]节奏总纲!S9</f>
        <v>0.25440298225957936</v>
      </c>
      <c r="H9" s="1">
        <f>[1]节奏总纲!T9</f>
        <v>0.13836675479473978</v>
      </c>
      <c r="J9" s="1">
        <v>6</v>
      </c>
      <c r="K9" s="1">
        <f>[1]节奏总纲!W9</f>
        <v>0.10150300413730284</v>
      </c>
      <c r="L9" s="1">
        <f>[1]节奏总纲!X9</f>
        <v>8.6977615799829711E-2</v>
      </c>
      <c r="M9" s="1">
        <f>[1]节奏总纲!Y9</f>
        <v>7.0212600134676895E-2</v>
      </c>
      <c r="N9" s="1">
        <f>[1]节奏总纲!Z9</f>
        <v>5.1438336696762732E-2</v>
      </c>
      <c r="O9" s="1">
        <f>[1]节奏总纲!AA9</f>
        <v>2.884868890329341E-2</v>
      </c>
      <c r="Q9" s="1">
        <v>6</v>
      </c>
      <c r="R9" s="1">
        <f>[1]节奏总纲!AD9</f>
        <v>28.071211008105138</v>
      </c>
      <c r="S9" s="1">
        <f>[1]节奏总纲!AE9</f>
        <v>29.78183527117605</v>
      </c>
      <c r="T9" s="1">
        <f>[1]节奏总纲!AF9</f>
        <v>32.202183458664891</v>
      </c>
      <c r="U9" s="1">
        <f>[1]节奏总纲!AG9</f>
        <v>36.067019846099676</v>
      </c>
      <c r="V9" s="1">
        <f>[1]节奏总纲!AH9</f>
        <v>43.870275262019007</v>
      </c>
      <c r="Z9" s="2">
        <v>6</v>
      </c>
      <c r="AA9" s="2">
        <f>[1]节奏总纲!AM9</f>
        <v>0.22055744069899194</v>
      </c>
      <c r="AB9" s="2">
        <f>[1]节奏总纲!AN9</f>
        <v>0.17644595255919357</v>
      </c>
      <c r="AC9" s="2">
        <f>[1]节奏总纲!AO9</f>
        <v>0.13233446441939517</v>
      </c>
      <c r="AD9" s="2">
        <f>[1]节奏总纲!AP9</f>
        <v>8.8222976279596785E-2</v>
      </c>
      <c r="AE9" s="2">
        <f>[1]节奏总纲!AQ9</f>
        <v>4.4111488139798392E-2</v>
      </c>
      <c r="AG9" s="2">
        <v>6</v>
      </c>
      <c r="AH9" s="2">
        <f>[1]节奏总纲!AT9</f>
        <v>7.0557440698991947E-2</v>
      </c>
      <c r="AI9" s="2">
        <f>[1]节奏总纲!AU9</f>
        <v>5.6445952559193574E-2</v>
      </c>
      <c r="AJ9" s="2">
        <f>[1]节奏总纲!AV9</f>
        <v>4.2334464419395174E-2</v>
      </c>
      <c r="AK9" s="2">
        <f>[1]节奏总纲!AW9</f>
        <v>2.8222976279596787E-2</v>
      </c>
      <c r="AL9" s="2">
        <f>[1]节奏总纲!AX9</f>
        <v>1.4111488139798394E-2</v>
      </c>
      <c r="AM9" s="2"/>
      <c r="AN9" s="2">
        <v>6</v>
      </c>
      <c r="AO9" s="2">
        <f>[1]节奏总纲!BA9</f>
        <v>20.745154613657583</v>
      </c>
      <c r="AP9" s="2">
        <f>[1]节奏总纲!BB9</f>
        <v>22.041972908628715</v>
      </c>
      <c r="AQ9" s="2">
        <f>[1]节奏总纲!BC9</f>
        <v>23.710496742673982</v>
      </c>
      <c r="AR9" s="2">
        <f>[1]节奏总纲!BD9</f>
        <v>26.127796402772656</v>
      </c>
      <c r="AS9" s="2">
        <f>[1]节奏总纲!BE9</f>
        <v>30.329493925593439</v>
      </c>
    </row>
    <row r="10" spans="2:45" x14ac:dyDescent="0.15">
      <c r="B10" s="29">
        <f>[1]节奏总纲!N10</f>
        <v>14</v>
      </c>
      <c r="C10" s="1">
        <v>7</v>
      </c>
      <c r="D10" s="1">
        <f>[1]节奏总纲!P10</f>
        <v>0.62450479271247095</v>
      </c>
      <c r="E10" s="1">
        <f>[1]节奏总纲!Q10</f>
        <v>0.53413894920697635</v>
      </c>
      <c r="F10" s="1">
        <f>[1]节奏总纲!R10</f>
        <v>0.43072095553379119</v>
      </c>
      <c r="G10" s="1">
        <f>[1]节奏总纲!S10</f>
        <v>0.30950457526830061</v>
      </c>
      <c r="H10" s="1">
        <f>[1]节奏总纲!T10</f>
        <v>0.16699258157131475</v>
      </c>
      <c r="J10" s="1">
        <v>7</v>
      </c>
      <c r="K10" s="1">
        <f>[1]节奏总纲!W10</f>
        <v>0.10878822620207296</v>
      </c>
      <c r="L10" s="1">
        <f>[1]节奏总纲!X10</f>
        <v>9.4748434540117277E-2</v>
      </c>
      <c r="M10" s="1">
        <f>[1]节奏总纲!Y10</f>
        <v>7.7351964160866482E-2</v>
      </c>
      <c r="N10" s="1">
        <f>[1]节奏总纲!Z10</f>
        <v>5.510159300872125E-2</v>
      </c>
      <c r="O10" s="1">
        <f>[1]节奏总纲!AA10</f>
        <v>2.8625826776574964E-2</v>
      </c>
      <c r="Q10" s="1">
        <v>7</v>
      </c>
      <c r="R10" s="1">
        <f>[1]节奏总纲!AD10</f>
        <v>30</v>
      </c>
      <c r="S10" s="1">
        <f>[1]节奏总纲!AE10</f>
        <v>31.718819483847451</v>
      </c>
      <c r="T10" s="1">
        <f>[1]节奏总纲!AF10</f>
        <v>34.192155176139416</v>
      </c>
      <c r="U10" s="1">
        <f>[1]节奏总纲!AG10</f>
        <v>38.19822972207853</v>
      </c>
      <c r="V10" s="1">
        <f>[1]节奏总纲!AH10</f>
        <v>46.093186357957826</v>
      </c>
      <c r="Z10" s="2">
        <v>7</v>
      </c>
      <c r="AA10" s="2">
        <f>[1]节奏总纲!AM10</f>
        <v>0.31141300609369982</v>
      </c>
      <c r="AB10" s="2">
        <f>[1]节奏总纲!AN10</f>
        <v>0.24913040487495985</v>
      </c>
      <c r="AC10" s="2">
        <f>[1]节奏总纲!AO10</f>
        <v>0.18684780365621989</v>
      </c>
      <c r="AD10" s="2">
        <f>[1]节奏总纲!AP10</f>
        <v>0.12456520243747993</v>
      </c>
      <c r="AE10" s="2">
        <f>[1]节奏总纲!AQ10</f>
        <v>6.2282601218739964E-2</v>
      </c>
      <c r="AG10" s="2">
        <v>7</v>
      </c>
      <c r="AH10" s="2">
        <f>[1]节奏总纲!AT10</f>
        <v>9.0855565394707877E-2</v>
      </c>
      <c r="AI10" s="2">
        <f>[1]节奏总纲!AU10</f>
        <v>7.2684452315766285E-2</v>
      </c>
      <c r="AJ10" s="2">
        <f>[1]节奏总纲!AV10</f>
        <v>5.451333923682472E-2</v>
      </c>
      <c r="AK10" s="2">
        <f>[1]节奏总纲!AW10</f>
        <v>3.6342226157883142E-2</v>
      </c>
      <c r="AL10" s="2">
        <f>[1]节奏总纲!AX10</f>
        <v>1.8171113078941571E-2</v>
      </c>
      <c r="AM10" s="2"/>
      <c r="AN10" s="2">
        <v>7</v>
      </c>
      <c r="AO10" s="2">
        <f>[1]节奏总纲!BA10</f>
        <v>21.627432338833255</v>
      </c>
      <c r="AP10" s="2">
        <f>[1]节奏总纲!BB10</f>
        <v>22.938628095451385</v>
      </c>
      <c r="AQ10" s="2">
        <f>[1]节奏总纲!BC10</f>
        <v>24.619152272059132</v>
      </c>
      <c r="AR10" s="2">
        <f>[1]节奏总纲!BD10</f>
        <v>27.059707353051884</v>
      </c>
      <c r="AS10" s="2">
        <f>[1]节奏总纲!BE10</f>
        <v>31.280110398778046</v>
      </c>
    </row>
    <row r="11" spans="2:45" x14ac:dyDescent="0.15">
      <c r="B11" s="29">
        <f>[1]节奏总纲!N11</f>
        <v>16</v>
      </c>
      <c r="C11" s="1">
        <v>8</v>
      </c>
      <c r="D11" s="1">
        <f>[1]节奏总纲!P11</f>
        <v>0.74110112659224825</v>
      </c>
      <c r="E11" s="1">
        <f>[1]节奏总纲!Q11</f>
        <v>0.63089938906798093</v>
      </c>
      <c r="F11" s="1">
        <f>[1]节奏总纲!R11</f>
        <v>0.50550507844857251</v>
      </c>
      <c r="G11" s="1">
        <f>[1]节奏总纲!S11</f>
        <v>0.36195379022765406</v>
      </c>
      <c r="H11" s="1">
        <f>[1]节奏总纲!T11</f>
        <v>0.19579891764567198</v>
      </c>
      <c r="J11" s="1">
        <v>8</v>
      </c>
      <c r="K11" s="1">
        <f>[1]节奏总纲!W11</f>
        <v>0.1165963338797773</v>
      </c>
      <c r="L11" s="1">
        <f>[1]节奏总纲!X11</f>
        <v>9.6760439861004577E-2</v>
      </c>
      <c r="M11" s="1">
        <f>[1]节奏总纲!Y11</f>
        <v>7.4784122914781315E-2</v>
      </c>
      <c r="N11" s="1">
        <f>[1]节奏总纲!Z11</f>
        <v>5.2449214959353452E-2</v>
      </c>
      <c r="O11" s="1">
        <f>[1]节奏总纲!AA11</f>
        <v>2.8806336074357231E-2</v>
      </c>
      <c r="Q11" s="1">
        <v>8</v>
      </c>
      <c r="R11" s="1">
        <f>[1]节奏总纲!AD11</f>
        <v>31.691928656135214</v>
      </c>
      <c r="S11" s="1">
        <f>[1]节奏总纲!AE11</f>
        <v>33.465251056098396</v>
      </c>
      <c r="T11" s="1">
        <f>[1]节奏总纲!AF11</f>
        <v>35.930751746472978</v>
      </c>
      <c r="U11" s="1">
        <f>[1]节奏总纲!AG11</f>
        <v>39.998279638578282</v>
      </c>
      <c r="V11" s="1">
        <f>[1]节奏总纲!AH11</f>
        <v>48.067140183443534</v>
      </c>
      <c r="Z11" s="2">
        <v>8</v>
      </c>
      <c r="AA11" s="2">
        <f>[1]节奏总纲!AM11</f>
        <v>0.42660095793436714</v>
      </c>
      <c r="AB11" s="2">
        <f>[1]节奏总纲!AN11</f>
        <v>0.34128076634749371</v>
      </c>
      <c r="AC11" s="2">
        <f>[1]节奏总纲!AO11</f>
        <v>0.25596057476062029</v>
      </c>
      <c r="AD11" s="2">
        <f>[1]节奏总纲!AP11</f>
        <v>0.17064038317374686</v>
      </c>
      <c r="AE11" s="2">
        <f>[1]节奏总纲!AQ11</f>
        <v>8.5320191586873428E-2</v>
      </c>
      <c r="AG11" s="2">
        <v>8</v>
      </c>
      <c r="AH11" s="2">
        <f>[1]节奏总纲!AT11</f>
        <v>0.11518795184066732</v>
      </c>
      <c r="AI11" s="2">
        <f>[1]节奏总纲!AU11</f>
        <v>9.2150361472533859E-2</v>
      </c>
      <c r="AJ11" s="2">
        <f>[1]节奏总纲!AV11</f>
        <v>6.9112771104400395E-2</v>
      </c>
      <c r="AK11" s="2">
        <f>[1]节奏总纲!AW11</f>
        <v>4.607518073626693E-2</v>
      </c>
      <c r="AL11" s="2">
        <f>[1]节奏总纲!AX11</f>
        <v>2.3037590368133465E-2</v>
      </c>
      <c r="AM11" s="2"/>
      <c r="AN11" s="2">
        <v>8</v>
      </c>
      <c r="AO11" s="2">
        <f>[1]节奏总纲!BA11</f>
        <v>22.400634983357783</v>
      </c>
      <c r="AP11" s="2">
        <f>[1]节奏总纲!BB11</f>
        <v>23.710496742673982</v>
      </c>
      <c r="AQ11" s="2">
        <f>[1]节奏总纲!BC11</f>
        <v>25.412810862541733</v>
      </c>
      <c r="AR11" s="2">
        <f>[1]节奏总纲!BD11</f>
        <v>27.863030247590562</v>
      </c>
      <c r="AS11" s="2">
        <f>[1]节奏总纲!BE11</f>
        <v>32.113552950216736</v>
      </c>
    </row>
    <row r="12" spans="2:45" x14ac:dyDescent="0.15">
      <c r="B12" s="29">
        <f>[1]节奏总纲!N12</f>
        <v>18</v>
      </c>
      <c r="C12" s="1">
        <v>9</v>
      </c>
      <c r="D12" s="1">
        <f>[1]节奏总纲!P12</f>
        <v>0.86606598307361482</v>
      </c>
      <c r="E12" s="1">
        <f>[1]节奏总纲!Q12</f>
        <v>0.73702215159564621</v>
      </c>
      <c r="F12" s="1">
        <f>[1]节奏总纲!R12</f>
        <v>0.59282216541388932</v>
      </c>
      <c r="G12" s="1">
        <f>[1]节奏总纲!S12</f>
        <v>0.42766338244175101</v>
      </c>
      <c r="H12" s="1">
        <f>[1]节奏总纲!T12</f>
        <v>0.23193247026711403</v>
      </c>
      <c r="J12" s="1">
        <v>9</v>
      </c>
      <c r="K12" s="1">
        <f>[1]节奏总纲!W12</f>
        <v>0.12496485648136657</v>
      </c>
      <c r="L12" s="1">
        <f>[1]节奏总纲!X12</f>
        <v>0.10612276252766528</v>
      </c>
      <c r="M12" s="1">
        <f>[1]节奏总纲!Y12</f>
        <v>8.7317086965316815E-2</v>
      </c>
      <c r="N12" s="1">
        <f>[1]节奏总纲!Z12</f>
        <v>6.5709592214096946E-2</v>
      </c>
      <c r="O12" s="1">
        <f>[1]节奏总纲!AA12</f>
        <v>3.613355262144205E-2</v>
      </c>
      <c r="Q12" s="1">
        <v>9</v>
      </c>
      <c r="R12" s="1">
        <f>[1]节奏总纲!AD12</f>
        <v>33.213386604241784</v>
      </c>
      <c r="S12" s="1">
        <f>[1]节奏总纲!AE12</f>
        <v>34.992730785174565</v>
      </c>
      <c r="T12" s="1">
        <f>[1]节奏总纲!AF12</f>
        <v>37.510565846691456</v>
      </c>
      <c r="U12" s="1">
        <f>[1]节奏总纲!AG12</f>
        <v>41.534743419557365</v>
      </c>
      <c r="V12" s="1">
        <f>[1]节奏总纲!AH12</f>
        <v>49.706056771838036</v>
      </c>
      <c r="Z12" s="2">
        <v>9</v>
      </c>
      <c r="AA12" s="2">
        <f>[1]节奏总纲!AM12</f>
        <v>0.57090651823243421</v>
      </c>
      <c r="AB12" s="2">
        <f>[1]节奏总纲!AN12</f>
        <v>0.45672521458594739</v>
      </c>
      <c r="AC12" s="2">
        <f>[1]节奏总纲!AO12</f>
        <v>0.34254391093946052</v>
      </c>
      <c r="AD12" s="2">
        <f>[1]节奏总纲!AP12</f>
        <v>0.2283626072929737</v>
      </c>
      <c r="AE12" s="2">
        <f>[1]节奏总纲!AQ12</f>
        <v>0.11418130364648685</v>
      </c>
      <c r="AG12" s="2">
        <v>9</v>
      </c>
      <c r="AH12" s="2">
        <f>[1]节奏总纲!AT12</f>
        <v>0.14430556029806707</v>
      </c>
      <c r="AI12" s="2">
        <f>[1]节奏总纲!AU12</f>
        <v>0.11544444823845368</v>
      </c>
      <c r="AJ12" s="2">
        <f>[1]节奏总纲!AV12</f>
        <v>8.6583336178840231E-2</v>
      </c>
      <c r="AK12" s="2">
        <f>[1]节奏总纲!AW12</f>
        <v>5.7722224119226839E-2</v>
      </c>
      <c r="AL12" s="2">
        <f>[1]节奏总纲!AX12</f>
        <v>2.886111205961342E-2</v>
      </c>
      <c r="AM12" s="2"/>
      <c r="AN12" s="2">
        <v>9</v>
      </c>
      <c r="AO12" s="2">
        <f>[1]节奏总纲!BA12</f>
        <v>23.100336713798686</v>
      </c>
      <c r="AP12" s="2">
        <f>[1]节奏总纲!BB12</f>
        <v>24.402761517547276</v>
      </c>
      <c r="AQ12" s="2">
        <f>[1]节奏总纲!BC12</f>
        <v>26.127796402772656</v>
      </c>
      <c r="AR12" s="2">
        <f>[1]节奏总纲!BD12</f>
        <v>28.568390277483555</v>
      </c>
      <c r="AS12" s="2">
        <f>[1]节奏总纲!BE12</f>
        <v>32.842201900114915</v>
      </c>
    </row>
    <row r="13" spans="2:45" x14ac:dyDescent="0.15">
      <c r="B13" s="29">
        <f>[1]节奏总纲!N13</f>
        <v>20</v>
      </c>
      <c r="C13" s="1">
        <v>10</v>
      </c>
      <c r="D13" s="1">
        <f>[1]节奏总纲!P13</f>
        <v>1</v>
      </c>
      <c r="E13" s="1">
        <f>[1]节奏总纲!Q13</f>
        <v>0.8548</v>
      </c>
      <c r="F13" s="1">
        <f>[1]节奏总纲!R13</f>
        <v>0.6895</v>
      </c>
      <c r="G13" s="1">
        <f>[1]节奏总纲!S13</f>
        <v>0.49980000000000002</v>
      </c>
      <c r="H13" s="1">
        <f>[1]节奏总纲!T13</f>
        <v>0.2732</v>
      </c>
      <c r="J13" s="1">
        <v>10</v>
      </c>
      <c r="K13" s="1">
        <f>[1]节奏总纲!W13</f>
        <v>0.13393401692638518</v>
      </c>
      <c r="L13" s="1">
        <f>[1]节奏总纲!X13</f>
        <v>0.11777784840435379</v>
      </c>
      <c r="M13" s="1">
        <f>[1]节奏总纲!Y13</f>
        <v>9.6677834586110678E-2</v>
      </c>
      <c r="N13" s="1">
        <f>[1]节奏总纲!Z13</f>
        <v>7.2136617558249017E-2</v>
      </c>
      <c r="O13" s="1">
        <f>[1]节奏总纲!AA13</f>
        <v>4.1267529732885971E-2</v>
      </c>
      <c r="Q13" s="1">
        <v>10</v>
      </c>
      <c r="R13" s="1">
        <f>[1]节奏总纲!AD13</f>
        <v>34.585942742481357</v>
      </c>
      <c r="S13" s="1">
        <f>[1]节奏总纲!AE13</f>
        <v>36.36169634498642</v>
      </c>
      <c r="T13" s="1">
        <f>[1]节奏总纲!AF13</f>
        <v>38.977035507933373</v>
      </c>
      <c r="U13" s="1">
        <f>[1]节奏总纲!AG13</f>
        <v>42.970748198558951</v>
      </c>
      <c r="V13" s="1">
        <f>[1]节奏总纲!AH13</f>
        <v>51.212821897464167</v>
      </c>
      <c r="Z13" s="2">
        <v>10</v>
      </c>
      <c r="AA13" s="2">
        <f>[1]节奏总纲!AM13</f>
        <v>0.75</v>
      </c>
      <c r="AB13" s="2">
        <f>[1]节奏总纲!AN13</f>
        <v>0.60000000000000009</v>
      </c>
      <c r="AC13" s="2">
        <f>[1]节奏总纲!AO13</f>
        <v>0.44999999999999996</v>
      </c>
      <c r="AD13" s="2">
        <f>[1]节奏总纲!AP13</f>
        <v>0.30000000000000004</v>
      </c>
      <c r="AE13" s="2">
        <f>[1]节奏总纲!AQ13</f>
        <v>0.15000000000000002</v>
      </c>
      <c r="AG13" s="2">
        <v>10</v>
      </c>
      <c r="AH13" s="2">
        <f>[1]节奏总纲!AT13</f>
        <v>0.17909348176756579</v>
      </c>
      <c r="AI13" s="2">
        <f>[1]节奏总纲!AU13</f>
        <v>0.1432747854140527</v>
      </c>
      <c r="AJ13" s="2">
        <f>[1]节奏总纲!AV13</f>
        <v>0.10745608906053944</v>
      </c>
      <c r="AK13" s="2">
        <f>[1]节奏总纲!AW13</f>
        <v>7.1637392707026348E-2</v>
      </c>
      <c r="AL13" s="2">
        <f>[1]节奏总纲!AX13</f>
        <v>3.5818696353513174E-2</v>
      </c>
      <c r="AM13" s="2"/>
      <c r="AN13" s="2">
        <v>10</v>
      </c>
      <c r="AO13" s="2">
        <f>[1]节奏总纲!BA13</f>
        <v>23.710496742673982</v>
      </c>
      <c r="AP13" s="2">
        <f>[1]节奏总纲!BB13</f>
        <v>25.044229735272328</v>
      </c>
      <c r="AQ13" s="2">
        <f>[1]节奏总纲!BC13</f>
        <v>26.755953543357073</v>
      </c>
      <c r="AR13" s="2">
        <f>[1]节奏总纲!BD13</f>
        <v>29.216428548527322</v>
      </c>
      <c r="AS13" s="2">
        <f>[1]节奏总纲!BE13</f>
        <v>33.487933395889513</v>
      </c>
    </row>
    <row r="14" spans="2:45" x14ac:dyDescent="0.15">
      <c r="B14" s="29">
        <f>[1]节奏总纲!N14</f>
        <v>21</v>
      </c>
      <c r="C14" s="1">
        <v>11</v>
      </c>
      <c r="D14" s="1">
        <f>[1]节奏总纲!P14</f>
        <v>1.1435469250725863</v>
      </c>
      <c r="E14" s="1">
        <f>[1]节奏总纲!Q14</f>
        <v>0.98036277886472811</v>
      </c>
      <c r="F14" s="1">
        <f>[1]节奏总纲!R14</f>
        <v>0.79453640354043287</v>
      </c>
      <c r="G14" s="1">
        <f>[1]节奏总纲!S14</f>
        <v>0.57577587677404707</v>
      </c>
      <c r="H14" s="1">
        <f>[1]节奏总纲!T14</f>
        <v>0.31767733578516444</v>
      </c>
      <c r="J14" s="1">
        <v>11</v>
      </c>
      <c r="K14" s="1">
        <f>[1]节奏总纲!W14</f>
        <v>0.14354692507258626</v>
      </c>
      <c r="L14" s="1">
        <f>[1]节奏总纲!X14</f>
        <v>0.12556277886472811</v>
      </c>
      <c r="M14" s="1">
        <f>[1]节奏总纲!Y14</f>
        <v>0.10503640354043287</v>
      </c>
      <c r="N14" s="1">
        <f>[1]节奏总纲!Z14</f>
        <v>7.5975876774047046E-2</v>
      </c>
      <c r="O14" s="1">
        <f>[1]节奏总纲!AA14</f>
        <v>4.447733578516444E-2</v>
      </c>
      <c r="Q14" s="1">
        <v>11</v>
      </c>
      <c r="R14" s="1">
        <f>[1]节奏总纲!AD14</f>
        <v>35.845161563010116</v>
      </c>
      <c r="S14" s="1">
        <f>[1]节奏总纲!AE14</f>
        <v>37.6388925299823</v>
      </c>
      <c r="T14" s="1">
        <f>[1]节奏总纲!AF14</f>
        <v>40.259528204263837</v>
      </c>
      <c r="U14" s="1">
        <f>[1]节奏总纲!AG14</f>
        <v>44.288230531994081</v>
      </c>
      <c r="V14" s="1">
        <f>[1]节奏总纲!AH14</f>
        <v>52.559419343629337</v>
      </c>
      <c r="Z14" s="2">
        <v>11</v>
      </c>
      <c r="AA14" s="2">
        <f>[1]节奏总纲!AM14</f>
        <v>0.93464628919691628</v>
      </c>
      <c r="AB14" s="2">
        <f>[1]节奏总纲!AN14</f>
        <v>0.74771703135753309</v>
      </c>
      <c r="AC14" s="2">
        <f>[1]节奏总纲!AO14</f>
        <v>0.56078777351814979</v>
      </c>
      <c r="AD14" s="2">
        <f>[1]节奏总纲!AP14</f>
        <v>0.37385851567876655</v>
      </c>
      <c r="AE14" s="2">
        <f>[1]节奏总纲!AQ14</f>
        <v>0.18692925783938327</v>
      </c>
      <c r="AG14" s="2">
        <v>11</v>
      </c>
      <c r="AH14" s="2">
        <f>[1]节奏总纲!AT14</f>
        <v>0.18464628919691628</v>
      </c>
      <c r="AI14" s="2">
        <f>[1]节奏总纲!AU14</f>
        <v>0.147717031357533</v>
      </c>
      <c r="AJ14" s="2">
        <f>[1]节奏总纲!AV14</f>
        <v>0.11078777351814983</v>
      </c>
      <c r="AK14" s="2">
        <f>[1]节奏总纲!AW14</f>
        <v>7.3858515678766501E-2</v>
      </c>
      <c r="AL14" s="2">
        <f>[1]节奏总纲!AX14</f>
        <v>3.692925783938325E-2</v>
      </c>
      <c r="AM14" s="2"/>
      <c r="AN14" s="2">
        <v>11</v>
      </c>
      <c r="AO14" s="2">
        <f>[1]节奏总纲!BA14</f>
        <v>24.272927064840161</v>
      </c>
      <c r="AP14" s="2">
        <f>[1]节奏总纲!BB14</f>
        <v>25.597101426176433</v>
      </c>
      <c r="AQ14" s="2">
        <f>[1]节奏总纲!BC14</f>
        <v>27.327481651231444</v>
      </c>
      <c r="AR14" s="2">
        <f>[1]节奏总纲!BD14</f>
        <v>29.80118336305917</v>
      </c>
      <c r="AS14" s="2">
        <f>[1]节奏总纲!BE14</f>
        <v>34.09469189131628</v>
      </c>
    </row>
    <row r="15" spans="2:45" x14ac:dyDescent="0.15">
      <c r="B15" s="29">
        <f>[1]节奏总纲!N15</f>
        <v>22</v>
      </c>
      <c r="C15" s="1">
        <v>12</v>
      </c>
      <c r="D15" s="1">
        <f>[1]节奏总纲!P15</f>
        <v>1.2973967099940702</v>
      </c>
      <c r="E15" s="1">
        <f>[1]节奏总纲!Q15</f>
        <v>1.1126474184909145</v>
      </c>
      <c r="F15" s="1">
        <f>[1]节奏总纲!R15</f>
        <v>0.9058423829178599</v>
      </c>
      <c r="G15" s="1">
        <f>[1]节奏总纲!S15</f>
        <v>0.66219128078097333</v>
      </c>
      <c r="H15" s="1">
        <f>[1]节奏总纲!T15</f>
        <v>0.36560639287632896</v>
      </c>
      <c r="J15" s="1">
        <v>12</v>
      </c>
      <c r="K15" s="1">
        <f>[1]节奏总纲!W15</f>
        <v>0.15384978492148393</v>
      </c>
      <c r="L15" s="1">
        <f>[1]节奏总纲!X15</f>
        <v>0.13228463962618642</v>
      </c>
      <c r="M15" s="1">
        <f>[1]节奏总纲!Y15</f>
        <v>0.11130597937742703</v>
      </c>
      <c r="N15" s="1">
        <f>[1]节奏总纲!Z15</f>
        <v>8.6415404006926266E-2</v>
      </c>
      <c r="O15" s="1">
        <f>[1]节奏总纲!AA15</f>
        <v>4.7929057091164518E-2</v>
      </c>
      <c r="Q15" s="1">
        <v>12</v>
      </c>
      <c r="R15" s="1">
        <f>[1]节奏总纲!AD15</f>
        <v>37.004247194324648</v>
      </c>
      <c r="S15" s="1">
        <f>[1]节奏总纲!AE15</f>
        <v>38.827998824669805</v>
      </c>
      <c r="T15" s="1">
        <f>[1]节奏总纲!AF15</f>
        <v>41.408320762540754</v>
      </c>
      <c r="U15" s="1">
        <f>[1]节奏总纲!AG15</f>
        <v>45.500930067545958</v>
      </c>
      <c r="V15" s="1">
        <f>[1]节奏总纲!AH15</f>
        <v>53.855547243088772</v>
      </c>
      <c r="Z15" s="2">
        <v>12</v>
      </c>
      <c r="AA15" s="2">
        <f>[1]节奏总纲!AM15</f>
        <v>1.1550685436347259</v>
      </c>
      <c r="AB15" s="2">
        <f>[1]节奏总纲!AN15</f>
        <v>0.92405483490778073</v>
      </c>
      <c r="AC15" s="2">
        <f>[1]节奏总纲!AO15</f>
        <v>0.69304112618083547</v>
      </c>
      <c r="AD15" s="2">
        <f>[1]节奏总纲!AP15</f>
        <v>0.46202741745389037</v>
      </c>
      <c r="AE15" s="2">
        <f>[1]节奏总纲!AQ15</f>
        <v>0.23101370872694518</v>
      </c>
      <c r="AG15" s="2">
        <v>12</v>
      </c>
      <c r="AH15" s="2">
        <f>[1]节奏总纲!AT15</f>
        <v>0.22042225443780961</v>
      </c>
      <c r="AI15" s="2">
        <f>[1]节奏总纲!AU15</f>
        <v>0.17633780355024764</v>
      </c>
      <c r="AJ15" s="2">
        <f>[1]节奏总纲!AV15</f>
        <v>0.13225335266268567</v>
      </c>
      <c r="AK15" s="2">
        <f>[1]节奏总纲!AW15</f>
        <v>8.816890177512382E-2</v>
      </c>
      <c r="AL15" s="2">
        <f>[1]节奏总纲!AX15</f>
        <v>4.408445088756191E-2</v>
      </c>
      <c r="AM15" s="2"/>
      <c r="AN15" s="2">
        <v>12</v>
      </c>
      <c r="AO15" s="2">
        <f>[1]节奏总纲!BA15</f>
        <v>24.792264875668618</v>
      </c>
      <c r="AP15" s="2">
        <f>[1]节奏总纲!BB15</f>
        <v>26.127796402772656</v>
      </c>
      <c r="AQ15" s="2">
        <f>[1]节奏总纲!BC15</f>
        <v>27.863030247590562</v>
      </c>
      <c r="AR15" s="2">
        <f>[1]节奏总纲!BD15</f>
        <v>30.329493925593439</v>
      </c>
      <c r="AS15" s="2">
        <f>[1]节奏总纲!BE15</f>
        <v>34.627226072894942</v>
      </c>
    </row>
    <row r="16" spans="2:45" x14ac:dyDescent="0.15">
      <c r="B16" s="29">
        <f>[1]节奏总纲!N16</f>
        <v>23</v>
      </c>
      <c r="C16" s="1">
        <v>13</v>
      </c>
      <c r="D16" s="1">
        <f>[1]节奏总纲!P16</f>
        <v>1.4622888266898326</v>
      </c>
      <c r="E16" s="1">
        <f>[1]节奏总纲!Q16</f>
        <v>1.2628326307293396</v>
      </c>
      <c r="F16" s="1">
        <f>[1]节奏总纲!R16</f>
        <v>1.0294513339896421</v>
      </c>
      <c r="G16" s="1">
        <f>[1]节奏总纲!S16</f>
        <v>0.75556463675063656</v>
      </c>
      <c r="H16" s="1">
        <f>[1]节奏总纲!T16</f>
        <v>0.41865329108129906</v>
      </c>
      <c r="J16" s="1">
        <v>13</v>
      </c>
      <c r="K16" s="1">
        <f>[1]节奏总纲!W16</f>
        <v>0.16489211669576243</v>
      </c>
      <c r="L16" s="1">
        <f>[1]节奏总纲!X16</f>
        <v>0.15018521223842507</v>
      </c>
      <c r="M16" s="1">
        <f>[1]节奏总纲!Y16</f>
        <v>0.12360895107178216</v>
      </c>
      <c r="N16" s="1">
        <f>[1]节奏总纲!Z16</f>
        <v>9.337335596966323E-2</v>
      </c>
      <c r="O16" s="1">
        <f>[1]节奏总纲!AA16</f>
        <v>5.3046898204970105E-2</v>
      </c>
      <c r="Q16" s="1">
        <v>13</v>
      </c>
      <c r="R16" s="1">
        <f>[1]节奏总纲!AD16</f>
        <v>38.071211008105138</v>
      </c>
      <c r="S16" s="1">
        <f>[1]节奏总纲!AE16</f>
        <v>39.935302111946527</v>
      </c>
      <c r="T16" s="1">
        <f>[1]节奏总纲!AF16</f>
        <v>42.470214785133983</v>
      </c>
      <c r="U16" s="1">
        <f>[1]节奏总纲!AG16</f>
        <v>46.631096344914496</v>
      </c>
      <c r="V16" s="1">
        <f>[1]节奏总纲!AH16</f>
        <v>55.062101953238496</v>
      </c>
      <c r="Z16" s="2">
        <v>13</v>
      </c>
      <c r="AA16" s="2">
        <f>[1]节奏总纲!AM16</f>
        <v>1.417602554491646</v>
      </c>
      <c r="AB16" s="2">
        <f>[1]节奏总纲!AN16</f>
        <v>1.1340820435933168</v>
      </c>
      <c r="AC16" s="2">
        <f>[1]节奏总纲!AO16</f>
        <v>0.85056153269498758</v>
      </c>
      <c r="AD16" s="2">
        <f>[1]节奏总纲!AP16</f>
        <v>0.56704102179665838</v>
      </c>
      <c r="AE16" s="2">
        <f>[1]节奏总纲!AQ16</f>
        <v>0.28352051089832919</v>
      </c>
      <c r="AG16" s="2">
        <v>13</v>
      </c>
      <c r="AH16" s="2">
        <f>[1]节奏总纲!AT16</f>
        <v>0.26253401085692007</v>
      </c>
      <c r="AI16" s="2">
        <f>[1]节奏总纲!AU16</f>
        <v>0.21002720868553604</v>
      </c>
      <c r="AJ16" s="2">
        <f>[1]节奏总纲!AV16</f>
        <v>0.15752040651415211</v>
      </c>
      <c r="AK16" s="2">
        <f>[1]节奏总纲!AW16</f>
        <v>0.10501360434276802</v>
      </c>
      <c r="AL16" s="2">
        <f>[1]节奏总纲!AX16</f>
        <v>5.2506802171384009E-2</v>
      </c>
      <c r="AM16" s="2"/>
      <c r="AN16" s="2">
        <v>13</v>
      </c>
      <c r="AO16" s="2">
        <f>[1]节奏总纲!BA16</f>
        <v>25.265378411633971</v>
      </c>
      <c r="AP16" s="2">
        <f>[1]节奏总纲!BB16</f>
        <v>26.598914258210968</v>
      </c>
      <c r="AQ16" s="2">
        <f>[1]节奏总纲!BC16</f>
        <v>28.339982398803929</v>
      </c>
      <c r="AR16" s="2">
        <f>[1]节奏总纲!BD16</f>
        <v>30.828727146189561</v>
      </c>
      <c r="AS16" s="2">
        <f>[1]节奏总纲!BE16</f>
        <v>35.146386283795508</v>
      </c>
    </row>
    <row r="17" spans="2:45" x14ac:dyDescent="0.15">
      <c r="B17" s="29">
        <f>[1]节奏总纲!N17</f>
        <v>24</v>
      </c>
      <c r="C17" s="1">
        <v>14</v>
      </c>
      <c r="D17" s="1">
        <f>[1]节奏总纲!P17</f>
        <v>1.6390158215457884</v>
      </c>
      <c r="E17" s="1">
        <f>[1]节奏总纲!Q17</f>
        <v>1.4136511460832426</v>
      </c>
      <c r="F17" s="1">
        <f>[1]节奏总纲!R17</f>
        <v>1.1545227446968533</v>
      </c>
      <c r="G17" s="1">
        <f>[1]节奏总纲!S17</f>
        <v>0.84605996708193598</v>
      </c>
      <c r="H17" s="1">
        <f>[1]节奏总纲!T17</f>
        <v>0.46810291863347719</v>
      </c>
      <c r="J17" s="1">
        <v>14</v>
      </c>
      <c r="K17" s="1">
        <f>[1]节奏总纲!W17</f>
        <v>0.17672699485595578</v>
      </c>
      <c r="L17" s="1">
        <f>[1]节奏总纲!X17</f>
        <v>0.150818515353903</v>
      </c>
      <c r="M17" s="1">
        <f>[1]节奏总纲!Y17</f>
        <v>0.12507141070721128</v>
      </c>
      <c r="N17" s="1">
        <f>[1]节奏总纲!Z17</f>
        <v>9.0495330331299417E-2</v>
      </c>
      <c r="O17" s="1">
        <f>[1]节奏总纲!AA17</f>
        <v>4.9449627552178133E-2</v>
      </c>
      <c r="Q17" s="1">
        <v>14</v>
      </c>
      <c r="R17" s="1">
        <f>[1]节奏总纲!AD17</f>
        <v>39.066704614192943</v>
      </c>
      <c r="S17" s="1">
        <f>[1]节奏总纲!AE17</f>
        <v>40.935169244165145</v>
      </c>
      <c r="T17" s="1">
        <f>[1]节奏总纲!AF17</f>
        <v>43.484929789964411</v>
      </c>
      <c r="U17" s="1">
        <f>[1]节奏总纲!AG17</f>
        <v>47.711408234944486</v>
      </c>
      <c r="V17" s="1">
        <f>[1]节奏总纲!AH17</f>
        <v>56.165983112651688</v>
      </c>
      <c r="Z17" s="2">
        <v>14</v>
      </c>
      <c r="AA17" s="2">
        <f>[1]节奏总纲!AM17</f>
        <v>1.7296773068470075</v>
      </c>
      <c r="AB17" s="2">
        <f>[1]节奏总纲!AN17</f>
        <v>1.383741845477606</v>
      </c>
      <c r="AC17" s="2">
        <f>[1]节奏总纲!AO17</f>
        <v>1.0378063841082044</v>
      </c>
      <c r="AD17" s="2">
        <f>[1]节奏总纲!AP17</f>
        <v>0.69187092273880302</v>
      </c>
      <c r="AE17" s="2">
        <f>[1]节奏总纲!AQ17</f>
        <v>0.34593546136940151</v>
      </c>
      <c r="AG17" s="2">
        <v>14</v>
      </c>
      <c r="AH17" s="2">
        <f>[1]节奏总纲!AT17</f>
        <v>0.31207475235536153</v>
      </c>
      <c r="AI17" s="2">
        <f>[1]节奏总纲!AU17</f>
        <v>0.24965980188428927</v>
      </c>
      <c r="AJ17" s="2">
        <f>[1]节奏总纲!AV17</f>
        <v>0.18724485141321678</v>
      </c>
      <c r="AK17" s="2">
        <f>[1]节奏总纲!AW17</f>
        <v>0.12482990094214463</v>
      </c>
      <c r="AL17" s="2">
        <f>[1]节奏总纲!AX17</f>
        <v>6.2414950471072317E-2</v>
      </c>
      <c r="AM17" s="2"/>
      <c r="AN17" s="2">
        <v>14</v>
      </c>
      <c r="AO17" s="2">
        <f>[1]节奏总纲!BA17</f>
        <v>25.707675764357255</v>
      </c>
      <c r="AP17" s="2">
        <f>[1]节奏总纲!BB17</f>
        <v>27.059707353051884</v>
      </c>
      <c r="AQ17" s="2">
        <f>[1]节奏总纲!BC17</f>
        <v>28.796798156163181</v>
      </c>
      <c r="AR17" s="2">
        <f>[1]节奏总纲!BD17</f>
        <v>31.280110398778046</v>
      </c>
      <c r="AS17" s="2">
        <f>[1]节奏总纲!BE17</f>
        <v>35.634340563113874</v>
      </c>
    </row>
    <row r="18" spans="2:45" x14ac:dyDescent="0.15">
      <c r="B18" s="29">
        <f>[1]节奏总纲!N18</f>
        <v>25</v>
      </c>
      <c r="C18" s="1">
        <v>15</v>
      </c>
      <c r="D18" s="1">
        <f>[1]节奏总纲!P18</f>
        <v>1.8284271247461898</v>
      </c>
      <c r="E18" s="1">
        <f>[1]节奏总纲!Q18</f>
        <v>1.5793953503557587</v>
      </c>
      <c r="F18" s="1">
        <f>[1]节奏总纲!R18</f>
        <v>1.2928808199080308</v>
      </c>
      <c r="G18" s="1">
        <f>[1]节奏总纲!S18</f>
        <v>0.94895367774327255</v>
      </c>
      <c r="H18" s="1">
        <f>[1]节奏总纲!T18</f>
        <v>0.5271355400643265</v>
      </c>
      <c r="J18" s="1">
        <v>15</v>
      </c>
      <c r="K18" s="1">
        <f>[1]节奏总纲!W18</f>
        <v>0.18941130320040145</v>
      </c>
      <c r="L18" s="1">
        <f>[1]节奏总纲!X18</f>
        <v>0.16574420427251613</v>
      </c>
      <c r="M18" s="1">
        <f>[1]节奏总纲!Y18</f>
        <v>0.13835807521117749</v>
      </c>
      <c r="N18" s="1">
        <f>[1]节奏总纲!Z18</f>
        <v>0.10289371066133657</v>
      </c>
      <c r="O18" s="1">
        <f>[1]节奏总纲!AA18</f>
        <v>5.9032621430849308E-2</v>
      </c>
      <c r="Q18" s="1">
        <v>15</v>
      </c>
      <c r="R18" s="1">
        <f>[1]节奏总纲!AD18</f>
        <v>40</v>
      </c>
      <c r="S18" s="1">
        <f>[1]节奏总纲!AE18</f>
        <v>41.83669503626701</v>
      </c>
      <c r="T18" s="1">
        <f>[1]节奏总纲!AF18</f>
        <v>44.442238853326032</v>
      </c>
      <c r="U18" s="1">
        <f>[1]节奏总纲!AG18</f>
        <v>48.731413734867289</v>
      </c>
      <c r="V18" s="1">
        <f>[1]节奏总纲!AH18</f>
        <v>57.176846218996921</v>
      </c>
      <c r="Z18" s="2">
        <v>15</v>
      </c>
      <c r="AA18" s="2">
        <f>[1]节奏总纲!AM18</f>
        <v>2.1</v>
      </c>
      <c r="AB18" s="2">
        <f>[1]节奏总纲!AN18</f>
        <v>1.6800000000000002</v>
      </c>
      <c r="AC18" s="2">
        <f>[1]节奏总纲!AO18</f>
        <v>1.26</v>
      </c>
      <c r="AD18" s="2">
        <f>[1]节奏总纲!AP18</f>
        <v>0.84000000000000008</v>
      </c>
      <c r="AE18" s="2">
        <f>[1]节奏总纲!AQ18</f>
        <v>0.42000000000000004</v>
      </c>
      <c r="AG18" s="2">
        <v>15</v>
      </c>
      <c r="AH18" s="2">
        <f>[1]节奏总纲!AT18</f>
        <v>0.3703226931529926</v>
      </c>
      <c r="AI18" s="2">
        <f>[1]节奏总纲!AU18</f>
        <v>0.29625815452239412</v>
      </c>
      <c r="AJ18" s="2">
        <f>[1]节奏总纲!AV18</f>
        <v>0.22219361589179565</v>
      </c>
      <c r="AK18" s="2">
        <f>[1]节奏总纲!AW18</f>
        <v>0.14812907726119706</v>
      </c>
      <c r="AL18" s="2">
        <f>[1]节奏总纲!AX18</f>
        <v>7.4064538630598531E-2</v>
      </c>
      <c r="AM18" s="2"/>
      <c r="AN18" s="2">
        <v>15</v>
      </c>
      <c r="AO18" s="2">
        <f>[1]节奏总纲!BA18</f>
        <v>26.127796402772656</v>
      </c>
      <c r="AP18" s="2">
        <f>[1]节奏总纲!BB18</f>
        <v>27.461368800321225</v>
      </c>
      <c r="AQ18" s="2">
        <f>[1]节奏总纲!BC18</f>
        <v>29.216428548527322</v>
      </c>
      <c r="AR18" s="2">
        <f>[1]节奏总纲!BD18</f>
        <v>31.706504654507764</v>
      </c>
      <c r="AS18" s="2">
        <f>[1]节奏总纲!BE18</f>
        <v>36.105477566569242</v>
      </c>
    </row>
    <row r="19" spans="2:45" x14ac:dyDescent="0.15">
      <c r="B19" s="29">
        <f>[1]节奏总纲!N19</f>
        <v>26</v>
      </c>
      <c r="C19" s="1">
        <v>16</v>
      </c>
      <c r="D19" s="1">
        <f>[1]节奏总纲!P19</f>
        <v>2.031433133020796</v>
      </c>
      <c r="E19" s="1">
        <f>[1]节奏总纲!Q19</f>
        <v>1.7586116632561031</v>
      </c>
      <c r="F19" s="1">
        <f>[1]节奏总纲!R19</f>
        <v>1.4398798046851402</v>
      </c>
      <c r="G19" s="1">
        <f>[1]节奏总纲!S19</f>
        <v>1.0618300986299702</v>
      </c>
      <c r="H19" s="1">
        <f>[1]节奏总纲!T19</f>
        <v>0.59460047803518701</v>
      </c>
      <c r="J19" s="1">
        <v>16</v>
      </c>
      <c r="K19" s="1">
        <f>[1]节奏总纲!W19</f>
        <v>0.20300600827460613</v>
      </c>
      <c r="L19" s="1">
        <f>[1]节奏总纲!X19</f>
        <v>0.17921631290034434</v>
      </c>
      <c r="M19" s="1">
        <f>[1]节奏总纲!Y19</f>
        <v>0.14699898477710938</v>
      </c>
      <c r="N19" s="1">
        <f>[1]节奏总纲!Z19</f>
        <v>0.11287642088669769</v>
      </c>
      <c r="O19" s="1">
        <f>[1]节奏总纲!AA19</f>
        <v>6.7464937970860506E-2</v>
      </c>
      <c r="Q19" s="1">
        <v>16</v>
      </c>
      <c r="R19" s="1">
        <f>[1]节奏总纲!AD19</f>
        <v>40.870795385807064</v>
      </c>
      <c r="S19" s="1">
        <f>[1]节奏总纲!AE19</f>
        <v>42.707142308553742</v>
      </c>
      <c r="T19" s="1">
        <f>[1]节奏总纲!AF19</f>
        <v>45.343250058486468</v>
      </c>
      <c r="U19" s="1">
        <f>[1]节奏总纲!AG19</f>
        <v>49.654306534727205</v>
      </c>
      <c r="V19" s="1">
        <f>[1]节奏总纲!AH19</f>
        <v>58.12511610143563</v>
      </c>
      <c r="Z19" s="2">
        <v>16</v>
      </c>
      <c r="AA19" s="2">
        <f>[1]节奏总纲!AM19</f>
        <v>2.5387719203926467</v>
      </c>
      <c r="AB19" s="2">
        <f>[1]节奏总纲!AN19</f>
        <v>2.0310175363141174</v>
      </c>
      <c r="AC19" s="2">
        <f>[1]节奏总纲!AO19</f>
        <v>1.5232631522355879</v>
      </c>
      <c r="AD19" s="2">
        <f>[1]节奏总纲!AP19</f>
        <v>1.0155087681570587</v>
      </c>
      <c r="AE19" s="2">
        <f>[1]节奏总纲!AQ19</f>
        <v>0.50775438407852935</v>
      </c>
      <c r="AG19" s="2">
        <v>16</v>
      </c>
      <c r="AH19" s="2">
        <f>[1]节奏总纲!AT19</f>
        <v>0.43877192039264656</v>
      </c>
      <c r="AI19" s="2">
        <f>[1]节奏总纲!AU19</f>
        <v>0.35101753631411725</v>
      </c>
      <c r="AJ19" s="2">
        <f>[1]节奏总纲!AV19</f>
        <v>0.26326315223558794</v>
      </c>
      <c r="AK19" s="2">
        <f>[1]节奏总纲!AW19</f>
        <v>0.17550876815705863</v>
      </c>
      <c r="AL19" s="2">
        <f>[1]节奏总纲!AX19</f>
        <v>8.7754384078529313E-2</v>
      </c>
      <c r="AM19" s="2"/>
      <c r="AN19" s="2">
        <v>16</v>
      </c>
      <c r="AO19" s="2">
        <f>[1]节奏总纲!BA19</f>
        <v>26.504690687123308</v>
      </c>
      <c r="AP19" s="2">
        <f>[1]节奏总纲!BB19</f>
        <v>27.863030247590562</v>
      </c>
      <c r="AQ19" s="2">
        <f>[1]节奏总纲!BC19</f>
        <v>29.606265091548554</v>
      </c>
      <c r="AR19" s="2">
        <f>[1]节奏总纲!BD19</f>
        <v>32.113552950216736</v>
      </c>
      <c r="AS19" s="2">
        <f>[1]节奏总纲!BE19</f>
        <v>36.526331209747774</v>
      </c>
    </row>
    <row r="20" spans="2:45" x14ac:dyDescent="0.15">
      <c r="B20" s="29">
        <f>[1]节奏总纲!N20</f>
        <v>27</v>
      </c>
      <c r="C20" s="1">
        <v>17</v>
      </c>
      <c r="D20" s="1">
        <f>[1]节奏总纲!P20</f>
        <v>2.2490095854249419</v>
      </c>
      <c r="E20" s="1">
        <f>[1]节奏总纲!Q20</f>
        <v>1.9433691827656923</v>
      </c>
      <c r="F20" s="1">
        <f>[1]节奏总纲!R20</f>
        <v>1.5904995788125189</v>
      </c>
      <c r="G20" s="1">
        <f>[1]节奏总纲!S20</f>
        <v>1.1742079045503622</v>
      </c>
      <c r="H20" s="1">
        <f>[1]节奏总纲!T20</f>
        <v>0.65311238360740309</v>
      </c>
      <c r="J20" s="1">
        <v>17</v>
      </c>
      <c r="K20" s="1">
        <f>[1]节奏总纲!W20</f>
        <v>0.21757645240414591</v>
      </c>
      <c r="L20" s="1">
        <f>[1]节奏总纲!X20</f>
        <v>0.18475751950958919</v>
      </c>
      <c r="M20" s="1">
        <f>[1]节奏总纲!Y20</f>
        <v>0.1506197741273787</v>
      </c>
      <c r="N20" s="1">
        <f>[1]节奏总纲!Z20</f>
        <v>0.11237780592039193</v>
      </c>
      <c r="O20" s="1">
        <f>[1]节奏总纲!AA20</f>
        <v>5.8511905572216083E-2</v>
      </c>
      <c r="Q20" s="1">
        <v>17</v>
      </c>
      <c r="R20" s="1">
        <f>[1]节奏总纲!AD20</f>
        <v>41.691928656135218</v>
      </c>
      <c r="S20" s="1">
        <f>[1]节奏总纲!AE20</f>
        <v>43.535389560453282</v>
      </c>
      <c r="T20" s="1">
        <f>[1]节奏总纲!AF20</f>
        <v>46.195785611164197</v>
      </c>
      <c r="U20" s="1">
        <f>[1]节奏总纲!AG20</f>
        <v>50.510850036206186</v>
      </c>
      <c r="V20" s="1">
        <f>[1]节奏总纲!AH20</f>
        <v>58.996855914896834</v>
      </c>
      <c r="Z20" s="2">
        <v>17</v>
      </c>
      <c r="AA20" s="2">
        <f>[1]节奏总纲!AM20</f>
        <v>3.0579402515786085</v>
      </c>
      <c r="AB20" s="2">
        <f>[1]节奏总纲!AN20</f>
        <v>2.4463522012628869</v>
      </c>
      <c r="AC20" s="2">
        <f>[1]节奏总纲!AO20</f>
        <v>1.8347641509471651</v>
      </c>
      <c r="AD20" s="2">
        <f>[1]节奏总纲!AP20</f>
        <v>1.2231761006314434</v>
      </c>
      <c r="AE20" s="2">
        <f>[1]节奏总纲!AQ20</f>
        <v>0.61158805031572172</v>
      </c>
      <c r="AG20" s="2">
        <v>17</v>
      </c>
      <c r="AH20" s="2">
        <f>[1]节奏总纲!AT20</f>
        <v>0.51916833118596184</v>
      </c>
      <c r="AI20" s="2">
        <f>[1]节奏总纲!AU20</f>
        <v>0.41533466494876947</v>
      </c>
      <c r="AJ20" s="2">
        <f>[1]节奏总纲!AV20</f>
        <v>0.3115009987115771</v>
      </c>
      <c r="AK20" s="2">
        <f>[1]节奏总纲!AW20</f>
        <v>0.20766733247438474</v>
      </c>
      <c r="AL20" s="2">
        <f>[1]节奏总纲!AX20</f>
        <v>0.10383366623719237</v>
      </c>
      <c r="AM20" s="2"/>
      <c r="AN20" s="2">
        <v>17</v>
      </c>
      <c r="AO20" s="2">
        <f>[1]节奏总纲!BA20</f>
        <v>26.881584971473956</v>
      </c>
      <c r="AP20" s="2">
        <f>[1]节奏总纲!BB20</f>
        <v>28.225778459464117</v>
      </c>
      <c r="AQ20" s="2">
        <f>[1]节奏总纲!BC20</f>
        <v>29.996101634569786</v>
      </c>
      <c r="AR20" s="2">
        <f>[1]节奏总纲!BD20</f>
        <v>32.477877425165822</v>
      </c>
      <c r="AS20" s="2">
        <f>[1]节奏总纲!BE20</f>
        <v>36.947184852926306</v>
      </c>
    </row>
    <row r="21" spans="2:45" x14ac:dyDescent="0.15">
      <c r="B21" s="29">
        <f>[1]节奏总纲!N21</f>
        <v>28</v>
      </c>
      <c r="C21" s="1">
        <v>18</v>
      </c>
      <c r="D21" s="1">
        <f>[1]节奏总纲!P21</f>
        <v>2.4822022531844965</v>
      </c>
      <c r="E21" s="1">
        <f>[1]节奏总纲!Q21</f>
        <v>2.1515729130603214</v>
      </c>
      <c r="F21" s="1">
        <f>[1]节奏总纲!R21</f>
        <v>1.7690655458445907</v>
      </c>
      <c r="G21" s="1">
        <f>[1]节奏总纲!S21</f>
        <v>1.3066312660763189</v>
      </c>
      <c r="H21" s="1">
        <f>[1]节奏总纲!T21</f>
        <v>0.72554771860582834</v>
      </c>
      <c r="J21" s="1">
        <v>18</v>
      </c>
      <c r="K21" s="1">
        <f>[1]节奏总纲!W21</f>
        <v>0.23319266775955461</v>
      </c>
      <c r="L21" s="1">
        <f>[1]节奏总纲!X21</f>
        <v>0.20820373029462913</v>
      </c>
      <c r="M21" s="1">
        <f>[1]节奏总纲!Y21</f>
        <v>0.17856596703207184</v>
      </c>
      <c r="N21" s="1">
        <f>[1]节奏总纲!Z21</f>
        <v>0.13242336152595668</v>
      </c>
      <c r="O21" s="1">
        <f>[1]节奏总纲!AA21</f>
        <v>7.2435334998425249E-2</v>
      </c>
      <c r="Q21" s="1">
        <v>18</v>
      </c>
      <c r="R21" s="1">
        <f>[1]节奏总纲!AD21</f>
        <v>42.470630686057078</v>
      </c>
      <c r="S21" s="1">
        <f>[1]节奏总纲!AE21</f>
        <v>44.32123076997032</v>
      </c>
      <c r="T21" s="1">
        <f>[1]节奏总纲!AF21</f>
        <v>47.002405448181747</v>
      </c>
      <c r="U21" s="1">
        <f>[1]节奏总纲!AG21</f>
        <v>51.307235833425089</v>
      </c>
      <c r="V21" s="1">
        <f>[1]节奏总纲!AH21</f>
        <v>59.782901351568675</v>
      </c>
      <c r="Z21" s="2">
        <v>18</v>
      </c>
      <c r="AA21" s="2">
        <f>[1]节奏总纲!AM21</f>
        <v>3.671491735587451</v>
      </c>
      <c r="AB21" s="2">
        <f>[1]节奏总纲!AN21</f>
        <v>2.9371933884699608</v>
      </c>
      <c r="AC21" s="2">
        <f>[1]节奏总纲!AO21</f>
        <v>2.2028950413524706</v>
      </c>
      <c r="AD21" s="2">
        <f>[1]节奏总纲!AP21</f>
        <v>1.4685966942349804</v>
      </c>
      <c r="AE21" s="2">
        <f>[1]节奏总纲!AQ21</f>
        <v>0.7342983471174902</v>
      </c>
      <c r="AG21" s="2">
        <v>18</v>
      </c>
      <c r="AH21" s="2">
        <f>[1]节奏总纲!AT21</f>
        <v>0.61355148400884252</v>
      </c>
      <c r="AI21" s="2">
        <f>[1]节奏总纲!AU21</f>
        <v>0.49084118720707393</v>
      </c>
      <c r="AJ21" s="2">
        <f>[1]节奏总纲!AV21</f>
        <v>0.36813089040530556</v>
      </c>
      <c r="AK21" s="2">
        <f>[1]节奏总纲!AW21</f>
        <v>0.24542059360353696</v>
      </c>
      <c r="AL21" s="2">
        <f>[1]节奏总纲!AX21</f>
        <v>0.12271029680176848</v>
      </c>
      <c r="AM21" s="2"/>
      <c r="AN21" s="2">
        <v>18</v>
      </c>
      <c r="AO21" s="2">
        <f>[1]节奏总纲!BA21</f>
        <v>27.220371931959619</v>
      </c>
      <c r="AP21" s="2">
        <f>[1]节奏总纲!BB21</f>
        <v>28.568390277483555</v>
      </c>
      <c r="AQ21" s="2">
        <f>[1]节奏总纲!BC21</f>
        <v>30.329493925593439</v>
      </c>
      <c r="AR21" s="2">
        <f>[1]节奏总纲!BD21</f>
        <v>32.842201900114915</v>
      </c>
      <c r="AS21" s="2">
        <f>[1]节奏总纲!BE21</f>
        <v>37.317457773889828</v>
      </c>
    </row>
    <row r="22" spans="2:45" x14ac:dyDescent="0.15">
      <c r="B22" s="29">
        <f>[1]节奏总纲!N22</f>
        <v>29</v>
      </c>
      <c r="C22" s="1">
        <v>19</v>
      </c>
      <c r="D22" s="1">
        <f>[1]节奏总纲!P22</f>
        <v>2.7321319661472296</v>
      </c>
      <c r="E22" s="1">
        <f>[1]节奏总纲!Q22</f>
        <v>2.3734030389920986</v>
      </c>
      <c r="F22" s="1">
        <f>[1]节奏总纲!R22</f>
        <v>1.9510154370257367</v>
      </c>
      <c r="G22" s="1">
        <f>[1]节奏总纲!S22</f>
        <v>1.4395603329629754</v>
      </c>
      <c r="H22" s="1">
        <f>[1]节奏总纲!T22</f>
        <v>0.80270037165405606</v>
      </c>
      <c r="J22" s="1">
        <v>19</v>
      </c>
      <c r="K22" s="1">
        <f>[1]节奏总纲!W22</f>
        <v>0.24992971296273314</v>
      </c>
      <c r="L22" s="1">
        <f>[1]节奏总纲!X22</f>
        <v>0.2218301259317772</v>
      </c>
      <c r="M22" s="1">
        <f>[1]节奏总纲!Y22</f>
        <v>0.18194989118114591</v>
      </c>
      <c r="N22" s="1">
        <f>[1]节奏总纲!Z22</f>
        <v>0.13292906688665651</v>
      </c>
      <c r="O22" s="1">
        <f>[1]节奏总纲!AA22</f>
        <v>7.7152653048227715E-2</v>
      </c>
      <c r="Q22" s="1">
        <v>19</v>
      </c>
      <c r="R22" s="1">
        <f>[1]节奏总纲!AD22</f>
        <v>43.213386604241784</v>
      </c>
      <c r="S22" s="1">
        <f>[1]节奏总纲!AE22</f>
        <v>45.070782602372333</v>
      </c>
      <c r="T22" s="1">
        <f>[1]节奏总纲!AF22</f>
        <v>47.752799438858894</v>
      </c>
      <c r="U22" s="1">
        <f>[1]节奏总纲!AG22</f>
        <v>52.050057424983954</v>
      </c>
      <c r="V22" s="1">
        <f>[1]节奏总纲!AH22</f>
        <v>60.54585273688761</v>
      </c>
      <c r="Z22" s="2">
        <v>19</v>
      </c>
      <c r="AA22" s="2">
        <f>[1]节奏总纲!AM22</f>
        <v>4.3957950643309154</v>
      </c>
      <c r="AB22" s="2">
        <f>[1]节奏总纲!AN22</f>
        <v>3.5166360514647326</v>
      </c>
      <c r="AC22" s="2">
        <f>[1]节奏总纲!AO22</f>
        <v>2.6374770385985493</v>
      </c>
      <c r="AD22" s="2">
        <f>[1]节奏总纲!AP22</f>
        <v>1.7583180257323663</v>
      </c>
      <c r="AE22" s="2">
        <f>[1]节奏总纲!AQ22</f>
        <v>0.87915901286618314</v>
      </c>
      <c r="AG22" s="2">
        <v>19</v>
      </c>
      <c r="AH22" s="2">
        <f>[1]节奏总纲!AT22</f>
        <v>0.72430332874346437</v>
      </c>
      <c r="AI22" s="2">
        <f>[1]节奏总纲!AU22</f>
        <v>0.57944266299477176</v>
      </c>
      <c r="AJ22" s="2">
        <f>[1]节奏总纲!AV22</f>
        <v>0.43458199724607871</v>
      </c>
      <c r="AK22" s="2">
        <f>[1]节奏总纲!AW22</f>
        <v>0.28972133149738588</v>
      </c>
      <c r="AL22" s="2">
        <f>[1]节奏总纲!AX22</f>
        <v>0.14486066574869294</v>
      </c>
      <c r="AM22" s="2"/>
      <c r="AN22" s="2">
        <v>19</v>
      </c>
      <c r="AO22" s="2">
        <f>[1]节奏总纲!BA22</f>
        <v>27.541701089775092</v>
      </c>
      <c r="AP22" s="2">
        <f>[1]节奏总纲!BB22</f>
        <v>28.911002095502997</v>
      </c>
      <c r="AQ22" s="2">
        <f>[1]节奏总纲!BC22</f>
        <v>30.662316072657521</v>
      </c>
      <c r="AR22" s="2">
        <f>[1]节奏总纲!BD22</f>
        <v>33.176527924103851</v>
      </c>
      <c r="AS22" s="2">
        <f>[1]节奏总纲!BE22</f>
        <v>37.680472138177471</v>
      </c>
    </row>
    <row r="23" spans="2:45" x14ac:dyDescent="0.15">
      <c r="B23" s="29">
        <f>[1]节奏总纲!N23</f>
        <v>30</v>
      </c>
      <c r="C23" s="1">
        <v>20</v>
      </c>
      <c r="D23" s="1">
        <f>[1]节奏总纲!P23</f>
        <v>3</v>
      </c>
      <c r="E23" s="1">
        <f>[1]节奏总纲!Q23</f>
        <v>2.6036999999999999</v>
      </c>
      <c r="F23" s="1">
        <f>[1]节奏总纲!R23</f>
        <v>2.1372</v>
      </c>
      <c r="G23" s="1">
        <f>[1]节奏总纲!S23</f>
        <v>1.5800999999999998</v>
      </c>
      <c r="H23" s="1">
        <f>[1]节奏总纲!T23</f>
        <v>0.87990000000000002</v>
      </c>
      <c r="J23" s="1">
        <v>20</v>
      </c>
      <c r="K23" s="1">
        <f>[1]节奏总纲!W23</f>
        <v>0.26786803385277036</v>
      </c>
      <c r="L23" s="1">
        <f>[1]节奏总纲!X23</f>
        <v>0.23029696100790131</v>
      </c>
      <c r="M23" s="1">
        <f>[1]节奏总纲!Y23</f>
        <v>0.18618456297426333</v>
      </c>
      <c r="N23" s="1">
        <f>[1]节奏总纲!Z23</f>
        <v>0.14053966703702447</v>
      </c>
      <c r="O23" s="1">
        <f>[1]节奏总纲!AA23</f>
        <v>7.719962834594396E-2</v>
      </c>
      <c r="Q23" s="1">
        <v>20</v>
      </c>
      <c r="R23" s="1">
        <f>[1]节奏总纲!AD23</f>
        <v>43.920692243099523</v>
      </c>
      <c r="S23" s="1">
        <f>[1]节奏总纲!AE23</f>
        <v>45.780025086357675</v>
      </c>
      <c r="T23" s="1">
        <f>[1]节奏总纲!AF23</f>
        <v>48.482447528152484</v>
      </c>
      <c r="U23" s="1">
        <f>[1]节奏总纲!AG23</f>
        <v>52.769987980532711</v>
      </c>
      <c r="V23" s="1">
        <f>[1]节奏总纲!AH23</f>
        <v>61.261422558944936</v>
      </c>
      <c r="Z23" s="2">
        <v>20</v>
      </c>
      <c r="AA23" s="2">
        <f>[1]节奏总纲!AM23</f>
        <v>5.25</v>
      </c>
      <c r="AB23" s="2">
        <f>[1]节奏总纲!AN23</f>
        <v>4.2</v>
      </c>
      <c r="AC23" s="2">
        <f>[1]节奏总纲!AO23</f>
        <v>3.15</v>
      </c>
      <c r="AD23" s="2">
        <f>[1]节奏总纲!AP23</f>
        <v>2.1</v>
      </c>
      <c r="AE23" s="2">
        <f>[1]节奏总纲!AQ23</f>
        <v>1.05</v>
      </c>
      <c r="AG23" s="2">
        <v>20</v>
      </c>
      <c r="AH23" s="2">
        <f>[1]节奏总纲!AT23</f>
        <v>0.85420493566908462</v>
      </c>
      <c r="AI23" s="2">
        <f>[1]节奏总纲!AU23</f>
        <v>0.68336394853526761</v>
      </c>
      <c r="AJ23" s="2">
        <f>[1]节奏总纲!AV23</f>
        <v>0.51252296140145059</v>
      </c>
      <c r="AK23" s="2">
        <f>[1]节奏总纲!AW23</f>
        <v>0.3416819742676338</v>
      </c>
      <c r="AL23" s="2">
        <f>[1]节奏总纲!AX23</f>
        <v>0.1708409871338169</v>
      </c>
      <c r="AM23" s="2"/>
      <c r="AN23" s="2">
        <v>20</v>
      </c>
      <c r="AO23" s="2">
        <f>[1]节奏总纲!BA23</f>
        <v>27.863030247590562</v>
      </c>
      <c r="AP23" s="2">
        <f>[1]节奏总纲!BB23</f>
        <v>29.216428548527322</v>
      </c>
      <c r="AQ23" s="2">
        <f>[1]节奏总纲!BC23</f>
        <v>30.995138219721603</v>
      </c>
      <c r="AR23" s="2">
        <f>[1]节奏总纲!BD23</f>
        <v>33.487933395889513</v>
      </c>
      <c r="AS23" s="2">
        <f>[1]节奏总纲!BE23</f>
        <v>38.037513426486328</v>
      </c>
    </row>
    <row r="24" spans="2:45" x14ac:dyDescent="0.15">
      <c r="B24" s="29">
        <f>[1]节奏总纲!N24</f>
        <v>31</v>
      </c>
      <c r="C24" s="1">
        <v>21</v>
      </c>
      <c r="D24" s="1">
        <f>[1]节奏总纲!P24</f>
        <v>3.2870938501451725</v>
      </c>
      <c r="E24" s="1">
        <f>[1]节奏总纲!Q24</f>
        <v>2.8518826243859516</v>
      </c>
      <c r="F24" s="1">
        <f>[1]节奏总纲!R24</f>
        <v>2.3466562996186386</v>
      </c>
      <c r="G24" s="1">
        <f>[1]节奏总纲!S24</f>
        <v>1.7365716810316947</v>
      </c>
      <c r="H24" s="1">
        <f>[1]节奏总纲!T24</f>
        <v>0.97166494210291288</v>
      </c>
      <c r="J24" s="1">
        <v>21</v>
      </c>
      <c r="K24" s="1">
        <f>[1]节奏总纲!W24</f>
        <v>0.28709385014517252</v>
      </c>
      <c r="L24" s="1">
        <f>[1]节奏总纲!X24</f>
        <v>0.24818262438595173</v>
      </c>
      <c r="M24" s="1">
        <f>[1]节奏总纲!Y24</f>
        <v>0.20945629961863865</v>
      </c>
      <c r="N24" s="1">
        <f>[1]节奏总纲!Z24</f>
        <v>0.15647168103169484</v>
      </c>
      <c r="O24" s="1">
        <f>[1]节奏总纲!AA24</f>
        <v>9.1764942102912861E-2</v>
      </c>
      <c r="Q24" s="1">
        <v>21</v>
      </c>
      <c r="R24" s="1">
        <f>[1]节奏总纲!AD24</f>
        <v>44.585942742481357</v>
      </c>
      <c r="S24" s="1">
        <f>[1]节奏总纲!AE24</f>
        <v>46.455967430551723</v>
      </c>
      <c r="T24" s="1">
        <f>[1]节奏总纲!AF24</f>
        <v>49.18886033229559</v>
      </c>
      <c r="U24" s="1">
        <f>[1]节奏总纲!AG24</f>
        <v>53.471660769826336</v>
      </c>
      <c r="V24" s="1">
        <f>[1]节奏总纲!AH24</f>
        <v>61.918453772109508</v>
      </c>
      <c r="Z24" s="2">
        <v>21</v>
      </c>
      <c r="AA24" s="2">
        <f>[1]节奏总纲!AM24</f>
        <v>6.2565025247829205</v>
      </c>
      <c r="AB24" s="2">
        <f>[1]节奏总纲!AN24</f>
        <v>5.0052020198263367</v>
      </c>
      <c r="AC24" s="2">
        <f>[1]节奏总纲!AO24</f>
        <v>3.7539015148697521</v>
      </c>
      <c r="AD24" s="2">
        <f>[1]节奏总纲!AP24</f>
        <v>2.5026010099131684</v>
      </c>
      <c r="AE24" s="2">
        <f>[1]节奏总纲!AQ24</f>
        <v>1.2513005049565842</v>
      </c>
      <c r="AG24" s="2">
        <v>21</v>
      </c>
      <c r="AH24" s="2">
        <f>[1]节奏总纲!AT24</f>
        <v>1.0065025247829205</v>
      </c>
      <c r="AI24" s="2">
        <f>[1]节奏总纲!AU24</f>
        <v>0.80520201982633655</v>
      </c>
      <c r="AJ24" s="2">
        <f>[1]节奏总纲!AV24</f>
        <v>0.60390151486975219</v>
      </c>
      <c r="AK24" s="2">
        <f>[1]节奏总纲!AW24</f>
        <v>0.40260100991316827</v>
      </c>
      <c r="AL24" s="2">
        <f>[1]节奏总纲!AX24</f>
        <v>0.20130050495658414</v>
      </c>
      <c r="AM24" s="2"/>
      <c r="AN24" s="2">
        <v>21</v>
      </c>
      <c r="AO24" s="2">
        <f>[1]节奏总纲!BA24</f>
        <v>28.157256095860227</v>
      </c>
      <c r="AP24" s="2">
        <f>[1]节奏总纲!BB24</f>
        <v>29.508805955793246</v>
      </c>
      <c r="AQ24" s="2">
        <f>[1]节奏总纲!BC24</f>
        <v>31.280110398778046</v>
      </c>
      <c r="AR24" s="2">
        <f>[1]节奏总纲!BD24</f>
        <v>33.799338867675175</v>
      </c>
      <c r="AS24" s="2">
        <f>[1]节奏总纲!BE24</f>
        <v>38.35066605767593</v>
      </c>
    </row>
    <row r="25" spans="2:45" x14ac:dyDescent="0.15">
      <c r="B25" s="29">
        <f>[1]节奏总纲!N25</f>
        <v>32</v>
      </c>
      <c r="C25" s="1">
        <v>22</v>
      </c>
      <c r="D25" s="1">
        <f>[1]节奏总纲!P25</f>
        <v>3.5947934199881395</v>
      </c>
      <c r="E25" s="1">
        <f>[1]节奏总纲!Q25</f>
        <v>3.124234961311692</v>
      </c>
      <c r="F25" s="1">
        <f>[1]节奏总纲!R25</f>
        <v>2.5749505267375046</v>
      </c>
      <c r="G25" s="1">
        <f>[1]节奏总纲!S25</f>
        <v>1.9077568679877055</v>
      </c>
      <c r="H25" s="1">
        <f>[1]节奏总纲!T25</f>
        <v>1.0687320837624739</v>
      </c>
      <c r="J25" s="1">
        <v>22</v>
      </c>
      <c r="K25" s="1">
        <f>[1]节奏总纲!W25</f>
        <v>0.30769956984296698</v>
      </c>
      <c r="L25" s="1">
        <f>[1]节奏总纲!X25</f>
        <v>0.27235233692574035</v>
      </c>
      <c r="M25" s="1">
        <f>[1]节奏总纲!Y25</f>
        <v>0.22829422711886593</v>
      </c>
      <c r="N25" s="1">
        <f>[1]节奏总纲!Z25</f>
        <v>0.17118518695601082</v>
      </c>
      <c r="O25" s="1">
        <f>[1]节奏总纲!AA25</f>
        <v>9.7067141659560985E-2</v>
      </c>
      <c r="Q25" s="1">
        <v>22</v>
      </c>
      <c r="R25" s="1">
        <f>[1]节奏总纲!AD25</f>
        <v>45.229416240679988</v>
      </c>
      <c r="S25" s="1">
        <f>[1]节奏总纲!AE25</f>
        <v>47.110426931480873</v>
      </c>
      <c r="T25" s="1">
        <f>[1]节奏总纲!AF25</f>
        <v>49.861837738505173</v>
      </c>
      <c r="U25" s="1">
        <f>[1]节奏总纲!AG25</f>
        <v>54.15637358335789</v>
      </c>
      <c r="V25" s="1">
        <f>[1]节奏总纲!AH25</f>
        <v>62.555781631668886</v>
      </c>
      <c r="Z25" s="2">
        <v>22</v>
      </c>
      <c r="AA25" s="2">
        <f>[1]节奏总纲!AM25</f>
        <v>7.4414868317755332</v>
      </c>
      <c r="AB25" s="2">
        <f>[1]节奏总纲!AN25</f>
        <v>5.9531894654204267</v>
      </c>
      <c r="AC25" s="2">
        <f>[1]节奏总纲!AO25</f>
        <v>4.4648920990653194</v>
      </c>
      <c r="AD25" s="2">
        <f>[1]节奏总纲!AP25</f>
        <v>2.9765947327102134</v>
      </c>
      <c r="AE25" s="2">
        <f>[1]节奏总纲!AQ25</f>
        <v>1.4882973663551067</v>
      </c>
      <c r="AG25" s="2">
        <v>22</v>
      </c>
      <c r="AH25" s="2">
        <f>[1]节奏总纲!AT25</f>
        <v>1.1849843069926127</v>
      </c>
      <c r="AI25" s="2">
        <f>[1]节奏总纲!AU25</f>
        <v>0.94798744559408998</v>
      </c>
      <c r="AJ25" s="2">
        <f>[1]节奏总纲!AV25</f>
        <v>0.71099058419556727</v>
      </c>
      <c r="AK25" s="2">
        <f>[1]节奏总纲!AW25</f>
        <v>0.47399372279704499</v>
      </c>
      <c r="AL25" s="2">
        <f>[1]节奏总纲!AX25</f>
        <v>0.2369968613985225</v>
      </c>
      <c r="AM25" s="2"/>
      <c r="AN25" s="2">
        <v>22</v>
      </c>
      <c r="AO25" s="2">
        <f>[1]节奏总纲!BA25</f>
        <v>28.431345550275779</v>
      </c>
      <c r="AP25" s="2">
        <f>[1]节奏总纲!BB25</f>
        <v>29.80118336305917</v>
      </c>
      <c r="AQ25" s="2">
        <f>[1]节奏总纲!BC25</f>
        <v>31.564373235931193</v>
      </c>
      <c r="AR25" s="2">
        <f>[1]节奏总纲!BD25</f>
        <v>34.09469189131628</v>
      </c>
      <c r="AS25" s="2">
        <f>[1]节奏总纲!BE25</f>
        <v>38.663818688865533</v>
      </c>
    </row>
    <row r="26" spans="2:45" x14ac:dyDescent="0.15">
      <c r="B26" s="29">
        <f>[1]节奏总纲!N26</f>
        <v>33</v>
      </c>
      <c r="C26" s="1">
        <v>23</v>
      </c>
      <c r="D26" s="1">
        <f>[1]节奏总纲!P26</f>
        <v>3.9245776533796644</v>
      </c>
      <c r="E26" s="1">
        <f>[1]节奏总纲!Q26</f>
        <v>3.4081032341949005</v>
      </c>
      <c r="F26" s="1">
        <f>[1]节奏总纲!R26</f>
        <v>2.8064654799317976</v>
      </c>
      <c r="G26" s="1">
        <f>[1]节奏总纲!S26</f>
        <v>2.0796336985258841</v>
      </c>
      <c r="H26" s="1">
        <f>[1]节奏总纲!T26</f>
        <v>1.1608900698697047</v>
      </c>
      <c r="J26" s="1">
        <v>23</v>
      </c>
      <c r="K26" s="1">
        <f>[1]节奏总纲!W26</f>
        <v>0.32978423339152485</v>
      </c>
      <c r="L26" s="1">
        <f>[1]节奏总纲!X26</f>
        <v>0.28386827288320848</v>
      </c>
      <c r="M26" s="1">
        <f>[1]节奏总纲!Y26</f>
        <v>0.23151495319429305</v>
      </c>
      <c r="N26" s="1">
        <f>[1]节奏总纲!Z26</f>
        <v>0.17187683053817859</v>
      </c>
      <c r="O26" s="1">
        <f>[1]节奏总纲!AA26</f>
        <v>9.2157986107230805E-2</v>
      </c>
      <c r="Q26" s="1">
        <v>23</v>
      </c>
      <c r="R26" s="1">
        <f>[1]节奏总纲!AD26</f>
        <v>45.845161563010116</v>
      </c>
      <c r="S26" s="1">
        <f>[1]节奏总纲!AE26</f>
        <v>47.734594805743399</v>
      </c>
      <c r="T26" s="1">
        <f>[1]节奏总纲!AF26</f>
        <v>50.503430607741265</v>
      </c>
      <c r="U26" s="1">
        <f>[1]节奏总纲!AG26</f>
        <v>54.814188287451351</v>
      </c>
      <c r="V26" s="1">
        <f>[1]节奏总纲!AH26</f>
        <v>63.182677965405439</v>
      </c>
      <c r="Z26" s="2">
        <v>23</v>
      </c>
      <c r="AA26" s="2">
        <f>[1]节奏总纲!AM26</f>
        <v>8.8355567243832152</v>
      </c>
      <c r="AB26" s="2">
        <f>[1]节奏总纲!AN26</f>
        <v>7.0684453795065725</v>
      </c>
      <c r="AC26" s="2">
        <f>[1]节奏总纲!AO26</f>
        <v>5.3013340346299289</v>
      </c>
      <c r="AD26" s="2">
        <f>[1]节奏总纲!AP26</f>
        <v>3.5342226897532862</v>
      </c>
      <c r="AE26" s="2">
        <f>[1]节奏总纲!AQ26</f>
        <v>1.7671113448766431</v>
      </c>
      <c r="AG26" s="2">
        <v>23</v>
      </c>
      <c r="AH26" s="2">
        <f>[1]节奏总纲!AT26</f>
        <v>1.394069892607682</v>
      </c>
      <c r="AI26" s="2">
        <f>[1]节奏总纲!AU26</f>
        <v>1.1152559140861458</v>
      </c>
      <c r="AJ26" s="2">
        <f>[1]节奏总纲!AV26</f>
        <v>0.83644193556460955</v>
      </c>
      <c r="AK26" s="2">
        <f>[1]节奏总纲!AW26</f>
        <v>0.55762795704307289</v>
      </c>
      <c r="AL26" s="2">
        <f>[1]节奏总纲!AX26</f>
        <v>0.27881397852153644</v>
      </c>
      <c r="AM26" s="2"/>
      <c r="AN26" s="2">
        <v>23</v>
      </c>
      <c r="AO26" s="2">
        <f>[1]节奏总纲!BA26</f>
        <v>28.705435004691331</v>
      </c>
      <c r="AP26" s="2">
        <f>[1]节奏总纲!BB26</f>
        <v>30.079877315295377</v>
      </c>
      <c r="AQ26" s="2">
        <f>[1]节奏总纲!BC26</f>
        <v>31.848636073084339</v>
      </c>
      <c r="AR26" s="2">
        <f>[1]节奏总纲!BD26</f>
        <v>34.360958982105608</v>
      </c>
      <c r="AS26" s="2">
        <f>[1]节奏总纲!BE26</f>
        <v>38.976971320055128</v>
      </c>
    </row>
    <row r="27" spans="2:45" x14ac:dyDescent="0.15">
      <c r="B27" s="29">
        <f>[1]节奏总纲!N27</f>
        <v>34</v>
      </c>
      <c r="C27" s="1">
        <v>24</v>
      </c>
      <c r="D27" s="1">
        <f>[1]节奏总纲!P27</f>
        <v>4.2780316430915768</v>
      </c>
      <c r="E27" s="1">
        <f>[1]节奏总纲!Q27</f>
        <v>3.7214597263253628</v>
      </c>
      <c r="F27" s="1">
        <f>[1]节奏总纲!R27</f>
        <v>3.0699155070825155</v>
      </c>
      <c r="G27" s="1">
        <f>[1]节奏总纲!S27</f>
        <v>2.2742016214674821</v>
      </c>
      <c r="H27" s="1">
        <f>[1]节奏总纲!T27</f>
        <v>1.2692919885052709</v>
      </c>
      <c r="J27" s="1">
        <v>24</v>
      </c>
      <c r="K27" s="1">
        <f>[1]节奏总纲!W27</f>
        <v>0.35345398971191244</v>
      </c>
      <c r="L27" s="1">
        <f>[1]节奏总纲!X27</f>
        <v>0.31335649213046235</v>
      </c>
      <c r="M27" s="1">
        <f>[1]节奏总纲!Y27</f>
        <v>0.26345002715071786</v>
      </c>
      <c r="N27" s="1">
        <f>[1]节奏总纲!Z27</f>
        <v>0.19456792294159797</v>
      </c>
      <c r="O27" s="1">
        <f>[1]节奏总纲!AA27</f>
        <v>0.10840191863556625</v>
      </c>
      <c r="Q27" s="1">
        <v>24</v>
      </c>
      <c r="R27" s="1">
        <f>[1]节奏总纲!AD27</f>
        <v>46.430041330048923</v>
      </c>
      <c r="S27" s="1">
        <f>[1]节奏总纲!AE27</f>
        <v>48.330142263709867</v>
      </c>
      <c r="T27" s="1">
        <f>[1]节奏总纲!AF27</f>
        <v>51.118578408701396</v>
      </c>
      <c r="U27" s="1">
        <f>[1]节奏总纲!AG27</f>
        <v>55.44072585486321</v>
      </c>
      <c r="V27" s="1">
        <f>[1]节奏总纲!AH27</f>
        <v>63.791742872142052</v>
      </c>
      <c r="Z27" s="2">
        <v>24</v>
      </c>
      <c r="AA27" s="2">
        <f>[1]节奏总纲!AM27</f>
        <v>10.47447102993563</v>
      </c>
      <c r="AB27" s="2">
        <f>[1]节奏总纲!AN27</f>
        <v>8.3795768239485042</v>
      </c>
      <c r="AC27" s="2">
        <f>[1]节奏总纲!AO27</f>
        <v>6.2846826179613782</v>
      </c>
      <c r="AD27" s="2">
        <f>[1]节奏总纲!AP27</f>
        <v>4.1897884119742521</v>
      </c>
      <c r="AE27" s="2">
        <f>[1]节奏总纲!AQ27</f>
        <v>2.0948942059871261</v>
      </c>
      <c r="AG27" s="2">
        <v>24</v>
      </c>
      <c r="AH27" s="2">
        <f>[1]节奏总纲!AT27</f>
        <v>1.6389143055524151</v>
      </c>
      <c r="AI27" s="2">
        <f>[1]节奏总纲!AU27</f>
        <v>1.3111314444419317</v>
      </c>
      <c r="AJ27" s="2">
        <f>[1]节奏总纲!AV27</f>
        <v>0.98334858333144926</v>
      </c>
      <c r="AK27" s="2">
        <f>[1]节奏总纲!AW27</f>
        <v>0.65556572222096587</v>
      </c>
      <c r="AL27" s="2">
        <f>[1]节奏总纲!AX27</f>
        <v>0.32778286111048294</v>
      </c>
      <c r="AM27" s="2"/>
      <c r="AN27" s="2">
        <v>24</v>
      </c>
      <c r="AO27" s="2">
        <f>[1]节奏总纲!BA27</f>
        <v>28.979524459106884</v>
      </c>
      <c r="AP27" s="2">
        <f>[1]节奏总纲!BB27</f>
        <v>30.329493925593439</v>
      </c>
      <c r="AQ27" s="2">
        <f>[1]节奏总纲!BC27</f>
        <v>32.113552950216736</v>
      </c>
      <c r="AR27" s="2">
        <f>[1]节奏总纲!BD27</f>
        <v>34.627226072894942</v>
      </c>
      <c r="AS27" s="2">
        <f>[1]节奏总纲!BE27</f>
        <v>39.250296194358178</v>
      </c>
    </row>
    <row r="28" spans="2:45" x14ac:dyDescent="0.15">
      <c r="B28" s="29">
        <f>[1]节奏总纲!N28</f>
        <v>35</v>
      </c>
      <c r="C28" s="1">
        <v>25</v>
      </c>
      <c r="D28" s="1">
        <f>[1]节奏总纲!P28</f>
        <v>4.6568542494923806</v>
      </c>
      <c r="E28" s="1">
        <f>[1]节奏总纲!Q28</f>
        <v>4.054257309608067</v>
      </c>
      <c r="F28" s="1">
        <f>[1]节奏总纲!R28</f>
        <v>3.3445527219854276</v>
      </c>
      <c r="G28" s="1">
        <f>[1]节奏总纲!S28</f>
        <v>2.478377831579845</v>
      </c>
      <c r="H28" s="1">
        <f>[1]节奏总纲!T28</f>
        <v>1.3802915995495415</v>
      </c>
      <c r="J28" s="1">
        <v>25</v>
      </c>
      <c r="K28" s="1">
        <f>[1]节奏总纲!W28</f>
        <v>0.37882260640080379</v>
      </c>
      <c r="L28" s="1">
        <f>[1]节奏总纲!X28</f>
        <v>0.33279758328270415</v>
      </c>
      <c r="M28" s="1">
        <f>[1]节奏总纲!Y28</f>
        <v>0.27463721490291215</v>
      </c>
      <c r="N28" s="1">
        <f>[1]节奏总纲!Z28</f>
        <v>0.20417621011236298</v>
      </c>
      <c r="O28" s="1">
        <f>[1]节奏总纲!AA28</f>
        <v>0.11099961104427059</v>
      </c>
      <c r="Q28" s="1">
        <v>25</v>
      </c>
      <c r="R28" s="1">
        <f>[1]节奏总纲!AD28</f>
        <v>47.004247194324648</v>
      </c>
      <c r="S28" s="1">
        <f>[1]节奏总纲!AE28</f>
        <v>48.904516930942819</v>
      </c>
      <c r="T28" s="1">
        <f>[1]节奏总纲!AF28</f>
        <v>51.667220029142385</v>
      </c>
      <c r="U28" s="1">
        <f>[1]节奏总纲!AG28</f>
        <v>56.05100027504308</v>
      </c>
      <c r="V28" s="1">
        <f>[1]节奏总纲!AH28</f>
        <v>64.398425477456215</v>
      </c>
      <c r="Z28" s="2">
        <v>25</v>
      </c>
      <c r="AA28" s="2">
        <f>[1]节奏总纲!AM28</f>
        <v>12.4</v>
      </c>
      <c r="AB28" s="2">
        <f>[1]节奏总纲!AN28</f>
        <v>9.9200000000000017</v>
      </c>
      <c r="AC28" s="2">
        <f>[1]节奏总纲!AO28</f>
        <v>7.4399999999999995</v>
      </c>
      <c r="AD28" s="2">
        <f>[1]节奏总纲!AP28</f>
        <v>4.9600000000000009</v>
      </c>
      <c r="AE28" s="2">
        <f>[1]节奏总纲!AQ28</f>
        <v>2.4800000000000004</v>
      </c>
      <c r="AG28" s="2">
        <v>25</v>
      </c>
      <c r="AH28" s="2">
        <f>[1]节奏总纲!AT28</f>
        <v>1.9255289700643701</v>
      </c>
      <c r="AI28" s="2">
        <f>[1]节奏总纲!AU28</f>
        <v>1.5404231760514975</v>
      </c>
      <c r="AJ28" s="2">
        <f>[1]节奏总纲!AV28</f>
        <v>1.1553173820386213</v>
      </c>
      <c r="AK28" s="2">
        <f>[1]节奏总纲!AW28</f>
        <v>0.77021158802574874</v>
      </c>
      <c r="AL28" s="2">
        <f>[1]节奏总纲!AX28</f>
        <v>0.38510579401287437</v>
      </c>
      <c r="AM28" s="2"/>
      <c r="AN28" s="2">
        <v>25</v>
      </c>
      <c r="AO28" s="2">
        <f>[1]节奏总纲!BA28</f>
        <v>29.216428548527322</v>
      </c>
      <c r="AP28" s="2">
        <f>[1]节奏总纲!BB28</f>
        <v>30.579110535891502</v>
      </c>
      <c r="AQ28" s="2">
        <f>[1]节奏总纲!BC28</f>
        <v>32.356435933516131</v>
      </c>
      <c r="AR28" s="2">
        <f>[1]节奏总纲!BD28</f>
        <v>34.893493163684269</v>
      </c>
      <c r="AS28" s="2">
        <f>[1]节奏总纲!BE28</f>
        <v>39.520459727922798</v>
      </c>
    </row>
    <row r="29" spans="2:45" x14ac:dyDescent="0.15">
      <c r="B29" s="29">
        <f>[1]节奏总纲!N29</f>
        <v>36</v>
      </c>
      <c r="C29" s="1">
        <v>26</v>
      </c>
      <c r="D29" s="1">
        <f>[1]节奏总纲!P29</f>
        <v>5.062866266041592</v>
      </c>
      <c r="E29" s="1">
        <f>[1]节奏总纲!Q29</f>
        <v>4.408743944469018</v>
      </c>
      <c r="F29" s="1">
        <f>[1]节奏总纲!R29</f>
        <v>3.63716312552428</v>
      </c>
      <c r="G29" s="1">
        <f>[1]节奏总纲!S29</f>
        <v>2.6914197070277099</v>
      </c>
      <c r="H29" s="1">
        <f>[1]节奏总纲!T29</f>
        <v>1.4996209880015197</v>
      </c>
      <c r="J29" s="1">
        <v>26</v>
      </c>
      <c r="K29" s="1">
        <f>[1]节奏总纲!W29</f>
        <v>0.40601201654921137</v>
      </c>
      <c r="L29" s="1">
        <f>[1]节奏总纲!X29</f>
        <v>0.354486634860951</v>
      </c>
      <c r="M29" s="1">
        <f>[1]节奏总纲!Y29</f>
        <v>0.29261040353885237</v>
      </c>
      <c r="N29" s="1">
        <f>[1]节奏总纲!Z29</f>
        <v>0.2130418754478649</v>
      </c>
      <c r="O29" s="1">
        <f>[1]节奏总纲!AA29</f>
        <v>0.11932938845197816</v>
      </c>
      <c r="Q29" s="1">
        <v>26</v>
      </c>
      <c r="R29" s="1">
        <f>[1]节奏总纲!AD29</f>
        <v>47.540284631526092</v>
      </c>
      <c r="S29" s="1">
        <f>[1]节奏总纲!AE29</f>
        <v>49.446133440059114</v>
      </c>
      <c r="T29" s="1">
        <f>[1]节奏总纲!AF29</f>
        <v>52.199341027338768</v>
      </c>
      <c r="U29" s="1">
        <f>[1]节奏总纲!AG29</f>
        <v>56.621068614050692</v>
      </c>
      <c r="V29" s="1">
        <f>[1]节奏总纲!AH29</f>
        <v>65.00344105132713</v>
      </c>
      <c r="Z29" s="2">
        <v>26</v>
      </c>
      <c r="AA29" s="2">
        <f>[1]节奏总纲!AM29</f>
        <v>14.6609224175611</v>
      </c>
      <c r="AB29" s="2">
        <f>[1]节奏总纲!AN29</f>
        <v>11.72873793404888</v>
      </c>
      <c r="AC29" s="2">
        <f>[1]节奏总纲!AO29</f>
        <v>8.7965534505366598</v>
      </c>
      <c r="AD29" s="2">
        <f>[1]节奏总纲!AP29</f>
        <v>5.8643689670244399</v>
      </c>
      <c r="AE29" s="2">
        <f>[1]节奏总纲!AQ29</f>
        <v>2.9321844835122199</v>
      </c>
      <c r="AG29" s="2">
        <v>26</v>
      </c>
      <c r="AH29" s="2">
        <f>[1]节奏总纲!AT29</f>
        <v>2.2609224175610994</v>
      </c>
      <c r="AI29" s="2">
        <f>[1]节奏总纲!AU29</f>
        <v>1.8087379340488781</v>
      </c>
      <c r="AJ29" s="2">
        <f>[1]节奏总纲!AV29</f>
        <v>1.3565534505366603</v>
      </c>
      <c r="AK29" s="2">
        <f>[1]节奏总纲!AW29</f>
        <v>0.90436896702443903</v>
      </c>
      <c r="AL29" s="2">
        <f>[1]节奏总纲!AX29</f>
        <v>0.45218448351221951</v>
      </c>
      <c r="AM29" s="2"/>
      <c r="AN29" s="2">
        <v>26</v>
      </c>
      <c r="AO29" s="2">
        <f>[1]节奏总纲!BA29</f>
        <v>29.45033047434006</v>
      </c>
      <c r="AP29" s="2">
        <f>[1]节奏总纲!BB29</f>
        <v>30.828727146189561</v>
      </c>
      <c r="AQ29" s="2">
        <f>[1]节奏总纲!BC29</f>
        <v>32.59931891681552</v>
      </c>
      <c r="AR29" s="2">
        <f>[1]节奏总纲!BD29</f>
        <v>35.146386283795508</v>
      </c>
      <c r="AS29" s="2">
        <f>[1]节奏总纲!BE29</f>
        <v>39.790623261487418</v>
      </c>
    </row>
    <row r="30" spans="2:45" x14ac:dyDescent="0.15">
      <c r="B30" s="29">
        <f>[1]节奏总纲!N30</f>
        <v>37</v>
      </c>
      <c r="C30" s="1">
        <v>27</v>
      </c>
      <c r="D30" s="1">
        <f>[1]节奏总纲!P30</f>
        <v>5.4980191708498847</v>
      </c>
      <c r="E30" s="1">
        <f>[1]节奏总纲!Q30</f>
        <v>4.7882248958931646</v>
      </c>
      <c r="F30" s="1">
        <f>[1]节奏总纲!R30</f>
        <v>3.9492271704214725</v>
      </c>
      <c r="G30" s="1">
        <f>[1]节奏总纲!S30</f>
        <v>2.9205477835554587</v>
      </c>
      <c r="H30" s="1">
        <f>[1]节奏总纲!T30</f>
        <v>1.6290630803228208</v>
      </c>
      <c r="J30" s="1">
        <v>27</v>
      </c>
      <c r="K30" s="1">
        <f>[1]节奏总纲!W30</f>
        <v>0.43515290480829272</v>
      </c>
      <c r="L30" s="1">
        <f>[1]节奏总纲!X30</f>
        <v>0.37948095142414662</v>
      </c>
      <c r="M30" s="1">
        <f>[1]节奏总纲!Y30</f>
        <v>0.31206404489719253</v>
      </c>
      <c r="N30" s="1">
        <f>[1]节奏总纲!Z30</f>
        <v>0.2291280765277488</v>
      </c>
      <c r="O30" s="1">
        <f>[1]节奏总纲!AA30</f>
        <v>0.12944209232130111</v>
      </c>
      <c r="Q30" s="1">
        <v>27</v>
      </c>
      <c r="R30" s="1">
        <f>[1]节奏总纲!AD30</f>
        <v>48.071211008105138</v>
      </c>
      <c r="S30" s="1">
        <f>[1]节奏总纲!AE30</f>
        <v>49.981218513907905</v>
      </c>
      <c r="T30" s="1">
        <f>[1]节奏总纲!AF30</f>
        <v>52.705993248660157</v>
      </c>
      <c r="U30" s="1">
        <f>[1]节奏总纲!AG30</f>
        <v>57.175765669822162</v>
      </c>
      <c r="V30" s="1">
        <f>[1]节奏总纲!AH30</f>
        <v>65.541743280100334</v>
      </c>
      <c r="Z30" s="2">
        <v>27</v>
      </c>
      <c r="AA30" s="2">
        <f>[1]节奏总纲!AM30</f>
        <v>17.314186320787698</v>
      </c>
      <c r="AB30" s="2">
        <f>[1]节奏总纲!AN30</f>
        <v>13.851349056630159</v>
      </c>
      <c r="AC30" s="2">
        <f>[1]节奏总纲!AO30</f>
        <v>10.388511792472618</v>
      </c>
      <c r="AD30" s="2">
        <f>[1]节奏总纲!AP30</f>
        <v>6.9256745283150796</v>
      </c>
      <c r="AE30" s="2">
        <f>[1]节奏总纲!AQ30</f>
        <v>3.4628372641575398</v>
      </c>
      <c r="AG30" s="2">
        <v>27</v>
      </c>
      <c r="AH30" s="2">
        <f>[1]节奏总纲!AT30</f>
        <v>2.6532639032265983</v>
      </c>
      <c r="AI30" s="2">
        <f>[1]节奏总纲!AU30</f>
        <v>2.1226111225812794</v>
      </c>
      <c r="AJ30" s="2">
        <f>[1]节奏总纲!AV30</f>
        <v>1.5919583419359586</v>
      </c>
      <c r="AK30" s="2">
        <f>[1]节奏总纲!AW30</f>
        <v>1.0613055612906397</v>
      </c>
      <c r="AL30" s="2">
        <f>[1]节奏总纲!AX30</f>
        <v>0.53065278064531984</v>
      </c>
      <c r="AM30" s="2"/>
      <c r="AN30" s="2">
        <v>27</v>
      </c>
      <c r="AO30" s="2">
        <f>[1]节奏总纲!BA30</f>
        <v>29.684232400152801</v>
      </c>
      <c r="AP30" s="2">
        <f>[1]节奏总纲!BB30</f>
        <v>31.066913270913183</v>
      </c>
      <c r="AQ30" s="2">
        <f>[1]节奏总纲!BC30</f>
        <v>32.842201900114915</v>
      </c>
      <c r="AR30" s="2">
        <f>[1]节奏总纲!BD30</f>
        <v>35.390363423454687</v>
      </c>
      <c r="AS30" s="2">
        <f>[1]节奏总纲!BE30</f>
        <v>40.052446592012309</v>
      </c>
    </row>
    <row r="31" spans="2:45" x14ac:dyDescent="0.15">
      <c r="B31" s="29">
        <f>[1]节奏总纲!N31</f>
        <v>38</v>
      </c>
      <c r="C31" s="1">
        <v>28</v>
      </c>
      <c r="D31" s="1">
        <f>[1]节奏总纲!P31</f>
        <v>5.9644045063689921</v>
      </c>
      <c r="E31" s="1">
        <f>[1]节奏总纲!Q31</f>
        <v>5.1914176823435705</v>
      </c>
      <c r="F31" s="1">
        <f>[1]节奏总纲!R31</f>
        <v>4.2752851501652938</v>
      </c>
      <c r="G31" s="1">
        <f>[1]节奏总纲!S31</f>
        <v>3.1653094715300236</v>
      </c>
      <c r="H31" s="1">
        <f>[1]节奏总纲!T31</f>
        <v>1.7738139001941382</v>
      </c>
      <c r="J31" s="1">
        <v>28</v>
      </c>
      <c r="K31" s="1">
        <f>[1]节奏总纲!W31</f>
        <v>0.46638533551910744</v>
      </c>
      <c r="L31" s="1">
        <f>[1]节奏总纲!X31</f>
        <v>0.4031927864504059</v>
      </c>
      <c r="M31" s="1">
        <f>[1]节奏总纲!Y31</f>
        <v>0.32605797974382122</v>
      </c>
      <c r="N31" s="1">
        <f>[1]节奏总纲!Z31</f>
        <v>0.24476168797456488</v>
      </c>
      <c r="O31" s="1">
        <f>[1]节奏总纲!AA31</f>
        <v>0.14475081987131744</v>
      </c>
      <c r="Q31" s="1">
        <v>28</v>
      </c>
      <c r="R31" s="1">
        <f>[1]节奏总纲!AD31</f>
        <v>48.571351621712928</v>
      </c>
      <c r="S31" s="1">
        <f>[1]节奏总纲!AE31</f>
        <v>50.509688493127967</v>
      </c>
      <c r="T31" s="1">
        <f>[1]节奏总纲!AF31</f>
        <v>53.212684955585161</v>
      </c>
      <c r="U31" s="1">
        <f>[1]节奏总纲!AG31</f>
        <v>57.699988965458331</v>
      </c>
      <c r="V31" s="1">
        <f>[1]节奏总纲!AH31</f>
        <v>66.076345334947405</v>
      </c>
      <c r="Z31" s="2">
        <v>28</v>
      </c>
      <c r="AA31" s="2">
        <f>[1]节奏总纲!AM31</f>
        <v>20.42625995518307</v>
      </c>
      <c r="AB31" s="2">
        <f>[1]节奏总纲!AN31</f>
        <v>16.341007964146456</v>
      </c>
      <c r="AC31" s="2">
        <f>[1]节奏总纲!AO31</f>
        <v>12.255755973109842</v>
      </c>
      <c r="AD31" s="2">
        <f>[1]节奏总纲!AP31</f>
        <v>8.1705039820732281</v>
      </c>
      <c r="AE31" s="2">
        <f>[1]节奏总纲!AQ31</f>
        <v>4.0852519910366141</v>
      </c>
      <c r="AG31" s="2">
        <v>28</v>
      </c>
      <c r="AH31" s="2">
        <f>[1]节奏总纲!AT31</f>
        <v>3.1120736343953723</v>
      </c>
      <c r="AI31" s="2">
        <f>[1]节奏总纲!AU31</f>
        <v>2.4896589075162971</v>
      </c>
      <c r="AJ31" s="2">
        <f>[1]节奏总纲!AV31</f>
        <v>1.8672441806372237</v>
      </c>
      <c r="AK31" s="2">
        <f>[1]节奏总纲!AW31</f>
        <v>1.2448294537581486</v>
      </c>
      <c r="AL31" s="2">
        <f>[1]节奏总纲!AX31</f>
        <v>0.62241472687907429</v>
      </c>
      <c r="AM31" s="2"/>
      <c r="AN31" s="2">
        <v>28</v>
      </c>
      <c r="AO31" s="2">
        <f>[1]节奏总纲!BA31</f>
        <v>29.918134325965539</v>
      </c>
      <c r="AP31" s="2">
        <f>[1]节奏总纲!BB31</f>
        <v>31.280110398778046</v>
      </c>
      <c r="AQ31" s="2">
        <f>[1]节奏总纲!BC31</f>
        <v>33.072726100175295</v>
      </c>
      <c r="AR31" s="2">
        <f>[1]节奏总纲!BD31</f>
        <v>35.634340563113874</v>
      </c>
      <c r="AS31" s="2">
        <f>[1]节奏总纲!BE31</f>
        <v>40.28554255651148</v>
      </c>
    </row>
    <row r="32" spans="2:45" x14ac:dyDescent="0.15">
      <c r="B32" s="29">
        <f>[1]节奏总纲!N32</f>
        <v>39</v>
      </c>
      <c r="C32" s="1">
        <v>29</v>
      </c>
      <c r="D32" s="1">
        <f>[1]节奏总纲!P32</f>
        <v>6.4642639322944575</v>
      </c>
      <c r="E32" s="1">
        <f>[1]节奏总纲!Q32</f>
        <v>5.6323131642081607</v>
      </c>
      <c r="F32" s="1">
        <f>[1]节奏总纲!R32</f>
        <v>4.6510378992858623</v>
      </c>
      <c r="G32" s="1">
        <f>[1]节奏总纲!S32</f>
        <v>3.4532097926316991</v>
      </c>
      <c r="H32" s="1">
        <f>[1]节奏总纲!T32</f>
        <v>1.9366934741154194</v>
      </c>
      <c r="J32" s="1">
        <v>29</v>
      </c>
      <c r="K32" s="1">
        <f>[1]节奏总纲!W32</f>
        <v>0.49985942592546539</v>
      </c>
      <c r="L32" s="1">
        <f>[1]节奏总纲!X32</f>
        <v>0.44089548186459027</v>
      </c>
      <c r="M32" s="1">
        <f>[1]节奏总纲!Y32</f>
        <v>0.37575274912056855</v>
      </c>
      <c r="N32" s="1">
        <f>[1]节奏总纲!Z32</f>
        <v>0.28790032110167552</v>
      </c>
      <c r="O32" s="1">
        <f>[1]节奏总纲!AA32</f>
        <v>0.16287957392128116</v>
      </c>
      <c r="Q32" s="1">
        <v>29</v>
      </c>
      <c r="R32" s="1">
        <f>[1]节奏总纲!AD32</f>
        <v>49.066704614192936</v>
      </c>
      <c r="S32" s="1">
        <f>[1]节奏总纲!AE32</f>
        <v>51.033341828534468</v>
      </c>
      <c r="T32" s="1">
        <f>[1]节奏总纲!AF32</f>
        <v>53.719431255885922</v>
      </c>
      <c r="U32" s="1">
        <f>[1]节奏总纲!AG32</f>
        <v>58.210135614815364</v>
      </c>
      <c r="V32" s="1">
        <f>[1]节奏总纲!AH32</f>
        <v>66.589764070576265</v>
      </c>
      <c r="Z32" s="2">
        <v>29</v>
      </c>
      <c r="AA32" s="2">
        <f>[1]节奏总纲!AM32</f>
        <v>24.074703862418847</v>
      </c>
      <c r="AB32" s="2">
        <f>[1]节奏总纲!AN32</f>
        <v>19.259763089935078</v>
      </c>
      <c r="AC32" s="2">
        <f>[1]节奏总纲!AO32</f>
        <v>14.444822317451308</v>
      </c>
      <c r="AD32" s="2">
        <f>[1]节奏总纲!AP32</f>
        <v>9.6298815449675388</v>
      </c>
      <c r="AE32" s="2">
        <f>[1]节奏总纲!AQ32</f>
        <v>4.8149407724837694</v>
      </c>
      <c r="AG32" s="2">
        <v>29</v>
      </c>
      <c r="AH32" s="2">
        <f>[1]节奏总纲!AT32</f>
        <v>3.6484439072357766</v>
      </c>
      <c r="AI32" s="2">
        <f>[1]节奏总纲!AU32</f>
        <v>2.9187551257886213</v>
      </c>
      <c r="AJ32" s="2">
        <f>[1]节奏总纲!AV32</f>
        <v>2.189066344341466</v>
      </c>
      <c r="AK32" s="2">
        <f>[1]节奏总纲!AW32</f>
        <v>1.4593775628943106</v>
      </c>
      <c r="AL32" s="2">
        <f>[1]节奏总纲!AX32</f>
        <v>0.72968878144715532</v>
      </c>
      <c r="AM32" s="2"/>
      <c r="AN32" s="2">
        <v>29</v>
      </c>
      <c r="AO32" s="2">
        <f>[1]节奏总纲!BA32</f>
        <v>30.12980063735499</v>
      </c>
      <c r="AP32" s="2">
        <f>[1]节奏总纲!BB32</f>
        <v>31.493307526642905</v>
      </c>
      <c r="AQ32" s="2">
        <f>[1]节奏总纲!BC32</f>
        <v>33.280329748032408</v>
      </c>
      <c r="AR32" s="2">
        <f>[1]节奏总纲!BD32</f>
        <v>35.878317702773053</v>
      </c>
      <c r="AS32" s="2">
        <f>[1]节奏总纲!BE32</f>
        <v>40.518638521010644</v>
      </c>
    </row>
    <row r="33" spans="2:45" x14ac:dyDescent="0.15">
      <c r="B33" s="29">
        <f>[1]节奏总纲!N33</f>
        <v>40</v>
      </c>
      <c r="C33" s="1">
        <v>30</v>
      </c>
      <c r="D33" s="1">
        <f>[1]节奏总纲!P33</f>
        <v>7</v>
      </c>
      <c r="E33" s="1">
        <f>[1]节奏总纲!Q33</f>
        <v>6.1025999999999998</v>
      </c>
      <c r="F33" s="1">
        <f>[1]节奏总纲!R33</f>
        <v>5.0421000000000005</v>
      </c>
      <c r="G33" s="1">
        <f>[1]节奏总纲!S33</f>
        <v>3.7428999999999997</v>
      </c>
      <c r="H33" s="1">
        <f>[1]节奏总纲!T33</f>
        <v>2.1006999999999998</v>
      </c>
      <c r="J33" s="1">
        <v>30</v>
      </c>
      <c r="K33" s="1">
        <f>[1]节奏总纲!W33</f>
        <v>0.5357360677055425</v>
      </c>
      <c r="L33" s="1">
        <f>[1]节奏总纲!X33</f>
        <v>0.47028683579183905</v>
      </c>
      <c r="M33" s="1">
        <f>[1]节奏总纲!Y33</f>
        <v>0.39106210071413816</v>
      </c>
      <c r="N33" s="1">
        <f>[1]节奏总纲!Z33</f>
        <v>0.28969020736830053</v>
      </c>
      <c r="O33" s="1">
        <f>[1]节奏总纲!AA33</f>
        <v>0.16400652588458042</v>
      </c>
      <c r="Q33" s="1">
        <v>30</v>
      </c>
      <c r="R33" s="1">
        <f>[1]节奏总纲!AD33</f>
        <v>49.533352307096472</v>
      </c>
      <c r="S33" s="1">
        <f>[1]节奏总纲!AE33</f>
        <v>51.497823295559343</v>
      </c>
      <c r="T33" s="1">
        <f>[1]节奏总纲!AF33</f>
        <v>54.213705787583436</v>
      </c>
      <c r="U33" s="1">
        <f>[1]节奏总纲!AG33</f>
        <v>58.701446767877648</v>
      </c>
      <c r="V33" s="1">
        <f>[1]节奏总纲!AH33</f>
        <v>67.097551508592701</v>
      </c>
      <c r="Z33" s="2">
        <v>30</v>
      </c>
      <c r="AA33" s="2">
        <f>[1]节奏总纲!AM33</f>
        <v>28.35</v>
      </c>
      <c r="AB33" s="2">
        <f>[1]节奏总纲!AN33</f>
        <v>22.680000000000003</v>
      </c>
      <c r="AC33" s="2">
        <f>[1]节奏总纲!AO33</f>
        <v>17.010000000000002</v>
      </c>
      <c r="AD33" s="2">
        <f>[1]节奏总纲!AP33</f>
        <v>11.340000000000002</v>
      </c>
      <c r="AE33" s="2">
        <f>[1]节奏总纲!AQ33</f>
        <v>5.6700000000000008</v>
      </c>
      <c r="AG33" s="2">
        <v>30</v>
      </c>
      <c r="AH33" s="2">
        <f>[1]节奏总纲!AT33</f>
        <v>4.2752961375811545</v>
      </c>
      <c r="AI33" s="2">
        <f>[1]节奏总纲!AU33</f>
        <v>3.4202369100649257</v>
      </c>
      <c r="AJ33" s="2">
        <f>[1]节奏总纲!AV33</f>
        <v>2.5651776825486934</v>
      </c>
      <c r="AK33" s="2">
        <f>[1]节奏总纲!AW33</f>
        <v>1.7101184550324628</v>
      </c>
      <c r="AL33" s="2">
        <f>[1]节奏总纲!AX33</f>
        <v>0.85505922751623142</v>
      </c>
      <c r="AM33" s="2"/>
      <c r="AN33" s="2">
        <v>30</v>
      </c>
      <c r="AO33" s="2">
        <f>[1]节奏总纲!BA33</f>
        <v>30.329493925593439</v>
      </c>
      <c r="AP33" s="2">
        <f>[1]节奏总纲!BB33</f>
        <v>31.706504654507764</v>
      </c>
      <c r="AQ33" s="2">
        <f>[1]节奏总纲!BC33</f>
        <v>33.487933395889513</v>
      </c>
      <c r="AR33" s="2">
        <f>[1]节奏总纲!BD33</f>
        <v>36.105477566569242</v>
      </c>
      <c r="AS33" s="2">
        <f>[1]节奏总纲!BE33</f>
        <v>40.751734485509814</v>
      </c>
    </row>
    <row r="34" spans="2:45" x14ac:dyDescent="0.15">
      <c r="B34" s="29">
        <f>[1]节奏总纲!N34</f>
        <v>41</v>
      </c>
      <c r="C34" s="1">
        <v>31</v>
      </c>
      <c r="D34" s="1">
        <f>[1]节奏总纲!P34</f>
        <v>7.5741877002903433</v>
      </c>
      <c r="E34" s="1">
        <f>[1]节奏总纲!Q34</f>
        <v>6.6115084435834408</v>
      </c>
      <c r="F34" s="1">
        <f>[1]节奏总纲!R34</f>
        <v>5.4632615882194253</v>
      </c>
      <c r="G34" s="1">
        <f>[1]节奏总纲!S34</f>
        <v>4.052190419655334</v>
      </c>
      <c r="H34" s="1">
        <f>[1]节奏总纲!T34</f>
        <v>2.2783156602473356</v>
      </c>
      <c r="J34" s="1">
        <v>31</v>
      </c>
      <c r="K34" s="1">
        <f>[1]节奏总纲!W34</f>
        <v>0.57418770029034327</v>
      </c>
      <c r="L34" s="1">
        <f>[1]节奏总纲!X34</f>
        <v>0.50890844358344101</v>
      </c>
      <c r="M34" s="1">
        <f>[1]节奏总纲!Y34</f>
        <v>0.42116158821942484</v>
      </c>
      <c r="N34" s="1">
        <f>[1]节奏总纲!Z34</f>
        <v>0.30929041965533433</v>
      </c>
      <c r="O34" s="1">
        <f>[1]节奏总纲!AA34</f>
        <v>0.17761566024733577</v>
      </c>
      <c r="Q34" s="1">
        <v>31</v>
      </c>
      <c r="R34" s="1">
        <f>[1]节奏总纲!AD34</f>
        <v>50</v>
      </c>
      <c r="S34" s="1">
        <f>[1]节奏总纲!AE34</f>
        <v>51.96230476258421</v>
      </c>
      <c r="T34" s="1">
        <f>[1]节奏总纲!AF34</f>
        <v>54.692509339255828</v>
      </c>
      <c r="U34" s="1">
        <f>[1]节奏总纲!AG34</f>
        <v>59.178112178215827</v>
      </c>
      <c r="V34" s="1">
        <f>[1]节奏总纲!AH34</f>
        <v>67.582949939226467</v>
      </c>
      <c r="Z34" s="2">
        <v>31</v>
      </c>
      <c r="AA34" s="2">
        <f>[1]节奏总纲!AM34</f>
        <v>33.357679571112705</v>
      </c>
      <c r="AB34" s="2">
        <f>[1]节奏总纲!AN34</f>
        <v>26.686143656890167</v>
      </c>
      <c r="AC34" s="2">
        <f>[1]节奏总纲!AO34</f>
        <v>20.014607742667621</v>
      </c>
      <c r="AD34" s="2">
        <f>[1]节奏总纲!AP34</f>
        <v>13.343071828445083</v>
      </c>
      <c r="AE34" s="2">
        <f>[1]节奏总纲!AQ34</f>
        <v>6.6715359142225417</v>
      </c>
      <c r="AG34" s="2">
        <v>31</v>
      </c>
      <c r="AH34" s="2">
        <f>[1]节奏总纲!AT34</f>
        <v>5.0076795711127033</v>
      </c>
      <c r="AI34" s="2">
        <f>[1]节奏总纲!AU34</f>
        <v>4.0061436568901634</v>
      </c>
      <c r="AJ34" s="2">
        <f>[1]节奏总纲!AV34</f>
        <v>3.0046077426676199</v>
      </c>
      <c r="AK34" s="2">
        <f>[1]节奏总纲!AW34</f>
        <v>2.0030718284450817</v>
      </c>
      <c r="AL34" s="2">
        <f>[1]节奏总纲!AX34</f>
        <v>1.0015359142225408</v>
      </c>
      <c r="AM34" s="2"/>
      <c r="AN34" s="2">
        <v>31</v>
      </c>
      <c r="AO34" s="2">
        <f>[1]节奏总纲!BA34</f>
        <v>30.529187213831889</v>
      </c>
      <c r="AP34" s="2">
        <f>[1]节奏总纲!BB34</f>
        <v>31.919701782372627</v>
      </c>
      <c r="AQ34" s="2">
        <f>[1]节奏总纲!BC34</f>
        <v>33.695537043746626</v>
      </c>
      <c r="AR34" s="2">
        <f>[1]节奏总纲!BD34</f>
        <v>36.315904388158508</v>
      </c>
      <c r="AS34" s="2">
        <f>[1]节奏总纲!BE34</f>
        <v>40.984830450008978</v>
      </c>
    </row>
    <row r="35" spans="2:45" x14ac:dyDescent="0.15">
      <c r="B35" s="29">
        <f>[1]节奏总纲!N35</f>
        <v>42</v>
      </c>
      <c r="C35" s="1">
        <v>32</v>
      </c>
      <c r="D35" s="1">
        <f>[1]节奏总纲!P35</f>
        <v>8.189586839976279</v>
      </c>
      <c r="E35" s="1">
        <f>[1]节奏总纲!Q35</f>
        <v>7.1519661873512845</v>
      </c>
      <c r="F35" s="1">
        <f>[1]节奏总纲!R35</f>
        <v>5.906330028990892</v>
      </c>
      <c r="G35" s="1">
        <f>[1]节奏总纲!S35</f>
        <v>4.3855237528072974</v>
      </c>
      <c r="H35" s="1">
        <f>[1]节奏总纲!T35</f>
        <v>2.46506563883286</v>
      </c>
      <c r="J35" s="1">
        <v>32</v>
      </c>
      <c r="K35" s="1">
        <f>[1]节奏总纲!W35</f>
        <v>0.61539913968593574</v>
      </c>
      <c r="L35" s="1">
        <f>[1]节奏总纲!X35</f>
        <v>0.54045774376784372</v>
      </c>
      <c r="M35" s="1">
        <f>[1]节奏总纲!Y35</f>
        <v>0.44306844077146668</v>
      </c>
      <c r="N35" s="1">
        <f>[1]节奏总纲!Z35</f>
        <v>0.33333333315196345</v>
      </c>
      <c r="O35" s="1">
        <f>[1]节奏总纲!AA35</f>
        <v>0.18674997858552445</v>
      </c>
      <c r="Q35" s="1">
        <v>32</v>
      </c>
      <c r="R35" s="1">
        <f>[1]节奏总纲!AD35</f>
        <v>50.435397692903535</v>
      </c>
      <c r="S35" s="1">
        <f>[1]节奏总纲!AE35</f>
        <v>52.391506955233744</v>
      </c>
      <c r="T35" s="1">
        <f>[1]节奏总纲!AF35</f>
        <v>55.159275389027101</v>
      </c>
      <c r="U35" s="1">
        <f>[1]节奏总纲!AG35</f>
        <v>59.632093520341421</v>
      </c>
      <c r="V35" s="1">
        <f>[1]节奏总纲!AH35</f>
        <v>68.063981730538742</v>
      </c>
      <c r="Z35" s="2">
        <v>32</v>
      </c>
      <c r="AA35" s="2">
        <f>[1]节奏总纲!AM35</f>
        <v>39.220797956048642</v>
      </c>
      <c r="AB35" s="2">
        <f>[1]节奏总纲!AN35</f>
        <v>31.376638364838914</v>
      </c>
      <c r="AC35" s="2">
        <f>[1]节奏总纲!AO35</f>
        <v>23.532478773629183</v>
      </c>
      <c r="AD35" s="2">
        <f>[1]节奏总纲!AP35</f>
        <v>15.688319182419457</v>
      </c>
      <c r="AE35" s="2">
        <f>[1]节奏总纲!AQ35</f>
        <v>7.8441595912097286</v>
      </c>
      <c r="AG35" s="2">
        <v>32</v>
      </c>
      <c r="AH35" s="2">
        <f>[1]节奏总纲!AT35</f>
        <v>5.8631183849359374</v>
      </c>
      <c r="AI35" s="2">
        <f>[1]节奏总纲!AU35</f>
        <v>4.6904947079487478</v>
      </c>
      <c r="AJ35" s="2">
        <f>[1]节奏总纲!AV35</f>
        <v>3.5178710309615617</v>
      </c>
      <c r="AK35" s="2">
        <f>[1]节奏总纲!AW35</f>
        <v>2.3452473539743739</v>
      </c>
      <c r="AL35" s="2">
        <f>[1]节奏总纲!AX35</f>
        <v>1.1726236769871869</v>
      </c>
      <c r="AM35" s="2"/>
      <c r="AN35" s="2">
        <v>32</v>
      </c>
      <c r="AO35" s="2">
        <f>[1]节奏总纲!BA35</f>
        <v>30.728880502070336</v>
      </c>
      <c r="AP35" s="2">
        <f>[1]节奏总纲!BB35</f>
        <v>32.113552950216736</v>
      </c>
      <c r="AQ35" s="2">
        <f>[1]节奏总纲!BC35</f>
        <v>33.903140691603731</v>
      </c>
      <c r="AR35" s="2">
        <f>[1]节奏总纲!BD35</f>
        <v>36.526331209747774</v>
      </c>
      <c r="AS35" s="2">
        <f>[1]节奏总纲!BE35</f>
        <v>41.188041754455355</v>
      </c>
    </row>
    <row r="36" spans="2:45" x14ac:dyDescent="0.15">
      <c r="B36" s="29">
        <f>[1]节奏总纲!N36</f>
        <v>43</v>
      </c>
      <c r="C36" s="1">
        <v>33</v>
      </c>
      <c r="D36" s="1">
        <f>[1]节奏总纲!P36</f>
        <v>8.8491553067593287</v>
      </c>
      <c r="E36" s="1">
        <f>[1]节奏总纲!Q36</f>
        <v>7.7120388498407557</v>
      </c>
      <c r="F36" s="1">
        <f>[1]节奏总纲!R36</f>
        <v>6.3696219898053652</v>
      </c>
      <c r="G36" s="1">
        <f>[1]节奏总纲!S36</f>
        <v>4.736067920177593</v>
      </c>
      <c r="H36" s="1">
        <f>[1]节奏总纲!T36</f>
        <v>2.6627108318038819</v>
      </c>
      <c r="J36" s="1">
        <v>33</v>
      </c>
      <c r="K36" s="1">
        <f>[1]节奏总纲!W36</f>
        <v>0.6595684667830497</v>
      </c>
      <c r="L36" s="1">
        <f>[1]节奏总纲!X36</f>
        <v>0.56007266248947118</v>
      </c>
      <c r="M36" s="1">
        <f>[1]节奏总纲!Y36</f>
        <v>0.46329196081447321</v>
      </c>
      <c r="N36" s="1">
        <f>[1]节奏总纲!Z36</f>
        <v>0.35054416737029559</v>
      </c>
      <c r="O36" s="1">
        <f>[1]节奏总纲!AA36</f>
        <v>0.1976451929710219</v>
      </c>
      <c r="Q36" s="1">
        <v>33</v>
      </c>
      <c r="R36" s="1">
        <f>[1]节奏总纲!AD36</f>
        <v>50.870795385807064</v>
      </c>
      <c r="S36" s="1">
        <f>[1]节奏总纲!AE36</f>
        <v>52.81759316022675</v>
      </c>
      <c r="T36" s="1">
        <f>[1]节奏总纲!AF36</f>
        <v>55.604435245632025</v>
      </c>
      <c r="U36" s="1">
        <f>[1]节奏总纲!AG36</f>
        <v>60.078368706270226</v>
      </c>
      <c r="V36" s="1">
        <f>[1]节奏总纲!AH36</f>
        <v>68.518369035696878</v>
      </c>
      <c r="Z36" s="2">
        <v>33</v>
      </c>
      <c r="AA36" s="2">
        <f>[1]节奏总纲!AM36</f>
        <v>46.082812923199413</v>
      </c>
      <c r="AB36" s="2">
        <f>[1]节奏总纲!AN36</f>
        <v>36.866250338559531</v>
      </c>
      <c r="AC36" s="2">
        <f>[1]节奏总纲!AO36</f>
        <v>27.649687753919647</v>
      </c>
      <c r="AD36" s="2">
        <f>[1]节奏总纲!AP36</f>
        <v>18.433125169279766</v>
      </c>
      <c r="AE36" s="2">
        <f>[1]节奏总纲!AQ36</f>
        <v>9.2165625846398829</v>
      </c>
      <c r="AG36" s="2">
        <v>33</v>
      </c>
      <c r="AH36" s="2">
        <f>[1]节奏总纲!AT36</f>
        <v>6.8620149671507704</v>
      </c>
      <c r="AI36" s="2">
        <f>[1]节奏总纲!AU36</f>
        <v>5.489611973720617</v>
      </c>
      <c r="AJ36" s="2">
        <f>[1]节奏总纲!AV36</f>
        <v>4.1172089802904637</v>
      </c>
      <c r="AK36" s="2">
        <f>[1]节奏总纲!AW36</f>
        <v>2.7448059868603085</v>
      </c>
      <c r="AL36" s="2">
        <f>[1]节奏总纲!AX36</f>
        <v>1.3724029934301543</v>
      </c>
      <c r="AM36" s="2"/>
      <c r="AN36" s="2">
        <v>33</v>
      </c>
      <c r="AO36" s="2">
        <f>[1]节奏总纲!BA36</f>
        <v>30.928573790308786</v>
      </c>
      <c r="AP36" s="2">
        <f>[1]节奏总纲!BB36</f>
        <v>32.295715187691279</v>
      </c>
      <c r="AQ36" s="2">
        <f>[1]节奏总纲!BC36</f>
        <v>34.09469189131628</v>
      </c>
      <c r="AR36" s="2">
        <f>[1]节奏总纲!BD36</f>
        <v>36.73675803133704</v>
      </c>
      <c r="AS36" s="2">
        <f>[1]节奏总纲!BE36</f>
        <v>41.389172829914081</v>
      </c>
    </row>
    <row r="37" spans="2:45" x14ac:dyDescent="0.15">
      <c r="B37" s="29">
        <f>[1]节奏总纲!N37</f>
        <v>44</v>
      </c>
      <c r="C37" s="1">
        <v>34</v>
      </c>
      <c r="D37" s="1">
        <f>[1]节奏总纲!P37</f>
        <v>9.5560632861831518</v>
      </c>
      <c r="E37" s="1">
        <f>[1]节奏总纲!Q37</f>
        <v>8.3309759728944712</v>
      </c>
      <c r="F37" s="1">
        <f>[1]节奏总纲!R37</f>
        <v>6.8918328419952886</v>
      </c>
      <c r="G37" s="1">
        <f>[1]节奏总纲!S37</f>
        <v>5.1287391656944967</v>
      </c>
      <c r="H37" s="1">
        <f>[1]节奏总纲!T37</f>
        <v>2.8811530807842201</v>
      </c>
      <c r="J37" s="1">
        <v>34</v>
      </c>
      <c r="K37" s="1">
        <f>[1]节奏总纲!W37</f>
        <v>0.70690797942382311</v>
      </c>
      <c r="L37" s="1">
        <f>[1]节奏总纲!X37</f>
        <v>0.61893712305371551</v>
      </c>
      <c r="M37" s="1">
        <f>[1]节奏总纲!Y37</f>
        <v>0.52221085218992336</v>
      </c>
      <c r="N37" s="1">
        <f>[1]节奏总纲!Z37</f>
        <v>0.39267124551690369</v>
      </c>
      <c r="O37" s="1">
        <f>[1]节奏总纲!AA37</f>
        <v>0.21844224898033815</v>
      </c>
      <c r="Q37" s="1">
        <v>34</v>
      </c>
      <c r="R37" s="1">
        <f>[1]节奏总纲!AD37</f>
        <v>51.285688244217212</v>
      </c>
      <c r="S37" s="1">
        <f>[1]节奏总纲!AE37</f>
        <v>53.226994578658328</v>
      </c>
      <c r="T37" s="1">
        <f>[1]节奏总纲!AF37</f>
        <v>56.045896281048073</v>
      </c>
      <c r="U37" s="1">
        <f>[1]节奏总纲!AG37</f>
        <v>60.491705764657482</v>
      </c>
      <c r="V37" s="1">
        <f>[1]节奏总纲!AH37</f>
        <v>68.972756340855</v>
      </c>
      <c r="Z37" s="2">
        <v>34</v>
      </c>
      <c r="AA37" s="2">
        <f>[1]节奏总纲!AM37</f>
        <v>54.110931329932889</v>
      </c>
      <c r="AB37" s="2">
        <f>[1]节奏总纲!AN37</f>
        <v>43.288745063946315</v>
      </c>
      <c r="AC37" s="2">
        <f>[1]节奏总纲!AO37</f>
        <v>32.466558797959735</v>
      </c>
      <c r="AD37" s="2">
        <f>[1]节奏总纲!AP37</f>
        <v>21.644372531973158</v>
      </c>
      <c r="AE37" s="2">
        <f>[1]节奏总纲!AQ37</f>
        <v>10.822186265986579</v>
      </c>
      <c r="AG37" s="2">
        <v>34</v>
      </c>
      <c r="AH37" s="2">
        <f>[1]节奏总纲!AT37</f>
        <v>8.0281184067334763</v>
      </c>
      <c r="AI37" s="2">
        <f>[1]节奏总纲!AU37</f>
        <v>6.4224947253867839</v>
      </c>
      <c r="AJ37" s="2">
        <f>[1]节奏总纲!AV37</f>
        <v>4.8168710440400879</v>
      </c>
      <c r="AK37" s="2">
        <f>[1]节奏总纲!AW37</f>
        <v>3.2112473626933919</v>
      </c>
      <c r="AL37" s="2">
        <f>[1]节奏总纲!AX37</f>
        <v>1.605623681346696</v>
      </c>
      <c r="AM37" s="2"/>
      <c r="AN37" s="2">
        <v>34</v>
      </c>
      <c r="AO37" s="2">
        <f>[1]节奏总纲!BA37</f>
        <v>31.109552696486158</v>
      </c>
      <c r="AP37" s="2">
        <f>[1]节奏总纲!BB37</f>
        <v>32.477877425165822</v>
      </c>
      <c r="AQ37" s="2">
        <f>[1]节奏总纲!BC37</f>
        <v>34.272203285175834</v>
      </c>
      <c r="AR37" s="2">
        <f>[1]节奏总纲!BD37</f>
        <v>36.947184852926306</v>
      </c>
      <c r="AS37" s="2">
        <f>[1]节奏总纲!BE37</f>
        <v>41.590303905372799</v>
      </c>
    </row>
    <row r="38" spans="2:45" x14ac:dyDescent="0.15">
      <c r="B38" s="29">
        <f>[1]节奏总纲!N38</f>
        <v>45</v>
      </c>
      <c r="C38" s="1">
        <v>35</v>
      </c>
      <c r="D38" s="1">
        <f>[1]节奏总纲!P38</f>
        <v>10.313708498984759</v>
      </c>
      <c r="E38" s="1">
        <f>[1]节奏总纲!Q38</f>
        <v>9.0048988904635934</v>
      </c>
      <c r="F38" s="1">
        <f>[1]节奏总纲!R38</f>
        <v>7.4547485030661838</v>
      </c>
      <c r="G38" s="1">
        <f>[1]节奏总纲!S38</f>
        <v>5.5405242056546129</v>
      </c>
      <c r="H38" s="1">
        <f>[1]节奏总纲!T38</f>
        <v>3.1106144832938032</v>
      </c>
      <c r="J38" s="1">
        <v>35</v>
      </c>
      <c r="K38" s="1">
        <f>[1]节奏总纲!W38</f>
        <v>0.75764521280160757</v>
      </c>
      <c r="L38" s="1">
        <f>[1]节奏总纲!X38</f>
        <v>0.67392291756912215</v>
      </c>
      <c r="M38" s="1">
        <f>[1]节奏总纲!Y38</f>
        <v>0.56291566107089519</v>
      </c>
      <c r="N38" s="1">
        <f>[1]节奏总纲!Z38</f>
        <v>0.41178503996011617</v>
      </c>
      <c r="O38" s="1">
        <f>[1]节奏总纲!AA38</f>
        <v>0.22946140250958313</v>
      </c>
      <c r="Q38" s="1">
        <v>35</v>
      </c>
      <c r="R38" s="1">
        <f>[1]节奏总纲!AD38</f>
        <v>51.691928656135211</v>
      </c>
      <c r="S38" s="1">
        <f>[1]节奏总纲!AE38</f>
        <v>53.623906555539456</v>
      </c>
      <c r="T38" s="1">
        <f>[1]节奏总纲!AF38</f>
        <v>56.457855949816349</v>
      </c>
      <c r="U38" s="1">
        <f>[1]节奏总纲!AG38</f>
        <v>60.905042823044738</v>
      </c>
      <c r="V38" s="1">
        <f>[1]节奏总纲!AH38</f>
        <v>69.385288338144662</v>
      </c>
      <c r="Z38" s="2">
        <v>35</v>
      </c>
      <c r="AA38" s="2">
        <f>[1]节奏总纲!AM38</f>
        <v>63.5</v>
      </c>
      <c r="AB38" s="2">
        <f>[1]节奏总纲!AN38</f>
        <v>50.800000000000004</v>
      </c>
      <c r="AC38" s="2">
        <f>[1]节奏总纲!AO38</f>
        <v>38.1</v>
      </c>
      <c r="AD38" s="2">
        <f>[1]节奏总纲!AP38</f>
        <v>25.400000000000002</v>
      </c>
      <c r="AE38" s="2">
        <f>[1]节奏总纲!AQ38</f>
        <v>12.700000000000001</v>
      </c>
      <c r="AG38" s="2">
        <v>35</v>
      </c>
      <c r="AH38" s="2">
        <f>[1]节奏总纲!AT38</f>
        <v>9.3890686700671111</v>
      </c>
      <c r="AI38" s="2">
        <f>[1]节奏总纲!AU38</f>
        <v>7.5112549360536889</v>
      </c>
      <c r="AJ38" s="2">
        <f>[1]节奏总纲!AV38</f>
        <v>5.6334412020402667</v>
      </c>
      <c r="AK38" s="2">
        <f>[1]节奏总纲!AW38</f>
        <v>3.7556274680268444</v>
      </c>
      <c r="AL38" s="2">
        <f>[1]节奏总纲!AX38</f>
        <v>1.8778137340134222</v>
      </c>
      <c r="AM38" s="2"/>
      <c r="AN38" s="2">
        <v>35</v>
      </c>
      <c r="AO38" s="2">
        <f>[1]节奏总纲!BA38</f>
        <v>31.280110398778046</v>
      </c>
      <c r="AP38" s="2">
        <f>[1]节奏总纲!BB38</f>
        <v>32.660039662640372</v>
      </c>
      <c r="AQ38" s="2">
        <f>[1]节奏总纲!BC38</f>
        <v>34.449714679035388</v>
      </c>
      <c r="AR38" s="2">
        <f>[1]节奏总纲!BD38</f>
        <v>37.135950591746003</v>
      </c>
      <c r="AS38" s="2">
        <f>[1]节奏总纲!BE38</f>
        <v>41.791434980831518</v>
      </c>
    </row>
    <row r="39" spans="2:45" x14ac:dyDescent="0.15">
      <c r="B39" s="29">
        <f>[1]节奏总纲!N39</f>
        <v>46</v>
      </c>
      <c r="C39" s="1">
        <v>36</v>
      </c>
      <c r="D39" s="1">
        <f>[1]节奏总纲!P39</f>
        <v>11.125732532083184</v>
      </c>
      <c r="E39" s="1">
        <f>[1]节奏总纲!Q39</f>
        <v>9.7261153795471191</v>
      </c>
      <c r="F39" s="1">
        <f>[1]节奏总纲!R39</f>
        <v>8.0405669009365166</v>
      </c>
      <c r="G39" s="1">
        <f>[1]节奏总纲!S39</f>
        <v>5.9700680767158358</v>
      </c>
      <c r="H39" s="1">
        <f>[1]节奏总纲!T39</f>
        <v>3.3388323328781633</v>
      </c>
      <c r="J39" s="1">
        <v>36</v>
      </c>
      <c r="K39" s="1">
        <f>[1]节奏总纲!W39</f>
        <v>0.81202403309842452</v>
      </c>
      <c r="L39" s="1">
        <f>[1]节奏总纲!X39</f>
        <v>0.72121648908352576</v>
      </c>
      <c r="M39" s="1">
        <f>[1]节奏总纲!Y39</f>
        <v>0.58581839787033285</v>
      </c>
      <c r="N39" s="1">
        <f>[1]节奏总纲!Z39</f>
        <v>0.42954387106122294</v>
      </c>
      <c r="O39" s="1">
        <f>[1]节奏总纲!AA39</f>
        <v>0.22821784958436009</v>
      </c>
      <c r="Q39" s="1">
        <v>36</v>
      </c>
      <c r="R39" s="1">
        <f>[1]节奏总纲!AD39</f>
        <v>52.091594979242075</v>
      </c>
      <c r="S39" s="1">
        <f>[1]节奏总纲!AE39</f>
        <v>54.020289560649204</v>
      </c>
      <c r="T39" s="1">
        <f>[1]节奏总纲!AF39</f>
        <v>56.869815618584624</v>
      </c>
      <c r="U39" s="1">
        <f>[1]节奏总纲!AG39</f>
        <v>61.294362422865476</v>
      </c>
      <c r="V39" s="1">
        <f>[1]节奏总纲!AH39</f>
        <v>69.795150761037945</v>
      </c>
      <c r="Z39" s="2">
        <v>36</v>
      </c>
      <c r="AA39" s="2">
        <f>[1]节奏总纲!AM39</f>
        <v>73.746861667008318</v>
      </c>
      <c r="AB39" s="2">
        <f>[1]节奏总纲!AN39</f>
        <v>58.997489333606659</v>
      </c>
      <c r="AC39" s="2">
        <f>[1]节奏总纲!AO39</f>
        <v>44.248117000204992</v>
      </c>
      <c r="AD39" s="2">
        <f>[1]节奏总纲!AP39</f>
        <v>29.498744666803329</v>
      </c>
      <c r="AE39" s="2">
        <f>[1]节奏总纲!AQ39</f>
        <v>14.749372333401665</v>
      </c>
      <c r="AG39" s="2">
        <v>36</v>
      </c>
      <c r="AH39" s="2">
        <f>[1]节奏总纲!AT39</f>
        <v>10.246861667008318</v>
      </c>
      <c r="AI39" s="2">
        <f>[1]节奏总纲!AU39</f>
        <v>8.1974893336066543</v>
      </c>
      <c r="AJ39" s="2">
        <f>[1]节奏总纲!AV39</f>
        <v>6.1481170002049907</v>
      </c>
      <c r="AK39" s="2">
        <f>[1]节奏总纲!AW39</f>
        <v>4.0987446668033272</v>
      </c>
      <c r="AL39" s="2">
        <f>[1]节奏总纲!AX39</f>
        <v>2.0493723334016636</v>
      </c>
      <c r="AM39" s="2"/>
      <c r="AN39" s="2">
        <v>36</v>
      </c>
      <c r="AO39" s="2">
        <f>[1]节奏总纲!BA39</f>
        <v>31.450668101069933</v>
      </c>
      <c r="AP39" s="2">
        <f>[1]节奏总纲!BB39</f>
        <v>32.842201900114915</v>
      </c>
      <c r="AQ39" s="2">
        <f>[1]节奏总纲!BC39</f>
        <v>34.627226072894942</v>
      </c>
      <c r="AR39" s="2">
        <f>[1]节奏总纲!BD39</f>
        <v>37.317457773889828</v>
      </c>
      <c r="AS39" s="2">
        <f>[1]节奏总纲!BE39</f>
        <v>41.992566056290244</v>
      </c>
    </row>
    <row r="40" spans="2:45" x14ac:dyDescent="0.15">
      <c r="B40" s="29">
        <f>[1]节奏总纲!N40</f>
        <v>47</v>
      </c>
      <c r="C40" s="1">
        <v>37</v>
      </c>
      <c r="D40" s="1">
        <f>[1]节奏总纲!P40</f>
        <v>11.996038341699768</v>
      </c>
      <c r="E40" s="1">
        <f>[1]节奏总纲!Q40</f>
        <v>10.483337906811427</v>
      </c>
      <c r="F40" s="1">
        <f>[1]节奏总纲!R40</f>
        <v>8.6671377018780831</v>
      </c>
      <c r="G40" s="1">
        <f>[1]节奏总纲!S40</f>
        <v>6.4166809089752066</v>
      </c>
      <c r="H40" s="1">
        <f>[1]节奏总纲!T40</f>
        <v>3.6000111063441</v>
      </c>
      <c r="J40" s="1">
        <v>37</v>
      </c>
      <c r="K40" s="1">
        <f>[1]节奏总纲!W40</f>
        <v>0.87030580961658366</v>
      </c>
      <c r="L40" s="1">
        <f>[1]节奏总纲!X40</f>
        <v>0.75722252726430739</v>
      </c>
      <c r="M40" s="1">
        <f>[1]节奏总纲!Y40</f>
        <v>0.62657080094156647</v>
      </c>
      <c r="N40" s="1">
        <f>[1]节奏总纲!Z40</f>
        <v>0.44661283225937076</v>
      </c>
      <c r="O40" s="1">
        <f>[1]节奏总纲!AA40</f>
        <v>0.26117877346593676</v>
      </c>
      <c r="Q40" s="1">
        <v>37</v>
      </c>
      <c r="R40" s="1">
        <f>[1]节奏总纲!AD40</f>
        <v>52.470630686057078</v>
      </c>
      <c r="S40" s="1">
        <f>[1]节奏总纲!AE40</f>
        <v>54.407116521581436</v>
      </c>
      <c r="T40" s="1">
        <f>[1]节奏总纲!AF40</f>
        <v>57.263329041432932</v>
      </c>
      <c r="U40" s="1">
        <f>[1]节奏总纲!AG40</f>
        <v>61.676518787205197</v>
      </c>
      <c r="V40" s="1">
        <f>[1]节奏总纲!AH40</f>
        <v>70.190427169053478</v>
      </c>
      <c r="Z40" s="2">
        <v>37</v>
      </c>
      <c r="AA40" s="2">
        <f>[1]节奏总纲!AM40</f>
        <v>85.62747641525452</v>
      </c>
      <c r="AB40" s="2">
        <f>[1]节奏总纲!AN40</f>
        <v>68.501981132203625</v>
      </c>
      <c r="AC40" s="2">
        <f>[1]节奏总纲!AO40</f>
        <v>51.376485849152708</v>
      </c>
      <c r="AD40" s="2">
        <f>[1]节奏总纲!AP40</f>
        <v>34.250990566101812</v>
      </c>
      <c r="AE40" s="2">
        <f>[1]节奏总纲!AQ40</f>
        <v>17.125495283050906</v>
      </c>
      <c r="AG40" s="2">
        <v>37</v>
      </c>
      <c r="AH40" s="2">
        <f>[1]节奏总纲!AT40</f>
        <v>11.880614748246202</v>
      </c>
      <c r="AI40" s="2">
        <f>[1]节奏总纲!AU40</f>
        <v>9.5044917985969661</v>
      </c>
      <c r="AJ40" s="2">
        <f>[1]节奏总纲!AV40</f>
        <v>7.1283688489477157</v>
      </c>
      <c r="AK40" s="2">
        <f>[1]节奏总纲!AW40</f>
        <v>4.7522458992984831</v>
      </c>
      <c r="AL40" s="2">
        <f>[1]节奏总纲!AX40</f>
        <v>2.3761229496492415</v>
      </c>
      <c r="AM40" s="2"/>
      <c r="AN40" s="2">
        <v>37</v>
      </c>
      <c r="AO40" s="2">
        <f>[1]节奏总纲!BA40</f>
        <v>31.621225803361821</v>
      </c>
      <c r="AP40" s="2">
        <f>[1]节奏总纲!BB40</f>
        <v>33.02082518821102</v>
      </c>
      <c r="AQ40" s="2">
        <f>[1]节奏总纲!BC40</f>
        <v>34.804737466754489</v>
      </c>
      <c r="AR40" s="2">
        <f>[1]节奏总纲!BD40</f>
        <v>37.498964956033646</v>
      </c>
      <c r="AS40" s="2">
        <f>[1]节奏总纲!BE40</f>
        <v>42.167148737437564</v>
      </c>
    </row>
    <row r="41" spans="2:45" x14ac:dyDescent="0.15">
      <c r="B41" s="29">
        <f>[1]节奏总纲!N41</f>
        <v>48</v>
      </c>
      <c r="C41" s="1">
        <v>38</v>
      </c>
      <c r="D41" s="1">
        <f>[1]节奏总纲!P41</f>
        <v>12.928809012737984</v>
      </c>
      <c r="E41" s="1">
        <f>[1]节奏总纲!Q41</f>
        <v>11.292021791725356</v>
      </c>
      <c r="F41" s="1">
        <f>[1]节奏总纲!R41</f>
        <v>9.3190855363815395</v>
      </c>
      <c r="G41" s="1">
        <f>[1]节奏总纲!S41</f>
        <v>6.8962267273944402</v>
      </c>
      <c r="H41" s="1">
        <f>[1]节奏总纲!T41</f>
        <v>3.8708854184137524</v>
      </c>
      <c r="J41" s="1">
        <v>38</v>
      </c>
      <c r="K41" s="1">
        <f>[1]节奏总纲!W41</f>
        <v>0.93277067103821665</v>
      </c>
      <c r="L41" s="1">
        <f>[1]节奏总纲!X41</f>
        <v>0.80868388491392906</v>
      </c>
      <c r="M41" s="1">
        <f>[1]节奏总纲!Y41</f>
        <v>0.65194783450345639</v>
      </c>
      <c r="N41" s="1">
        <f>[1]节奏总纲!Z41</f>
        <v>0.4795458184192336</v>
      </c>
      <c r="O41" s="1">
        <f>[1]节奏总纲!AA41</f>
        <v>0.2708743120696524</v>
      </c>
      <c r="Q41" s="1">
        <v>38</v>
      </c>
      <c r="R41" s="1">
        <f>[1]节奏总纲!AD41</f>
        <v>52.849666392872081</v>
      </c>
      <c r="S41" s="1">
        <f>[1]节奏总纲!AE41</f>
        <v>54.793943482513676</v>
      </c>
      <c r="T41" s="1">
        <f>[1]节奏总纲!AF41</f>
        <v>57.64832002380362</v>
      </c>
      <c r="U41" s="1">
        <f>[1]节奏总纲!AG41</f>
        <v>62.054222259937362</v>
      </c>
      <c r="V41" s="1">
        <f>[1]节奏总纲!AH41</f>
        <v>70.571129226337533</v>
      </c>
      <c r="Z41" s="2">
        <v>38</v>
      </c>
      <c r="AA41" s="2">
        <f>[1]节奏总纲!AM41</f>
        <v>99.401036064365428</v>
      </c>
      <c r="AB41" s="2">
        <f>[1]节奏总纲!AN41</f>
        <v>79.520828851492354</v>
      </c>
      <c r="AC41" s="2">
        <f>[1]节奏总纲!AO41</f>
        <v>59.640621638619251</v>
      </c>
      <c r="AD41" s="2">
        <f>[1]节奏总纲!AP41</f>
        <v>39.760414425746177</v>
      </c>
      <c r="AE41" s="2">
        <f>[1]节奏总纲!AQ41</f>
        <v>19.880207212873088</v>
      </c>
      <c r="AG41" s="2">
        <v>38</v>
      </c>
      <c r="AH41" s="2">
        <f>[1]节奏总纲!AT41</f>
        <v>13.773559649110908</v>
      </c>
      <c r="AI41" s="2">
        <f>[1]节奏总纲!AU41</f>
        <v>11.018847719288729</v>
      </c>
      <c r="AJ41" s="2">
        <f>[1]节奏总纲!AV41</f>
        <v>8.2641357894665433</v>
      </c>
      <c r="AK41" s="2">
        <f>[1]节奏总纲!AW41</f>
        <v>5.5094238596443645</v>
      </c>
      <c r="AL41" s="2">
        <f>[1]节奏总纲!AX41</f>
        <v>2.7547119298221823</v>
      </c>
      <c r="AM41" s="2"/>
      <c r="AN41" s="2">
        <v>38</v>
      </c>
      <c r="AO41" s="2">
        <f>[1]节奏总纲!BA41</f>
        <v>31.791783505653711</v>
      </c>
      <c r="AP41" s="2">
        <f>[1]节奏总纲!BB41</f>
        <v>33.176527924103851</v>
      </c>
      <c r="AQ41" s="2">
        <f>[1]节奏总纲!BC41</f>
        <v>34.982248860614042</v>
      </c>
      <c r="AR41" s="2">
        <f>[1]节奏总纲!BD41</f>
        <v>37.680472138177471</v>
      </c>
      <c r="AS41" s="2">
        <f>[1]节奏总纲!BE41</f>
        <v>42.340712512072891</v>
      </c>
    </row>
    <row r="42" spans="2:45" x14ac:dyDescent="0.15">
      <c r="B42" s="29">
        <f>[1]节奏总纲!N42</f>
        <v>49</v>
      </c>
      <c r="C42" s="1">
        <v>39</v>
      </c>
      <c r="D42" s="1">
        <f>[1]节奏总纲!P42</f>
        <v>13.928527864588917</v>
      </c>
      <c r="E42" s="1">
        <f>[1]节奏总纲!Q42</f>
        <v>12.147069150707994</v>
      </c>
      <c r="F42" s="1">
        <f>[1]节奏总纲!R42</f>
        <v>10.016004387425889</v>
      </c>
      <c r="G42" s="1">
        <f>[1]节奏总纲!S42</f>
        <v>7.4197267934665154</v>
      </c>
      <c r="H42" s="1">
        <f>[1]节奏总纲!T42</f>
        <v>4.1702012426579218</v>
      </c>
      <c r="J42" s="1">
        <v>39</v>
      </c>
      <c r="K42" s="1">
        <f>[1]节奏总纲!W42</f>
        <v>0.99971885185093257</v>
      </c>
      <c r="L42" s="1">
        <f>[1]节奏总纲!X42</f>
        <v>0.85504735898263817</v>
      </c>
      <c r="M42" s="1">
        <f>[1]节奏总纲!Y42</f>
        <v>0.69691885104434981</v>
      </c>
      <c r="N42" s="1">
        <f>[1]节奏总纲!Z42</f>
        <v>0.52350006607207522</v>
      </c>
      <c r="O42" s="1">
        <f>[1]节奏总纲!AA42</f>
        <v>0.29931582424416936</v>
      </c>
      <c r="Q42" s="1">
        <v>39</v>
      </c>
      <c r="R42" s="1">
        <f>[1]节奏总纲!AD42</f>
        <v>53.213386604241784</v>
      </c>
      <c r="S42" s="1">
        <f>[1]节奏总纲!AE42</f>
        <v>55.170390866416149</v>
      </c>
      <c r="T42" s="1">
        <f>[1]节奏总纲!AF42</f>
        <v>58.030740707238266</v>
      </c>
      <c r="U42" s="1">
        <f>[1]节奏总纲!AG42</f>
        <v>62.407376554018477</v>
      </c>
      <c r="V42" s="1">
        <f>[1]节奏总纲!AH42</f>
        <v>70.951831283621587</v>
      </c>
      <c r="Z42" s="2">
        <v>39</v>
      </c>
      <c r="AA42" s="2">
        <f>[1]节奏总纲!AM42</f>
        <v>115.36769098598003</v>
      </c>
      <c r="AB42" s="2">
        <f>[1]节奏总纲!AN42</f>
        <v>92.294152788784032</v>
      </c>
      <c r="AC42" s="2">
        <f>[1]节奏总纲!AO42</f>
        <v>69.220614591588017</v>
      </c>
      <c r="AD42" s="2">
        <f>[1]节奏总纲!AP42</f>
        <v>46.147076394392016</v>
      </c>
      <c r="AE42" s="2">
        <f>[1]节奏总纲!AQ42</f>
        <v>23.073538197196008</v>
      </c>
      <c r="AG42" s="2">
        <v>39</v>
      </c>
      <c r="AH42" s="2">
        <f>[1]节奏总纲!AT42</f>
        <v>15.966654921614605</v>
      </c>
      <c r="AI42" s="2">
        <f>[1]节奏总纲!AU42</f>
        <v>12.773323937291678</v>
      </c>
      <c r="AJ42" s="2">
        <f>[1]节奏总纲!AV42</f>
        <v>9.579992952968766</v>
      </c>
      <c r="AK42" s="2">
        <f>[1]节奏总纲!AW42</f>
        <v>6.3866619686458392</v>
      </c>
      <c r="AL42" s="2">
        <f>[1]节奏总纲!AX42</f>
        <v>3.1933309843229196</v>
      </c>
      <c r="AM42" s="2"/>
      <c r="AN42" s="2">
        <v>39</v>
      </c>
      <c r="AO42" s="2">
        <f>[1]节奏总纲!BA42</f>
        <v>31.962341207945599</v>
      </c>
      <c r="AP42" s="2">
        <f>[1]节奏总纲!BB42</f>
        <v>33.332230659996682</v>
      </c>
      <c r="AQ42" s="2">
        <f>[1]节奏总纲!BC42</f>
        <v>35.146386283795508</v>
      </c>
      <c r="AR42" s="2">
        <f>[1]节奏总纲!BD42</f>
        <v>37.861979320321296</v>
      </c>
      <c r="AS42" s="2">
        <f>[1]节奏总纲!BE42</f>
        <v>42.51427628670821</v>
      </c>
    </row>
    <row r="43" spans="2:45" x14ac:dyDescent="0.15">
      <c r="B43" s="29">
        <f>[1]节奏总纲!N43</f>
        <v>50</v>
      </c>
      <c r="C43" s="1">
        <v>40</v>
      </c>
      <c r="D43" s="1">
        <f>[1]节奏总纲!P43</f>
        <v>15</v>
      </c>
      <c r="E43" s="1">
        <f>[1]节奏总纲!Q43</f>
        <v>13.059000000000001</v>
      </c>
      <c r="F43" s="1">
        <f>[1]节奏总纲!R43</f>
        <v>10.782</v>
      </c>
      <c r="G43" s="1">
        <f>[1]节奏总纲!S43</f>
        <v>8.0009999999999994</v>
      </c>
      <c r="H43" s="1">
        <f>[1]节奏总纲!T43</f>
        <v>4.5</v>
      </c>
      <c r="J43" s="1">
        <v>40</v>
      </c>
      <c r="K43" s="1">
        <f>[1]节奏总纲!W43</f>
        <v>1.0714721354110832</v>
      </c>
      <c r="L43" s="1">
        <f>[1]节奏总纲!X43</f>
        <v>0.9119308492920073</v>
      </c>
      <c r="M43" s="1">
        <f>[1]节奏总纲!Y43</f>
        <v>0.76599561257411075</v>
      </c>
      <c r="N43" s="1">
        <f>[1]节奏总纲!Z43</f>
        <v>0.58127320653348402</v>
      </c>
      <c r="O43" s="1">
        <f>[1]节奏总纲!AA43</f>
        <v>0.3297987573420782</v>
      </c>
      <c r="Q43" s="1">
        <v>40</v>
      </c>
      <c r="R43" s="1">
        <f>[1]节奏总纲!AD43</f>
        <v>53.567039423670657</v>
      </c>
      <c r="S43" s="1">
        <f>[1]节奏总纲!AE43</f>
        <v>55.535006783542492</v>
      </c>
      <c r="T43" s="1">
        <f>[1]节奏总纲!AF43</f>
        <v>58.38602553461638</v>
      </c>
      <c r="U43" s="1">
        <f>[1]节奏总纲!AG43</f>
        <v>62.760530848099599</v>
      </c>
      <c r="V43" s="1">
        <f>[1]节奏总纲!AH43</f>
        <v>71.315281959371688</v>
      </c>
      <c r="Z43" s="2">
        <v>40</v>
      </c>
      <c r="AA43" s="2">
        <f>[1]节奏总纲!AM43</f>
        <v>133.875</v>
      </c>
      <c r="AB43" s="2">
        <f>[1]节奏总纲!AN43</f>
        <v>107.10000000000001</v>
      </c>
      <c r="AC43" s="2">
        <f>[1]节奏总纲!AO43</f>
        <v>80.325000000000003</v>
      </c>
      <c r="AD43" s="2">
        <f>[1]节奏总纲!AP43</f>
        <v>53.550000000000004</v>
      </c>
      <c r="AE43" s="2">
        <f>[1]节奏总纲!AQ43</f>
        <v>26.775000000000002</v>
      </c>
      <c r="AG43" s="2">
        <v>40</v>
      </c>
      <c r="AH43" s="2">
        <f>[1]节奏总纲!AT43</f>
        <v>18.507309014019967</v>
      </c>
      <c r="AI43" s="2">
        <f>[1]节奏总纲!AU43</f>
        <v>14.805847211215976</v>
      </c>
      <c r="AJ43" s="2">
        <f>[1]节奏总纲!AV43</f>
        <v>11.104385408411986</v>
      </c>
      <c r="AK43" s="2">
        <f>[1]节奏总纲!AW43</f>
        <v>7.4029236056079881</v>
      </c>
      <c r="AL43" s="2">
        <f>[1]节奏总纲!AX43</f>
        <v>3.7014618028039941</v>
      </c>
      <c r="AM43" s="2"/>
      <c r="AN43" s="2">
        <v>40</v>
      </c>
      <c r="AO43" s="2">
        <f>[1]节奏总纲!BA43</f>
        <v>32.113552950216736</v>
      </c>
      <c r="AP43" s="2">
        <f>[1]节奏总纲!BB43</f>
        <v>33.487933395889513</v>
      </c>
      <c r="AQ43" s="2">
        <f>[1]节奏总纲!BC43</f>
        <v>35.309037710234961</v>
      </c>
      <c r="AR43" s="2">
        <f>[1]节奏总纲!BD43</f>
        <v>38.037513426486328</v>
      </c>
      <c r="AS43" s="2">
        <f>[1]节奏总纲!BE43</f>
        <v>42.687840061343536</v>
      </c>
    </row>
    <row r="44" spans="2:45" x14ac:dyDescent="0.15">
      <c r="B44" s="29">
        <f>[1]节奏总纲!N44</f>
        <v>51</v>
      </c>
      <c r="C44" s="1">
        <v>41</v>
      </c>
      <c r="D44" s="1">
        <f>[1]节奏总纲!P44</f>
        <v>16.148375400580683</v>
      </c>
      <c r="E44" s="1">
        <f>[1]节奏总纲!Q44</f>
        <v>14.065234973905774</v>
      </c>
      <c r="F44" s="1">
        <f>[1]节奏总纲!R44</f>
        <v>11.621985775797917</v>
      </c>
      <c r="G44" s="1">
        <f>[1]节奏总纲!S44</f>
        <v>8.6296918140703163</v>
      </c>
      <c r="H44" s="1">
        <f>[1]节奏总纲!T44</f>
        <v>4.8606609955747855</v>
      </c>
      <c r="J44" s="1">
        <v>41</v>
      </c>
      <c r="K44" s="1">
        <f>[1]节奏总纲!W44</f>
        <v>1.148375400580683</v>
      </c>
      <c r="L44" s="1">
        <f>[1]节奏总纲!X44</f>
        <v>1.006234973905773</v>
      </c>
      <c r="M44" s="1">
        <f>[1]节奏总纲!Y44</f>
        <v>0.839985775797917</v>
      </c>
      <c r="N44" s="1">
        <f>[1]节奏总纲!Z44</f>
        <v>0.62869181407031682</v>
      </c>
      <c r="O44" s="1">
        <f>[1]节奏总纲!AA44</f>
        <v>0.36066099557478548</v>
      </c>
      <c r="Q44" s="1">
        <v>41</v>
      </c>
      <c r="R44" s="1">
        <f>[1]节奏总纲!AD44</f>
        <v>53.920692243099523</v>
      </c>
      <c r="S44" s="1">
        <f>[1]节奏总纲!AE44</f>
        <v>55.899622700668843</v>
      </c>
      <c r="T44" s="1">
        <f>[1]节奏总纲!AF44</f>
        <v>58.741310361994486</v>
      </c>
      <c r="U44" s="1">
        <f>[1]节奏总纲!AG44</f>
        <v>63.10587219844583</v>
      </c>
      <c r="V44" s="1">
        <f>[1]节奏总纲!AH44</f>
        <v>71.676233707038421</v>
      </c>
      <c r="Z44" s="2">
        <v>41</v>
      </c>
      <c r="AA44" s="2">
        <f>[1]节奏总纲!AM44</f>
        <v>155.32539280599755</v>
      </c>
      <c r="AB44" s="2">
        <f>[1]节奏总纲!AN44</f>
        <v>124.26031424479805</v>
      </c>
      <c r="AC44" s="2">
        <f>[1]节奏总纲!AO44</f>
        <v>93.195235683598526</v>
      </c>
      <c r="AD44" s="2">
        <f>[1]节奏总纲!AP44</f>
        <v>62.130157122399027</v>
      </c>
      <c r="AE44" s="2">
        <f>[1]节奏总纲!AQ44</f>
        <v>31.065078561199513</v>
      </c>
      <c r="AG44" s="2">
        <v>41</v>
      </c>
      <c r="AH44" s="2">
        <f>[1]节奏总纲!AT44</f>
        <v>21.450392805997552</v>
      </c>
      <c r="AI44" s="2">
        <f>[1]节奏总纲!AU44</f>
        <v>17.160314244798045</v>
      </c>
      <c r="AJ44" s="2">
        <f>[1]节奏总纲!AV44</f>
        <v>12.870235683598523</v>
      </c>
      <c r="AK44" s="2">
        <f>[1]节奏总纲!AW44</f>
        <v>8.5801571223990223</v>
      </c>
      <c r="AL44" s="2">
        <f>[1]节奏总纲!AX44</f>
        <v>4.2900785611995111</v>
      </c>
      <c r="AM44" s="2"/>
      <c r="AN44" s="2">
        <v>41</v>
      </c>
      <c r="AO44" s="2">
        <f>[1]节奏总纲!BA44</f>
        <v>32.259282740196369</v>
      </c>
      <c r="AP44" s="2">
        <f>[1]节奏总纲!BB44</f>
        <v>33.643636131782344</v>
      </c>
      <c r="AQ44" s="2">
        <f>[1]节奏总纲!BC44</f>
        <v>35.471689136674414</v>
      </c>
      <c r="AR44" s="2">
        <f>[1]节奏总纲!BD44</f>
        <v>38.194089742081125</v>
      </c>
      <c r="AS44" s="2">
        <f>[1]节奏总纲!BE44</f>
        <v>42.861403835978855</v>
      </c>
    </row>
    <row r="45" spans="2:45" x14ac:dyDescent="0.15">
      <c r="B45" s="29">
        <f>[1]节奏总纲!N45</f>
        <v>52</v>
      </c>
      <c r="C45" s="1">
        <v>42</v>
      </c>
      <c r="D45" s="1">
        <f>[1]节奏总纲!P45</f>
        <v>17.379173679952558</v>
      </c>
      <c r="E45" s="1">
        <f>[1]节奏总纲!Q45</f>
        <v>15.182446126806555</v>
      </c>
      <c r="F45" s="1">
        <f>[1]节奏总纲!R45</f>
        <v>12.547763396925747</v>
      </c>
      <c r="G45" s="1">
        <f>[1]节奏总纲!S45</f>
        <v>9.3221887619265527</v>
      </c>
      <c r="H45" s="1">
        <f>[1]节奏总纲!T45</f>
        <v>5.2485104513456724</v>
      </c>
      <c r="J45" s="1">
        <v>42</v>
      </c>
      <c r="K45" s="1">
        <f>[1]节奏总纲!W45</f>
        <v>1.230798279371875</v>
      </c>
      <c r="L45" s="1">
        <f>[1]节奏总纲!X45</f>
        <v>1.1172111529007811</v>
      </c>
      <c r="M45" s="1">
        <f>[1]节奏总纲!Y45</f>
        <v>0.92577762112783013</v>
      </c>
      <c r="N45" s="1">
        <f>[1]节奏总纲!Z45</f>
        <v>0.69249694785623639</v>
      </c>
      <c r="O45" s="1">
        <f>[1]节奏总纲!AA45</f>
        <v>0.38784945577088692</v>
      </c>
      <c r="Q45" s="1">
        <v>42</v>
      </c>
      <c r="R45" s="1">
        <f>[1]节奏总纲!AD45</f>
        <v>54.255972994404218</v>
      </c>
      <c r="S45" s="1">
        <f>[1]节奏总纲!AE45</f>
        <v>56.238779717153008</v>
      </c>
      <c r="T45" s="1">
        <f>[1]节奏总纲!AF45</f>
        <v>59.09095196730258</v>
      </c>
      <c r="U45" s="1">
        <f>[1]节奏总纲!AG45</f>
        <v>63.434756173851497</v>
      </c>
      <c r="V45" s="1">
        <f>[1]节奏总纲!AH45</f>
        <v>72.034562459436771</v>
      </c>
      <c r="Z45" s="2">
        <v>42</v>
      </c>
      <c r="AA45" s="2">
        <f>[1]节奏总纲!AM45</f>
        <v>180.18480345945557</v>
      </c>
      <c r="AB45" s="2">
        <f>[1]节奏总纲!AN45</f>
        <v>144.14784276756447</v>
      </c>
      <c r="AC45" s="2">
        <f>[1]节奏总纲!AO45</f>
        <v>108.11088207567333</v>
      </c>
      <c r="AD45" s="2">
        <f>[1]节奏总纲!AP45</f>
        <v>72.073921383782235</v>
      </c>
      <c r="AE45" s="2">
        <f>[1]节奏总纲!AQ45</f>
        <v>36.036960691891117</v>
      </c>
      <c r="AG45" s="2">
        <v>42</v>
      </c>
      <c r="AH45" s="2">
        <f>[1]节奏总纲!AT45</f>
        <v>24.859410653458013</v>
      </c>
      <c r="AI45" s="2">
        <f>[1]节奏总纲!AU45</f>
        <v>19.887528522766416</v>
      </c>
      <c r="AJ45" s="2">
        <f>[1]节奏总纲!AV45</f>
        <v>14.915646392074805</v>
      </c>
      <c r="AK45" s="2">
        <f>[1]节奏总纲!AW45</f>
        <v>9.9437642613832082</v>
      </c>
      <c r="AL45" s="2">
        <f>[1]节奏总纲!AX45</f>
        <v>4.9718821306916041</v>
      </c>
      <c r="AM45" s="2"/>
      <c r="AN45" s="2">
        <v>42</v>
      </c>
      <c r="AO45" s="2">
        <f>[1]节奏总纲!BA45</f>
        <v>32.405012530176009</v>
      </c>
      <c r="AP45" s="2">
        <f>[1]节奏总纲!BB45</f>
        <v>33.799338867675175</v>
      </c>
      <c r="AQ45" s="2">
        <f>[1]节奏总纲!BC45</f>
        <v>35.634340563113874</v>
      </c>
      <c r="AR45" s="2">
        <f>[1]节奏总纲!BD45</f>
        <v>38.35066605767593</v>
      </c>
      <c r="AS45" s="2">
        <f>[1]节奏总纲!BE45</f>
        <v>43.030177309109042</v>
      </c>
    </row>
    <row r="46" spans="2:45" x14ac:dyDescent="0.15">
      <c r="B46" s="29">
        <f>[1]节奏总纲!N46</f>
        <v>53</v>
      </c>
      <c r="C46" s="1">
        <v>43</v>
      </c>
      <c r="D46" s="1">
        <f>[1]节奏总纲!P46</f>
        <v>18.698310613518661</v>
      </c>
      <c r="E46" s="1">
        <f>[1]节奏总纲!Q46</f>
        <v>16.338583814092605</v>
      </c>
      <c r="F46" s="1">
        <f>[1]节奏总纲!R46</f>
        <v>13.509529418267233</v>
      </c>
      <c r="G46" s="1">
        <f>[1]节奏总纲!S46</f>
        <v>10.020424657784652</v>
      </c>
      <c r="H46" s="1">
        <f>[1]节奏总纲!T46</f>
        <v>5.6394104810372276</v>
      </c>
      <c r="J46" s="1">
        <v>43</v>
      </c>
      <c r="K46" s="1">
        <f>[1]节奏总纲!W46</f>
        <v>1.319136933566103</v>
      </c>
      <c r="L46" s="1">
        <f>[1]节奏总纲!X46</f>
        <v>1.1561376872860496</v>
      </c>
      <c r="M46" s="1">
        <f>[1]节奏总纲!Y46</f>
        <v>0.96176602134148581</v>
      </c>
      <c r="N46" s="1">
        <f>[1]节奏总纲!Z46</f>
        <v>0.6982358958580992</v>
      </c>
      <c r="O46" s="1">
        <f>[1]节奏总纲!AA46</f>
        <v>0.39090002969155524</v>
      </c>
      <c r="Q46" s="1">
        <v>43</v>
      </c>
      <c r="R46" s="1">
        <f>[1]节奏总纲!AD46</f>
        <v>54.585942742481357</v>
      </c>
      <c r="S46" s="1">
        <f>[1]节奏总纲!AE46</f>
        <v>56.568265567054013</v>
      </c>
      <c r="T46" s="1">
        <f>[1]节奏总纲!AF46</f>
        <v>59.425480572843689</v>
      </c>
      <c r="U46" s="1">
        <f>[1]节奏总纲!AG46</f>
        <v>63.763640149257171</v>
      </c>
      <c r="V46" s="1">
        <f>[1]节奏总纲!AH46</f>
        <v>72.370053318329937</v>
      </c>
      <c r="Z46" s="2">
        <v>43</v>
      </c>
      <c r="AA46" s="2">
        <f>[1]节奏总纲!AM46</f>
        <v>208.99265815439742</v>
      </c>
      <c r="AB46" s="2">
        <f>[1]节奏总纲!AN46</f>
        <v>167.19412652351795</v>
      </c>
      <c r="AC46" s="2">
        <f>[1]节奏总纲!AO46</f>
        <v>125.39559489263844</v>
      </c>
      <c r="AD46" s="2">
        <f>[1]节奏总纲!AP46</f>
        <v>83.597063261758976</v>
      </c>
      <c r="AE46" s="2">
        <f>[1]节奏总纲!AQ46</f>
        <v>41.798531630879488</v>
      </c>
      <c r="AG46" s="2">
        <v>43</v>
      </c>
      <c r="AH46" s="2">
        <f>[1]节奏总纲!AT46</f>
        <v>28.807854694941852</v>
      </c>
      <c r="AI46" s="2">
        <f>[1]节奏总纲!AU46</f>
        <v>23.046283755953482</v>
      </c>
      <c r="AJ46" s="2">
        <f>[1]节奏总纲!AV46</f>
        <v>17.284712816965111</v>
      </c>
      <c r="AK46" s="2">
        <f>[1]节奏总纲!AW46</f>
        <v>11.523141877976741</v>
      </c>
      <c r="AL46" s="2">
        <f>[1]节奏总纲!AX46</f>
        <v>5.7615709389883705</v>
      </c>
      <c r="AM46" s="2"/>
      <c r="AN46" s="2">
        <v>43</v>
      </c>
      <c r="AO46" s="2">
        <f>[1]节奏总纲!BA46</f>
        <v>32.550742320155642</v>
      </c>
      <c r="AP46" s="2">
        <f>[1]节奏总纲!BB46</f>
        <v>33.955041603568006</v>
      </c>
      <c r="AQ46" s="2">
        <f>[1]节奏总纲!BC46</f>
        <v>35.796991989553327</v>
      </c>
      <c r="AR46" s="2">
        <f>[1]节奏总纲!BD46</f>
        <v>38.507242373270728</v>
      </c>
      <c r="AS46" s="2">
        <f>[1]节奏总纲!BE46</f>
        <v>43.179964142847631</v>
      </c>
    </row>
    <row r="47" spans="2:45" x14ac:dyDescent="0.15">
      <c r="B47" s="29">
        <f>[1]节奏总纲!N47</f>
        <v>54</v>
      </c>
      <c r="C47" s="1">
        <v>44</v>
      </c>
      <c r="D47" s="1">
        <f>[1]节奏总纲!P47</f>
        <v>20.112126572366307</v>
      </c>
      <c r="E47" s="1">
        <f>[1]节奏总纲!Q47</f>
        <v>17.573976198933678</v>
      </c>
      <c r="F47" s="1">
        <f>[1]节奏总纲!R47</f>
        <v>14.520955385248474</v>
      </c>
      <c r="G47" s="1">
        <f>[1]节奏总纲!S47</f>
        <v>10.768032566844921</v>
      </c>
      <c r="H47" s="1">
        <f>[1]节奏总纲!T47</f>
        <v>6.0537500982822579</v>
      </c>
      <c r="J47" s="1">
        <v>44</v>
      </c>
      <c r="K47" s="1">
        <f>[1]节奏总纲!W47</f>
        <v>1.4138159588476462</v>
      </c>
      <c r="L47" s="1">
        <f>[1]节奏总纲!X47</f>
        <v>1.2353923848410737</v>
      </c>
      <c r="M47" s="1">
        <f>[1]节奏总纲!Y47</f>
        <v>1.0114259669812409</v>
      </c>
      <c r="N47" s="1">
        <f>[1]节奏总纲!Z47</f>
        <v>0.74760790906026919</v>
      </c>
      <c r="O47" s="1">
        <f>[1]节奏总纲!AA47</f>
        <v>0.41433961724503021</v>
      </c>
      <c r="Q47" s="1">
        <v>44</v>
      </c>
      <c r="R47" s="1">
        <f>[1]节奏总纲!AD47</f>
        <v>54.915912490558505</v>
      </c>
      <c r="S47" s="1">
        <f>[1]节奏总纲!AE47</f>
        <v>56.897751416955018</v>
      </c>
      <c r="T47" s="1">
        <f>[1]节奏总纲!AF47</f>
        <v>59.760009178384806</v>
      </c>
      <c r="U47" s="1">
        <f>[1]节奏总纲!AG47</f>
        <v>64.08760696397195</v>
      </c>
      <c r="V47" s="1">
        <f>[1]节奏总纲!AH47</f>
        <v>72.705544177223089</v>
      </c>
      <c r="Z47" s="2">
        <v>44</v>
      </c>
      <c r="AA47" s="2">
        <f>[1]节奏总纲!AM47</f>
        <v>242.37342918215046</v>
      </c>
      <c r="AB47" s="2">
        <f>[1]节奏总纲!AN47</f>
        <v>193.89874334572039</v>
      </c>
      <c r="AC47" s="2">
        <f>[1]节奏总纲!AO47</f>
        <v>145.42405750929026</v>
      </c>
      <c r="AD47" s="2">
        <f>[1]节奏总纲!AP47</f>
        <v>96.949371672860195</v>
      </c>
      <c r="AE47" s="2">
        <f>[1]节奏总纲!AQ47</f>
        <v>48.474685836430098</v>
      </c>
      <c r="AG47" s="2">
        <v>44</v>
      </c>
      <c r="AH47" s="2">
        <f>[1]节奏总纲!AT47</f>
        <v>33.380771027753042</v>
      </c>
      <c r="AI47" s="2">
        <f>[1]节奏总纲!AU47</f>
        <v>26.704616822202439</v>
      </c>
      <c r="AJ47" s="2">
        <f>[1]节奏总纲!AV47</f>
        <v>20.028462616651822</v>
      </c>
      <c r="AK47" s="2">
        <f>[1]节奏总纲!AW47</f>
        <v>13.35230841110122</v>
      </c>
      <c r="AL47" s="2">
        <f>[1]节奏总纲!AX47</f>
        <v>6.6761542055506098</v>
      </c>
      <c r="AM47" s="2"/>
      <c r="AN47" s="2">
        <v>44</v>
      </c>
      <c r="AO47" s="2">
        <f>[1]节奏总纲!BA47</f>
        <v>32.696472110135275</v>
      </c>
      <c r="AP47" s="2">
        <f>[1]节奏总纲!BB47</f>
        <v>34.09469189131628</v>
      </c>
      <c r="AQ47" s="2">
        <f>[1]节奏总纲!BC47</f>
        <v>35.95964341599278</v>
      </c>
      <c r="AR47" s="2">
        <f>[1]节奏总纲!BD47</f>
        <v>38.663818688865533</v>
      </c>
      <c r="AS47" s="2">
        <f>[1]节奏总纲!BE47</f>
        <v>43.329750976586219</v>
      </c>
    </row>
    <row r="48" spans="2:45" x14ac:dyDescent="0.15">
      <c r="B48" s="29">
        <f>[1]节奏总纲!N48</f>
        <v>55</v>
      </c>
      <c r="C48" s="1">
        <v>45</v>
      </c>
      <c r="D48" s="1">
        <f>[1]节奏总纲!P48</f>
        <v>21.627416997969519</v>
      </c>
      <c r="E48" s="1">
        <f>[1]节奏总纲!Q48</f>
        <v>18.900199714525563</v>
      </c>
      <c r="F48" s="1">
        <f>[1]节奏总纲!R48</f>
        <v>15.604181364035009</v>
      </c>
      <c r="G48" s="1">
        <f>[1]节奏总纲!S48</f>
        <v>11.572830835613489</v>
      </c>
      <c r="H48" s="1">
        <f>[1]节奏总纲!T48</f>
        <v>6.49903880788984</v>
      </c>
      <c r="J48" s="1">
        <v>45</v>
      </c>
      <c r="K48" s="1">
        <f>[1]节奏总纲!W48</f>
        <v>1.5152904256032116</v>
      </c>
      <c r="L48" s="1">
        <f>[1]节奏总纲!X48</f>
        <v>1.3262235155918844</v>
      </c>
      <c r="M48" s="1">
        <f>[1]节奏总纲!Y48</f>
        <v>1.083225978786535</v>
      </c>
      <c r="N48" s="1">
        <f>[1]节奏总纲!Z48</f>
        <v>0.80479826876856819</v>
      </c>
      <c r="O48" s="1">
        <f>[1]节奏总纲!AA48</f>
        <v>0.44528870960758216</v>
      </c>
      <c r="Q48" s="1">
        <v>45</v>
      </c>
      <c r="R48" s="1">
        <f>[1]节奏总纲!AD48</f>
        <v>55.229416240679981</v>
      </c>
      <c r="S48" s="1">
        <f>[1]节奏总纲!AE48</f>
        <v>57.218966664386244</v>
      </c>
      <c r="T48" s="1">
        <f>[1]节奏总纲!AF48</f>
        <v>60.086674688654931</v>
      </c>
      <c r="U48" s="1">
        <f>[1]节奏总纲!AG48</f>
        <v>64.399012521055653</v>
      </c>
      <c r="V48" s="1">
        <f>[1]节奏总纲!AH48</f>
        <v>73.037155126421851</v>
      </c>
      <c r="Z48" s="2">
        <v>45</v>
      </c>
      <c r="AA48" s="2">
        <f>[1]节奏总纲!AM48</f>
        <v>281.05</v>
      </c>
      <c r="AB48" s="2">
        <f>[1]节奏总纲!AN48</f>
        <v>224.84000000000003</v>
      </c>
      <c r="AC48" s="2">
        <f>[1]节奏总纲!AO48</f>
        <v>168.63</v>
      </c>
      <c r="AD48" s="2">
        <f>[1]节奏总纲!AP48</f>
        <v>112.42000000000002</v>
      </c>
      <c r="AE48" s="2">
        <f>[1]节奏总纲!AQ48</f>
        <v>56.210000000000008</v>
      </c>
      <c r="AG48" s="2">
        <v>45</v>
      </c>
      <c r="AH48" s="2">
        <f>[1]节奏总纲!AT48</f>
        <v>38.676570817849552</v>
      </c>
      <c r="AI48" s="2">
        <f>[1]节奏总纲!AU48</f>
        <v>30.941256654279641</v>
      </c>
      <c r="AJ48" s="2">
        <f>[1]节奏总纲!AV48</f>
        <v>23.205942490709731</v>
      </c>
      <c r="AK48" s="2">
        <f>[1]节奏总纲!AW48</f>
        <v>15.470628327139821</v>
      </c>
      <c r="AL48" s="2">
        <f>[1]节奏总纲!AX48</f>
        <v>7.7353141635699103</v>
      </c>
      <c r="AM48" s="2"/>
      <c r="AN48" s="2">
        <v>45</v>
      </c>
      <c r="AO48" s="2">
        <f>[1]节奏总纲!BA48</f>
        <v>32.842201900114915</v>
      </c>
      <c r="AP48" s="2">
        <f>[1]节奏总纲!BB48</f>
        <v>34.227825436710944</v>
      </c>
      <c r="AQ48" s="2">
        <f>[1]节奏总纲!BC48</f>
        <v>36.105477566569242</v>
      </c>
      <c r="AR48" s="2">
        <f>[1]节奏总纲!BD48</f>
        <v>38.82039500446033</v>
      </c>
      <c r="AS48" s="2">
        <f>[1]节奏总纲!BE48</f>
        <v>43.479537810324807</v>
      </c>
    </row>
    <row r="49" spans="2:45" x14ac:dyDescent="0.15">
      <c r="B49" s="29">
        <f>[1]节奏总纲!N49</f>
        <v>56</v>
      </c>
      <c r="C49" s="1">
        <v>46</v>
      </c>
      <c r="D49" s="1">
        <f>[1]节奏总纲!P49</f>
        <v>23.251465064166357</v>
      </c>
      <c r="E49" s="1">
        <f>[1]节奏总纲!Q49</f>
        <v>20.310154733549314</v>
      </c>
      <c r="F49" s="1">
        <f>[1]节奏总纲!R49</f>
        <v>16.757330871744692</v>
      </c>
      <c r="G49" s="1">
        <f>[1]节奏总纲!S49</f>
        <v>12.425582930290501</v>
      </c>
      <c r="H49" s="1">
        <f>[1]节奏总纲!T49</f>
        <v>6.9545132006921566</v>
      </c>
      <c r="J49" s="1">
        <v>46</v>
      </c>
      <c r="K49" s="1">
        <f>[1]节奏总纲!W49</f>
        <v>1.6240480661968384</v>
      </c>
      <c r="L49" s="1">
        <f>[1]节奏总纲!X49</f>
        <v>1.4099550190237515</v>
      </c>
      <c r="M49" s="1">
        <f>[1]节奏总纲!Y49</f>
        <v>1.1531495077096832</v>
      </c>
      <c r="N49" s="1">
        <f>[1]节奏总纲!Z49</f>
        <v>0.85275209467701174</v>
      </c>
      <c r="O49" s="1">
        <f>[1]节奏总纲!AA49</f>
        <v>0.45547439280231661</v>
      </c>
      <c r="Q49" s="1">
        <v>46</v>
      </c>
      <c r="R49" s="1">
        <f>[1]节奏总纲!AD49</f>
        <v>55.537288901845052</v>
      </c>
      <c r="S49" s="1">
        <f>[1]节奏总纲!AE49</f>
        <v>57.53646043868428</v>
      </c>
      <c r="T49" s="1">
        <f>[1]节奏总纲!AF49</f>
        <v>60.393379177879737</v>
      </c>
      <c r="U49" s="1">
        <f>[1]节奏总纲!AG49</f>
        <v>64.710418078139355</v>
      </c>
      <c r="V49" s="1">
        <f>[1]节奏总纲!AH49</f>
        <v>73.340924940105893</v>
      </c>
      <c r="Z49" s="2">
        <v>46</v>
      </c>
      <c r="AA49" s="2">
        <f>[1]节奏总纲!AM49</f>
        <v>325.85912455595718</v>
      </c>
      <c r="AB49" s="2">
        <f>[1]节奏总纲!AN49</f>
        <v>260.68729964476574</v>
      </c>
      <c r="AC49" s="2">
        <f>[1]节奏总纲!AO49</f>
        <v>195.51547473357431</v>
      </c>
      <c r="AD49" s="2">
        <f>[1]节奏总纲!AP49</f>
        <v>130.34364982238287</v>
      </c>
      <c r="AE49" s="2">
        <f>[1]节奏总纲!AQ49</f>
        <v>65.171824911191436</v>
      </c>
      <c r="AG49" s="2">
        <v>46</v>
      </c>
      <c r="AH49" s="2">
        <f>[1]节奏总纲!AT49</f>
        <v>44.809124555957169</v>
      </c>
      <c r="AI49" s="2">
        <f>[1]节奏总纲!AU49</f>
        <v>35.847299644765712</v>
      </c>
      <c r="AJ49" s="2">
        <f>[1]节奏总纲!AV49</f>
        <v>26.885474733574313</v>
      </c>
      <c r="AK49" s="2">
        <f>[1]节奏总纲!AW49</f>
        <v>17.923649822382856</v>
      </c>
      <c r="AL49" s="2">
        <f>[1]节奏总纲!AX49</f>
        <v>8.9618249111914281</v>
      </c>
      <c r="AM49" s="2"/>
      <c r="AN49" s="2">
        <v>46</v>
      </c>
      <c r="AO49" s="2">
        <f>[1]节奏总纲!BA49</f>
        <v>32.987931690094548</v>
      </c>
      <c r="AP49" s="2">
        <f>[1]节奏总纲!BB49</f>
        <v>34.360958982105608</v>
      </c>
      <c r="AQ49" s="2">
        <f>[1]节奏总纲!BC49</f>
        <v>36.245762114295424</v>
      </c>
      <c r="AR49" s="2">
        <f>[1]节奏总纲!BD49</f>
        <v>38.976971320055128</v>
      </c>
      <c r="AS49" s="2">
        <f>[1]节奏总纲!BE49</f>
        <v>43.629324644063402</v>
      </c>
    </row>
    <row r="50" spans="2:45" x14ac:dyDescent="0.15">
      <c r="B50" s="29">
        <f>[1]节奏总纲!N50</f>
        <v>57</v>
      </c>
      <c r="C50" s="1">
        <v>47</v>
      </c>
      <c r="D50" s="1">
        <f>[1]节奏总纲!P50</f>
        <v>24.992076683399535</v>
      </c>
      <c r="E50" s="1">
        <f>[1]节奏总纲!Q50</f>
        <v>21.823081359944474</v>
      </c>
      <c r="F50" s="1">
        <f>[1]节奏总纲!R50</f>
        <v>17.996794419716004</v>
      </c>
      <c r="G50" s="1">
        <f>[1]节奏总纲!S50</f>
        <v>13.335772118261991</v>
      </c>
      <c r="H50" s="1">
        <f>[1]节奏总纲!T50</f>
        <v>7.4426404363163821</v>
      </c>
      <c r="J50" s="1">
        <v>47</v>
      </c>
      <c r="K50" s="1">
        <f>[1]节奏总纲!W50</f>
        <v>1.740611619233178</v>
      </c>
      <c r="L50" s="1">
        <f>[1]节奏总纲!X50</f>
        <v>1.51292662639516</v>
      </c>
      <c r="M50" s="1">
        <f>[1]节奏总纲!Y50</f>
        <v>1.2394635479713116</v>
      </c>
      <c r="N50" s="1">
        <f>[1]节奏总纲!Z50</f>
        <v>0.91018918797148984</v>
      </c>
      <c r="O50" s="1">
        <f>[1]节奏总纲!AA50</f>
        <v>0.48812723562422544</v>
      </c>
      <c r="Q50" s="1">
        <v>47</v>
      </c>
      <c r="R50" s="1">
        <f>[1]节奏总纲!AD50</f>
        <v>55.845161563010116</v>
      </c>
      <c r="S50" s="1">
        <f>[1]节奏总纲!AE50</f>
        <v>57.853954212982316</v>
      </c>
      <c r="T50" s="1">
        <f>[1]节奏总纲!AF50</f>
        <v>60.700083667104536</v>
      </c>
      <c r="U50" s="1">
        <f>[1]节奏总纲!AG50</f>
        <v>65.021675833900701</v>
      </c>
      <c r="V50" s="1">
        <f>[1]节奏总纲!AH50</f>
        <v>73.644694753789935</v>
      </c>
      <c r="Z50" s="2">
        <v>47</v>
      </c>
      <c r="AA50" s="2">
        <f>[1]节奏总纲!AM50</f>
        <v>377.76930817680426</v>
      </c>
      <c r="AB50" s="2">
        <f>[1]节奏总纲!AN50</f>
        <v>302.21544654144344</v>
      </c>
      <c r="AC50" s="2">
        <f>[1]节奏总纲!AO50</f>
        <v>226.66158490608254</v>
      </c>
      <c r="AD50" s="2">
        <f>[1]节奏总纲!AP50</f>
        <v>151.10772327072172</v>
      </c>
      <c r="AE50" s="2">
        <f>[1]节奏总纲!AQ50</f>
        <v>75.55386163536086</v>
      </c>
      <c r="AG50" s="2">
        <v>47</v>
      </c>
      <c r="AH50" s="2">
        <f>[1]节奏总纲!AT50</f>
        <v>51.910183620847079</v>
      </c>
      <c r="AI50" s="2">
        <f>[1]节奏总纲!AU50</f>
        <v>41.528146896677697</v>
      </c>
      <c r="AJ50" s="2">
        <f>[1]节奏总纲!AV50</f>
        <v>31.14611017250823</v>
      </c>
      <c r="AK50" s="2">
        <f>[1]节奏总纲!AW50</f>
        <v>20.764073448338848</v>
      </c>
      <c r="AL50" s="2">
        <f>[1]节奏总纲!AX50</f>
        <v>10.382036724169424</v>
      </c>
      <c r="AM50" s="2"/>
      <c r="AN50" s="2">
        <v>47</v>
      </c>
      <c r="AO50" s="2">
        <f>[1]节奏总纲!BA50</f>
        <v>33.114246829746719</v>
      </c>
      <c r="AP50" s="2">
        <f>[1]节奏总纲!BB50</f>
        <v>34.494092527500278</v>
      </c>
      <c r="AQ50" s="2">
        <f>[1]节奏总纲!BC50</f>
        <v>36.386046662021599</v>
      </c>
      <c r="AR50" s="2">
        <f>[1]节奏总纲!BD50</f>
        <v>39.115214427575864</v>
      </c>
      <c r="AS50" s="2">
        <f>[1]节奏总纲!BE50</f>
        <v>43.77911147780199</v>
      </c>
    </row>
    <row r="51" spans="2:45" x14ac:dyDescent="0.15">
      <c r="B51" s="29">
        <f>[1]节奏总纲!N51</f>
        <v>58</v>
      </c>
      <c r="C51" s="1">
        <v>48</v>
      </c>
      <c r="D51" s="1">
        <f>[1]节奏总纲!P51</f>
        <v>26.857618025475972</v>
      </c>
      <c r="E51" s="1">
        <f>[1]节奏总纲!Q51</f>
        <v>23.425214441820142</v>
      </c>
      <c r="F51" s="1">
        <f>[1]节奏总纲!R51</f>
        <v>19.329427692935056</v>
      </c>
      <c r="G51" s="1">
        <f>[1]节奏总纲!S51</f>
        <v>14.269452456935383</v>
      </c>
      <c r="H51" s="1">
        <f>[1]节奏总纲!T51</f>
        <v>7.9605979827510778</v>
      </c>
      <c r="J51" s="1">
        <v>48</v>
      </c>
      <c r="K51" s="1">
        <f>[1]节奏总纲!W51</f>
        <v>1.8655413420764368</v>
      </c>
      <c r="L51" s="1">
        <f>[1]节奏总纲!X51</f>
        <v>1.6021330818756674</v>
      </c>
      <c r="M51" s="1">
        <f>[1]节奏总纲!Y51</f>
        <v>1.3326332732190522</v>
      </c>
      <c r="N51" s="1">
        <f>[1]节奏总纲!Z51</f>
        <v>0.93368033867339228</v>
      </c>
      <c r="O51" s="1">
        <f>[1]节奏总纲!AA51</f>
        <v>0.51795754643469571</v>
      </c>
      <c r="Q51" s="1">
        <v>48</v>
      </c>
      <c r="R51" s="1">
        <f>[1]节奏总纲!AD51</f>
        <v>56.142785979989682</v>
      </c>
      <c r="S51" s="1">
        <f>[1]节奏总纲!AE51</f>
        <v>58.155157256402767</v>
      </c>
      <c r="T51" s="1">
        <f>[1]节奏总纲!AF51</f>
        <v>61.006268532239034</v>
      </c>
      <c r="U51" s="1">
        <f>[1]节奏总纲!AG51</f>
        <v>65.330972386106993</v>
      </c>
      <c r="V51" s="1">
        <f>[1]节奏总纲!AH51</f>
        <v>73.948464567473962</v>
      </c>
      <c r="Z51" s="2">
        <v>48</v>
      </c>
      <c r="AA51" s="2">
        <f>[1]节奏总纲!AM51</f>
        <v>437.90148836012787</v>
      </c>
      <c r="AB51" s="2">
        <f>[1]节奏总纲!AN51</f>
        <v>350.32119068810232</v>
      </c>
      <c r="AC51" s="2">
        <f>[1]节奏总纲!AO51</f>
        <v>262.74089301607671</v>
      </c>
      <c r="AD51" s="2">
        <f>[1]节奏总纲!AP51</f>
        <v>175.16059534405116</v>
      </c>
      <c r="AE51" s="2">
        <f>[1]节奏总纲!AQ51</f>
        <v>87.58029767202558</v>
      </c>
      <c r="AG51" s="2">
        <v>48</v>
      </c>
      <c r="AH51" s="2">
        <f>[1]节奏总纲!AT51</f>
        <v>60.132180183323612</v>
      </c>
      <c r="AI51" s="2">
        <f>[1]节奏总纲!AU51</f>
        <v>48.105744146658878</v>
      </c>
      <c r="AJ51" s="2">
        <f>[1]节奏总纲!AV51</f>
        <v>36.079308109994173</v>
      </c>
      <c r="AK51" s="2">
        <f>[1]节奏总纲!AW51</f>
        <v>24.052872073329439</v>
      </c>
      <c r="AL51" s="2">
        <f>[1]节奏总纲!AX51</f>
        <v>12.02643603666472</v>
      </c>
      <c r="AM51" s="2"/>
      <c r="AN51" s="2">
        <v>48</v>
      </c>
      <c r="AO51" s="2">
        <f>[1]节奏总纲!BA51</f>
        <v>33.238809018460984</v>
      </c>
      <c r="AP51" s="2">
        <f>[1]节奏总纲!BB51</f>
        <v>34.627226072894942</v>
      </c>
      <c r="AQ51" s="2">
        <f>[1]节奏总纲!BC51</f>
        <v>36.526331209747774</v>
      </c>
      <c r="AR51" s="2">
        <f>[1]节奏总纲!BD51</f>
        <v>39.250296194358178</v>
      </c>
      <c r="AS51" s="2">
        <f>[1]节奏总纲!BE51</f>
        <v>43.928898311540578</v>
      </c>
    </row>
    <row r="52" spans="2:45" x14ac:dyDescent="0.15">
      <c r="B52" s="29">
        <f>[1]节奏总纲!N52</f>
        <v>59</v>
      </c>
      <c r="C52" s="1">
        <v>49</v>
      </c>
      <c r="D52" s="1">
        <f>[1]节奏总纲!P52</f>
        <v>28.857055729177837</v>
      </c>
      <c r="E52" s="1">
        <f>[1]节奏总纲!Q52</f>
        <v>25.166238301415991</v>
      </c>
      <c r="F52" s="1">
        <f>[1]节奏总纲!R52</f>
        <v>20.719366013549685</v>
      </c>
      <c r="G52" s="1">
        <f>[1]节奏总纲!S52</f>
        <v>15.268268186307994</v>
      </c>
      <c r="H52" s="1">
        <f>[1]节奏总纲!T52</f>
        <v>8.5474599069824766</v>
      </c>
      <c r="J52" s="1">
        <v>49</v>
      </c>
      <c r="K52" s="1">
        <f>[1]节奏总纲!W52</f>
        <v>1.9994377037018651</v>
      </c>
      <c r="L52" s="1">
        <f>[1]节奏总纲!X52</f>
        <v>1.7410238595958489</v>
      </c>
      <c r="M52" s="1">
        <f>[1]节奏总纲!Y52</f>
        <v>1.389938320614629</v>
      </c>
      <c r="N52" s="1">
        <f>[1]节奏总纲!Z52</f>
        <v>0.99881572937261076</v>
      </c>
      <c r="O52" s="1">
        <f>[1]节奏总纲!AA52</f>
        <v>0.58686192423139882</v>
      </c>
      <c r="Q52" s="1">
        <v>49</v>
      </c>
      <c r="R52" s="1">
        <f>[1]节奏总纲!AD52</f>
        <v>56.430041330048923</v>
      </c>
      <c r="S52" s="1">
        <f>[1]节奏总纲!AE52</f>
        <v>58.442483247955479</v>
      </c>
      <c r="T52" s="1">
        <f>[1]节奏总纲!AF52</f>
        <v>61.289495211956165</v>
      </c>
      <c r="U52" s="1">
        <f>[1]节奏总纲!AG52</f>
        <v>65.640268938313284</v>
      </c>
      <c r="V52" s="1">
        <f>[1]节奏总纲!AH52</f>
        <v>74.231558509323534</v>
      </c>
      <c r="Z52" s="2">
        <v>49</v>
      </c>
      <c r="AA52" s="2">
        <f>[1]节奏总纲!AM52</f>
        <v>507.55295278468168</v>
      </c>
      <c r="AB52" s="2">
        <f>[1]节奏总纲!AN52</f>
        <v>406.04236222774534</v>
      </c>
      <c r="AC52" s="2">
        <f>[1]节奏总纲!AO52</f>
        <v>304.53177167080901</v>
      </c>
      <c r="AD52" s="2">
        <f>[1]节奏总纲!AP52</f>
        <v>203.02118111387267</v>
      </c>
      <c r="AE52" s="2">
        <f>[1]节奏总纲!AQ52</f>
        <v>101.51059055693634</v>
      </c>
      <c r="AG52" s="2">
        <v>49</v>
      </c>
      <c r="AH52" s="2">
        <f>[1]节奏总纲!AT52</f>
        <v>69.651464424553808</v>
      </c>
      <c r="AI52" s="2">
        <f>[1]节奏总纲!AU52</f>
        <v>55.721171539643024</v>
      </c>
      <c r="AJ52" s="2">
        <f>[1]节奏总纲!AV52</f>
        <v>41.790878654732296</v>
      </c>
      <c r="AK52" s="2">
        <f>[1]节奏总纲!AW52</f>
        <v>27.860585769821512</v>
      </c>
      <c r="AL52" s="2">
        <f>[1]节奏总纲!AX52</f>
        <v>13.930292884910756</v>
      </c>
      <c r="AM52" s="2"/>
      <c r="AN52" s="2">
        <v>49</v>
      </c>
      <c r="AO52" s="2">
        <f>[1]节奏总纲!BA52</f>
        <v>33.363371207175248</v>
      </c>
      <c r="AP52" s="2">
        <f>[1]节奏总纲!BB52</f>
        <v>34.760359618289606</v>
      </c>
      <c r="AQ52" s="2">
        <f>[1]节奏总纲!BC52</f>
        <v>36.666615757473956</v>
      </c>
      <c r="AR52" s="2">
        <f>[1]节奏总纲!BD52</f>
        <v>39.385377961140485</v>
      </c>
      <c r="AS52" s="2">
        <f>[1]节奏总纲!BE52</f>
        <v>44.067911160744309</v>
      </c>
    </row>
    <row r="53" spans="2:45" x14ac:dyDescent="0.15">
      <c r="B53" s="29">
        <f>[1]节奏总纲!N53</f>
        <v>60</v>
      </c>
      <c r="C53" s="1">
        <v>50</v>
      </c>
      <c r="D53" s="1">
        <f>[1]节奏总纲!P53</f>
        <v>31</v>
      </c>
      <c r="E53" s="1">
        <f>[1]节奏总纲!Q53</f>
        <v>27.0351</v>
      </c>
      <c r="F53" s="1">
        <f>[1]节奏总纲!R53</f>
        <v>22.205300000000001</v>
      </c>
      <c r="G53" s="1">
        <f>[1]节奏总纲!S53</f>
        <v>16.386599999999998</v>
      </c>
      <c r="H53" s="1">
        <f>[1]节奏总纲!T53</f>
        <v>9.1883999999999997</v>
      </c>
      <c r="J53" s="1">
        <v>50</v>
      </c>
      <c r="K53" s="1">
        <f>[1]节奏总纲!W53</f>
        <v>2.1429442708221629</v>
      </c>
      <c r="L53" s="1">
        <f>[1]节奏总纲!X53</f>
        <v>1.8688616985840092</v>
      </c>
      <c r="M53" s="1">
        <f>[1]节奏总纲!Y53</f>
        <v>1.4859339864503163</v>
      </c>
      <c r="N53" s="1">
        <f>[1]节奏总纲!Z53</f>
        <v>1.118331813692004</v>
      </c>
      <c r="O53" s="1">
        <f>[1]节奏总纲!AA53</f>
        <v>0.64094009301752308</v>
      </c>
      <c r="Q53" s="1">
        <v>50</v>
      </c>
      <c r="R53" s="1">
        <f>[1]节奏总纲!AD53</f>
        <v>56.717296680108156</v>
      </c>
      <c r="S53" s="1">
        <f>[1]节奏总纲!AE53</f>
        <v>58.729809239508185</v>
      </c>
      <c r="T53" s="1">
        <f>[1]节奏总纲!AF53</f>
        <v>61.572721891673297</v>
      </c>
      <c r="U53" s="1">
        <f>[1]节奏总纲!AG53</f>
        <v>65.949565490519575</v>
      </c>
      <c r="V53" s="1">
        <f>[1]节奏总纲!AH53</f>
        <v>74.51042804689898</v>
      </c>
      <c r="Z53" s="2">
        <v>50</v>
      </c>
      <c r="AA53" s="2">
        <f>[1]节奏总纲!AM53</f>
        <v>588.22499999999991</v>
      </c>
      <c r="AB53" s="2">
        <f>[1]节奏总纲!AN53</f>
        <v>470.57999999999993</v>
      </c>
      <c r="AC53" s="2">
        <f>[1]节奏总纲!AO53</f>
        <v>352.93499999999995</v>
      </c>
      <c r="AD53" s="2">
        <f>[1]节奏总纲!AP53</f>
        <v>235.28999999999996</v>
      </c>
      <c r="AE53" s="2">
        <f>[1]节奏总纲!AQ53</f>
        <v>117.64499999999998</v>
      </c>
      <c r="AG53" s="2">
        <v>50</v>
      </c>
      <c r="AH53" s="2">
        <f>[1]节奏总纲!AT53</f>
        <v>80.67204721531823</v>
      </c>
      <c r="AI53" s="2">
        <f>[1]节奏总纲!AU53</f>
        <v>64.537637772254584</v>
      </c>
      <c r="AJ53" s="2">
        <f>[1]节奏总纲!AV53</f>
        <v>48.403228329190938</v>
      </c>
      <c r="AK53" s="2">
        <f>[1]节奏总纲!AW53</f>
        <v>32.268818886127292</v>
      </c>
      <c r="AL53" s="2">
        <f>[1]节奏总纲!AX53</f>
        <v>16.134409443063646</v>
      </c>
      <c r="AM53" s="2"/>
      <c r="AN53" s="2">
        <v>50</v>
      </c>
      <c r="AO53" s="2">
        <f>[1]节奏总纲!BA53</f>
        <v>33.487933395889513</v>
      </c>
      <c r="AP53" s="2">
        <f>[1]节奏总纲!BB53</f>
        <v>34.893493163684269</v>
      </c>
      <c r="AQ53" s="2">
        <f>[1]节奏总纲!BC53</f>
        <v>36.806900305200131</v>
      </c>
      <c r="AR53" s="2">
        <f>[1]节奏总纲!BD53</f>
        <v>39.520459727922798</v>
      </c>
      <c r="AS53" s="2">
        <f>[1]节奏总纲!BE53</f>
        <v>44.197188392263818</v>
      </c>
    </row>
    <row r="54" spans="2:45" x14ac:dyDescent="0.15">
      <c r="B54" s="29">
        <f>[1]节奏总纲!N54</f>
        <v>61</v>
      </c>
      <c r="C54" s="1">
        <v>51</v>
      </c>
      <c r="D54" s="1">
        <f>[1]节奏总纲!P54</f>
        <v>33.296750801161366</v>
      </c>
      <c r="E54" s="1">
        <f>[1]节奏总纲!Q54</f>
        <v>28.928217096048996</v>
      </c>
      <c r="F54" s="1">
        <f>[1]节奏总纲!R54</f>
        <v>23.783869097269566</v>
      </c>
      <c r="G54" s="1">
        <f>[1]节奏总纲!S54</f>
        <v>17.587343773173433</v>
      </c>
      <c r="H54" s="1">
        <f>[1]节奏总纲!T54</f>
        <v>9.8458492119034169</v>
      </c>
      <c r="J54" s="1">
        <v>51</v>
      </c>
      <c r="K54" s="1">
        <f>[1]节奏总纲!W54</f>
        <v>2.296750801161366</v>
      </c>
      <c r="L54" s="1">
        <f>[1]节奏总纲!X54</f>
        <v>1.8931170960489965</v>
      </c>
      <c r="M54" s="1">
        <f>[1]节奏总纲!Y54</f>
        <v>1.5785690972695647</v>
      </c>
      <c r="N54" s="1">
        <f>[1]节奏总纲!Z54</f>
        <v>1.2007437731734356</v>
      </c>
      <c r="O54" s="1">
        <f>[1]节奏总纲!AA54</f>
        <v>0.65744921190341721</v>
      </c>
      <c r="Q54" s="1">
        <v>51</v>
      </c>
      <c r="R54" s="1">
        <f>[1]节奏总纲!AD54</f>
        <v>57.004247194324648</v>
      </c>
      <c r="S54" s="1">
        <f>[1]节奏总纲!AE54</f>
        <v>59.016342740868758</v>
      </c>
      <c r="T54" s="1">
        <f>[1]节奏总纲!AF54</f>
        <v>61.855948571390428</v>
      </c>
      <c r="U54" s="1">
        <f>[1]节奏总纲!AG54</f>
        <v>66.241691764589476</v>
      </c>
      <c r="V54" s="1">
        <f>[1]节奏总纲!AH54</f>
        <v>74.789297584474426</v>
      </c>
      <c r="Z54" s="43">
        <v>51</v>
      </c>
      <c r="AA54" s="43">
        <f>[1]节奏总纲!AM54</f>
        <v>681.65492699983838</v>
      </c>
      <c r="AB54" s="43">
        <f>[1]节奏总纲!AN54</f>
        <v>545.32394159987075</v>
      </c>
      <c r="AC54" s="43">
        <f>[1]节奏总纲!AO54</f>
        <v>408.99295619990301</v>
      </c>
      <c r="AD54" s="43">
        <f>[1]节奏总纲!AP54</f>
        <v>272.66197079993537</v>
      </c>
      <c r="AE54" s="43">
        <f>[1]节奏总纲!AQ54</f>
        <v>136.33098539996769</v>
      </c>
      <c r="AG54" s="43">
        <v>51</v>
      </c>
      <c r="AH54" s="43">
        <f>[1]节奏总纲!AT54</f>
        <v>93.429926999838472</v>
      </c>
      <c r="AI54" s="43">
        <f>[1]节奏总纲!AU54</f>
        <v>74.743941599870823</v>
      </c>
      <c r="AJ54" s="43">
        <f>[1]节奏总纲!AV54</f>
        <v>56.05795619990306</v>
      </c>
      <c r="AK54" s="43">
        <f>[1]节奏总纲!AW54</f>
        <v>37.371970799935411</v>
      </c>
      <c r="AL54" s="43">
        <f>[1]节奏总纲!AX54</f>
        <v>18.685985399967706</v>
      </c>
      <c r="AN54" s="2">
        <v>51</v>
      </c>
      <c r="AO54" s="2">
        <f>[1]节奏总纲!BA54</f>
        <v>33.612495584603778</v>
      </c>
      <c r="AP54" s="2">
        <f>[1]节奏总纲!BB54</f>
        <v>35.024397713965918</v>
      </c>
      <c r="AQ54" s="2">
        <f>[1]节奏总纲!BC54</f>
        <v>36.947184852926306</v>
      </c>
      <c r="AR54" s="2">
        <f>[1]节奏总纲!BD54</f>
        <v>39.655541494705105</v>
      </c>
      <c r="AS54" s="2">
        <f>[1]节奏总纲!BE54</f>
        <v>44.326465623783335</v>
      </c>
    </row>
    <row r="55" spans="2:45" x14ac:dyDescent="0.15">
      <c r="B55" s="29">
        <f>[1]节奏总纲!N55</f>
        <v>62</v>
      </c>
      <c r="C55" s="1">
        <v>52</v>
      </c>
      <c r="D55" s="1">
        <f>[1]节奏总纲!P55</f>
        <v>35.758347359905123</v>
      </c>
      <c r="E55" s="1">
        <f>[1]节奏总纲!Q55</f>
        <v>31.081155525229534</v>
      </c>
      <c r="F55" s="1">
        <f>[1]节奏总纲!R55</f>
        <v>25.606552544428059</v>
      </c>
      <c r="G55" s="1">
        <f>[1]节奏总纲!S55</f>
        <v>18.930469092333773</v>
      </c>
      <c r="H55" s="1">
        <f>[1]节奏总纲!T55</f>
        <v>10.570167479587953</v>
      </c>
      <c r="J55" s="1">
        <v>52</v>
      </c>
      <c r="K55" s="1">
        <f>[1]节奏总纲!W55</f>
        <v>2.4615965587437572</v>
      </c>
      <c r="L55" s="1">
        <f>[1]节奏总纲!X55</f>
        <v>2.1529384291805371</v>
      </c>
      <c r="M55" s="1">
        <f>[1]节奏总纲!Y55</f>
        <v>1.822683447158493</v>
      </c>
      <c r="N55" s="1">
        <f>[1]节奏总纲!Z55</f>
        <v>1.3431253191603396</v>
      </c>
      <c r="O55" s="1">
        <f>[1]节奏总纲!AA55</f>
        <v>0.72431826768453611</v>
      </c>
      <c r="Q55" s="1">
        <v>52</v>
      </c>
      <c r="R55" s="1">
        <f>[1]节奏总纲!AD55</f>
        <v>57.27226591292537</v>
      </c>
      <c r="S55" s="1">
        <f>[1]节奏总纲!AE55</f>
        <v>59.290380144164828</v>
      </c>
      <c r="T55" s="1">
        <f>[1]节奏总纲!AF55</f>
        <v>62.130298748930763</v>
      </c>
      <c r="U55" s="1">
        <f>[1]节奏总纲!AG55</f>
        <v>66.530472725664353</v>
      </c>
      <c r="V55" s="1">
        <f>[1]节奏总纲!AH55</f>
        <v>75.062532510920803</v>
      </c>
      <c r="Z55" s="43">
        <v>52</v>
      </c>
      <c r="AA55" s="43">
        <f>[1]节奏总纲!AM55</f>
        <v>789.85301886939453</v>
      </c>
      <c r="AB55" s="43">
        <f>[1]节奏总纲!AN55</f>
        <v>631.88241509551563</v>
      </c>
      <c r="AC55" s="43">
        <f>[1]节奏总纲!AO55</f>
        <v>473.91181132163672</v>
      </c>
      <c r="AD55" s="43">
        <f>[1]节奏总纲!AP55</f>
        <v>315.94120754775781</v>
      </c>
      <c r="AE55" s="43">
        <f>[1]节奏总纲!AQ55</f>
        <v>157.97060377387891</v>
      </c>
      <c r="AG55" s="43">
        <v>52</v>
      </c>
      <c r="AH55" s="43">
        <f>[1]节奏总纲!AT55</f>
        <v>108.19809186955615</v>
      </c>
      <c r="AI55" s="43">
        <f>[1]节奏总纲!AU55</f>
        <v>86.558473495644876</v>
      </c>
      <c r="AJ55" s="43">
        <f>[1]节奏总纲!AV55</f>
        <v>64.918855121733714</v>
      </c>
      <c r="AK55" s="43">
        <f>[1]节奏总纲!AW55</f>
        <v>43.279236747822438</v>
      </c>
      <c r="AL55" s="43">
        <f>[1]节奏总纲!AX55</f>
        <v>21.639618373911219</v>
      </c>
      <c r="AN55" s="2">
        <v>52</v>
      </c>
      <c r="AO55" s="2">
        <f>[1]节奏总纲!BA55</f>
        <v>33.737057773318043</v>
      </c>
      <c r="AP55" s="2">
        <f>[1]节奏总纲!BB55</f>
        <v>35.146386283795508</v>
      </c>
      <c r="AQ55" s="2">
        <f>[1]节奏总纲!BC55</f>
        <v>37.075448197698059</v>
      </c>
      <c r="AR55" s="2">
        <f>[1]节奏总纲!BD55</f>
        <v>39.790623261487418</v>
      </c>
      <c r="AS55" s="2">
        <f>[1]节奏总纲!BE55</f>
        <v>44.455742855302844</v>
      </c>
    </row>
    <row r="56" spans="2:45" x14ac:dyDescent="0.15">
      <c r="B56" s="29">
        <f>[1]节奏总纲!N56</f>
        <v>63</v>
      </c>
      <c r="C56" s="1">
        <v>53</v>
      </c>
      <c r="D56" s="1">
        <f>[1]节奏总纲!P56</f>
        <v>38.396621227037308</v>
      </c>
      <c r="E56" s="1">
        <f>[1]节奏总纲!Q56</f>
        <v>33.42809844025868</v>
      </c>
      <c r="F56" s="1">
        <f>[1]节奏总纲!R56</f>
        <v>27.5802930273809</v>
      </c>
      <c r="G56" s="1">
        <f>[1]节奏总纲!S56</f>
        <v>20.319491953348145</v>
      </c>
      <c r="H56" s="1">
        <f>[1]节奏总纲!T56</f>
        <v>11.338522248344118</v>
      </c>
      <c r="J56" s="1">
        <v>53</v>
      </c>
      <c r="K56" s="1">
        <f>[1]节奏总纲!W56</f>
        <v>2.6382738671321846</v>
      </c>
      <c r="L56" s="1">
        <f>[1]节奏总纲!X56</f>
        <v>2.3469429150291461</v>
      </c>
      <c r="M56" s="1">
        <f>[1]节奏总纲!Y56</f>
        <v>1.9737404829528415</v>
      </c>
      <c r="N56" s="1">
        <f>[1]节奏总纲!Z56</f>
        <v>1.3890228610143716</v>
      </c>
      <c r="O56" s="1">
        <f>[1]节奏总纲!AA56</f>
        <v>0.76835476875616493</v>
      </c>
      <c r="Q56" s="1">
        <v>53</v>
      </c>
      <c r="R56" s="1">
        <f>[1]节奏总纲!AD56</f>
        <v>57.540284631526099</v>
      </c>
      <c r="S56" s="1">
        <f>[1]节奏总纲!AE56</f>
        <v>59.564417547460899</v>
      </c>
      <c r="T56" s="1">
        <f>[1]节奏总纲!AF56</f>
        <v>62.395461425033538</v>
      </c>
      <c r="U56" s="1">
        <f>[1]节奏总纲!AG56</f>
        <v>66.819253686739231</v>
      </c>
      <c r="V56" s="1">
        <f>[1]节奏总纲!AH56</f>
        <v>75.318351032805268</v>
      </c>
      <c r="Z56" s="43">
        <v>53</v>
      </c>
      <c r="AA56" s="43">
        <f>[1]节奏总纲!AM56</f>
        <v>915.14532082292135</v>
      </c>
      <c r="AB56" s="43">
        <f>[1]节奏总纲!AN56</f>
        <v>732.11625665833708</v>
      </c>
      <c r="AC56" s="43">
        <f>[1]节奏总纲!AO56</f>
        <v>549.08719249375281</v>
      </c>
      <c r="AD56" s="43">
        <f>[1]节奏总纲!AP56</f>
        <v>366.05812832916854</v>
      </c>
      <c r="AE56" s="43">
        <f>[1]节奏总纲!AQ56</f>
        <v>183.02906416458427</v>
      </c>
      <c r="AG56" s="43">
        <v>53</v>
      </c>
      <c r="AH56" s="43">
        <f>[1]节奏总纲!AT56</f>
        <v>125.29230195352682</v>
      </c>
      <c r="AI56" s="43">
        <f>[1]节奏总纲!AU56</f>
        <v>100.23384156282145</v>
      </c>
      <c r="AJ56" s="43">
        <f>[1]节奏总纲!AV56</f>
        <v>75.17538117211609</v>
      </c>
      <c r="AK56" s="43">
        <f>[1]节奏总纲!AW56</f>
        <v>50.116920781410727</v>
      </c>
      <c r="AL56" s="43">
        <f>[1]节奏总纲!AX56</f>
        <v>25.058460390705363</v>
      </c>
      <c r="AN56" s="2">
        <v>53</v>
      </c>
      <c r="AO56" s="2">
        <f>[1]节奏总纲!BA56</f>
        <v>33.861619962032307</v>
      </c>
      <c r="AP56" s="2">
        <f>[1]节奏总纲!BB56</f>
        <v>35.268374853625097</v>
      </c>
      <c r="AQ56" s="2">
        <f>[1]节奏总纲!BC56</f>
        <v>37.196452985793947</v>
      </c>
      <c r="AR56" s="2">
        <f>[1]节奏总纲!BD56</f>
        <v>39.925705028269732</v>
      </c>
      <c r="AS56" s="2">
        <f>[1]节奏总纲!BE56</f>
        <v>44.585020086822361</v>
      </c>
    </row>
    <row r="57" spans="2:45" x14ac:dyDescent="0.15">
      <c r="B57" s="29">
        <f>[1]节奏总纲!N57</f>
        <v>64</v>
      </c>
      <c r="C57" s="1">
        <v>54</v>
      </c>
      <c r="D57" s="1">
        <f>[1]节奏总纲!P57</f>
        <v>41.224253144732614</v>
      </c>
      <c r="E57" s="1">
        <f>[1]节奏总纲!Q57</f>
        <v>35.947548742206841</v>
      </c>
      <c r="F57" s="1">
        <f>[1]节奏总纲!R57</f>
        <v>29.553667079458812</v>
      </c>
      <c r="G57" s="1">
        <f>[1]节奏总纲!S57</f>
        <v>21.762283235104348</v>
      </c>
      <c r="H57" s="1">
        <f>[1]节奏总纲!T57</f>
        <v>12.111685573922442</v>
      </c>
      <c r="J57" s="1">
        <v>54</v>
      </c>
      <c r="K57" s="1">
        <f>[1]节奏总纲!W57</f>
        <v>2.8276319176953066</v>
      </c>
      <c r="L57" s="1">
        <f>[1]节奏总纲!X57</f>
        <v>2.5194503019481616</v>
      </c>
      <c r="M57" s="1">
        <f>[1]节奏总纲!Y57</f>
        <v>1.9733740520779115</v>
      </c>
      <c r="N57" s="1">
        <f>[1]节奏总纲!Z57</f>
        <v>1.4427912817562039</v>
      </c>
      <c r="O57" s="1">
        <f>[1]节奏总纲!AA57</f>
        <v>0.77316332557832368</v>
      </c>
      <c r="Q57" s="1">
        <v>54</v>
      </c>
      <c r="R57" s="1">
        <f>[1]节奏总纲!AD57</f>
        <v>57.80830335012682</v>
      </c>
      <c r="S57" s="1">
        <f>[1]节奏总纲!AE57</f>
        <v>59.838454950756969</v>
      </c>
      <c r="T57" s="1">
        <f>[1]节奏总纲!AF57</f>
        <v>62.660624101136307</v>
      </c>
      <c r="U57" s="1">
        <f>[1]节奏总纲!AG57</f>
        <v>67.098789255934349</v>
      </c>
      <c r="V57" s="1">
        <f>[1]节奏总纲!AH57</f>
        <v>75.574169554689718</v>
      </c>
      <c r="Z57" s="43">
        <v>54</v>
      </c>
      <c r="AA57" s="43">
        <f>[1]节奏总纲!AM57</f>
        <v>1060.2230944101252</v>
      </c>
      <c r="AB57" s="43">
        <f>[1]节奏总纲!AN57</f>
        <v>848.17847552810019</v>
      </c>
      <c r="AC57" s="43">
        <f>[1]节奏总纲!AO57</f>
        <v>636.13385664607506</v>
      </c>
      <c r="AD57" s="43">
        <f>[1]节奏总纲!AP57</f>
        <v>424.0892377640501</v>
      </c>
      <c r="AE57" s="43">
        <f>[1]节奏总纲!AQ57</f>
        <v>212.04461888202505</v>
      </c>
      <c r="AG57" s="43">
        <v>54</v>
      </c>
      <c r="AH57" s="43">
        <f>[1]节奏总纲!AT57</f>
        <v>145.07777358720386</v>
      </c>
      <c r="AI57" s="43">
        <f>[1]节奏总纲!AU57</f>
        <v>116.06221886976311</v>
      </c>
      <c r="AJ57" s="43">
        <f>[1]节奏总纲!AV57</f>
        <v>87.046664152322251</v>
      </c>
      <c r="AK57" s="43">
        <f>[1]节奏总纲!AW57</f>
        <v>58.031109434881557</v>
      </c>
      <c r="AL57" s="43">
        <f>[1]节奏总纲!AX57</f>
        <v>29.015554717440779</v>
      </c>
      <c r="AN57" s="2">
        <v>54</v>
      </c>
      <c r="AO57" s="2">
        <f>[1]节奏总纲!BA57</f>
        <v>33.986182150746572</v>
      </c>
      <c r="AP57" s="2">
        <f>[1]节奏总纲!BB57</f>
        <v>35.390363423454687</v>
      </c>
      <c r="AQ57" s="2">
        <f>[1]节奏总纲!BC57</f>
        <v>37.317457773889828</v>
      </c>
      <c r="AR57" s="2">
        <f>[1]节奏总纲!BD57</f>
        <v>40.052446592012309</v>
      </c>
      <c r="AS57" s="2">
        <f>[1]节奏总纲!BE57</f>
        <v>44.71429731834187</v>
      </c>
    </row>
    <row r="58" spans="2:45" x14ac:dyDescent="0.15">
      <c r="B58" s="29">
        <f>[1]节奏总纲!N58</f>
        <v>65</v>
      </c>
      <c r="C58" s="1">
        <v>55</v>
      </c>
      <c r="D58" s="1">
        <f>[1]节奏总纲!P58</f>
        <v>44.254833995939045</v>
      </c>
      <c r="E58" s="1">
        <f>[1]节奏总纲!Q58</f>
        <v>38.53268396026413</v>
      </c>
      <c r="F58" s="1">
        <f>[1]节奏总纲!R58</f>
        <v>31.642206307096416</v>
      </c>
      <c r="G58" s="1">
        <f>[1]节奏总纲!S58</f>
        <v>23.282468165263531</v>
      </c>
      <c r="H58" s="1">
        <f>[1]节奏总纲!T58</f>
        <v>12.944538943812169</v>
      </c>
      <c r="J58" s="1">
        <v>55</v>
      </c>
      <c r="K58" s="1">
        <f>[1]节奏总纲!W58</f>
        <v>3.0305808512064303</v>
      </c>
      <c r="L58" s="1">
        <f>[1]节奏总纲!X58</f>
        <v>2.5851352180572889</v>
      </c>
      <c r="M58" s="1">
        <f>[1]节奏总纲!Y58</f>
        <v>2.0885392276376038</v>
      </c>
      <c r="N58" s="1">
        <f>[1]节奏总纲!Z58</f>
        <v>1.5201849301591821</v>
      </c>
      <c r="O58" s="1">
        <f>[1]节奏总纲!AA58</f>
        <v>0.8328533698897278</v>
      </c>
      <c r="Q58" s="1">
        <v>55</v>
      </c>
      <c r="R58" s="1">
        <f>[1]节奏总纲!AD58</f>
        <v>58.071211008105138</v>
      </c>
      <c r="S58" s="1">
        <f>[1]节奏总纲!AE58</f>
        <v>60.102437883401088</v>
      </c>
      <c r="T58" s="1">
        <f>[1]节奏总纲!AF58</f>
        <v>62.925786777239075</v>
      </c>
      <c r="U58" s="1">
        <f>[1]节奏总纲!AG58</f>
        <v>67.36285691246691</v>
      </c>
      <c r="V58" s="1">
        <f>[1]节奏总纲!AH58</f>
        <v>75.829988076574182</v>
      </c>
      <c r="Z58" s="43">
        <v>55</v>
      </c>
      <c r="AA58" s="43">
        <f>[1]节奏总纲!AM58</f>
        <v>1228.2</v>
      </c>
      <c r="AB58" s="43">
        <f>[1]节奏总纲!AN58</f>
        <v>982.56000000000006</v>
      </c>
      <c r="AC58" s="43">
        <f>[1]节奏总纲!AO58</f>
        <v>736.92</v>
      </c>
      <c r="AD58" s="43">
        <f>[1]节奏总纲!AP58</f>
        <v>491.28000000000003</v>
      </c>
      <c r="AE58" s="43">
        <f>[1]节奏总纲!AQ58</f>
        <v>245.64000000000001</v>
      </c>
      <c r="AG58" s="43">
        <v>55</v>
      </c>
      <c r="AH58" s="43">
        <f>[1]节奏总纲!AT58</f>
        <v>167.97690558987483</v>
      </c>
      <c r="AI58" s="43">
        <f>[1]节奏总纲!AU58</f>
        <v>134.38152447189987</v>
      </c>
      <c r="AJ58" s="43">
        <f>[1]节奏总纲!AV58</f>
        <v>100.7861433539249</v>
      </c>
      <c r="AK58" s="43">
        <f>[1]节奏总纲!AW58</f>
        <v>67.190762235949933</v>
      </c>
      <c r="AL58" s="43">
        <f>[1]节奏总纲!AX58</f>
        <v>33.595381117974966</v>
      </c>
      <c r="AN58" s="2">
        <v>55</v>
      </c>
      <c r="AO58" s="2">
        <f>[1]节奏总纲!BA58</f>
        <v>34.09469189131628</v>
      </c>
      <c r="AP58" s="2">
        <f>[1]节奏总纲!BB58</f>
        <v>35.512351993284277</v>
      </c>
      <c r="AQ58" s="2">
        <f>[1]节奏总纲!BC58</f>
        <v>37.438462561985709</v>
      </c>
      <c r="AR58" s="2">
        <f>[1]节奏总纲!BD58</f>
        <v>40.168994574261895</v>
      </c>
      <c r="AS58" s="2">
        <f>[1]节奏总纲!BE58</f>
        <v>44.843574549861387</v>
      </c>
    </row>
    <row r="59" spans="2:45" x14ac:dyDescent="0.15">
      <c r="B59" s="29">
        <f>[1]节奏总纲!N59</f>
        <v>66</v>
      </c>
      <c r="C59" s="1">
        <v>56</v>
      </c>
      <c r="D59" s="1">
        <f>[1]节奏总纲!P59</f>
        <v>47.502930128332721</v>
      </c>
      <c r="E59" s="1">
        <f>[1]节奏总纲!Q59</f>
        <v>41.275295988508304</v>
      </c>
      <c r="F59" s="1">
        <f>[1]节奏总纲!R59</f>
        <v>33.888590353552566</v>
      </c>
      <c r="G59" s="1">
        <f>[1]节奏总纲!S59</f>
        <v>24.910536559297679</v>
      </c>
      <c r="H59" s="1">
        <f>[1]节奏总纲!T59</f>
        <v>13.837603546383322</v>
      </c>
      <c r="J59" s="1">
        <v>56</v>
      </c>
      <c r="K59" s="1">
        <f>[1]节奏总纲!W59</f>
        <v>3.2480961323936768</v>
      </c>
      <c r="L59" s="1">
        <f>[1]节奏总纲!X59</f>
        <v>2.7426120282441744</v>
      </c>
      <c r="M59" s="1">
        <f>[1]节奏总纲!Y59</f>
        <v>2.24638404645615</v>
      </c>
      <c r="N59" s="1">
        <f>[1]节奏总纲!Z59</f>
        <v>1.6280683940341483</v>
      </c>
      <c r="O59" s="1">
        <f>[1]节奏总纲!AA59</f>
        <v>0.89306460257115283</v>
      </c>
      <c r="Q59" s="1">
        <v>56</v>
      </c>
      <c r="R59" s="1">
        <f>[1]节奏总纲!AD59</f>
        <v>58.321281314909029</v>
      </c>
      <c r="S59" s="1">
        <f>[1]节奏总纲!AE59</f>
        <v>60.351982057337977</v>
      </c>
      <c r="T59" s="1">
        <f>[1]节奏总纲!AF59</f>
        <v>63.17626763611517</v>
      </c>
      <c r="U59" s="1">
        <f>[1]节奏总纲!AG59</f>
        <v>67.626924568999456</v>
      </c>
      <c r="V59" s="1">
        <f>[1]节奏总纲!AH59</f>
        <v>76.086647524934079</v>
      </c>
      <c r="Z59" s="43">
        <v>56</v>
      </c>
      <c r="AA59" s="43">
        <f>[1]节奏总纲!AM59</f>
        <v>1422.6782097755249</v>
      </c>
      <c r="AB59" s="43">
        <f>[1]节奏总纲!AN59</f>
        <v>1138.14256782042</v>
      </c>
      <c r="AC59" s="43">
        <f>[1]节奏总纲!AO59</f>
        <v>853.60692586531491</v>
      </c>
      <c r="AD59" s="43">
        <f>[1]节奏总纲!AP59</f>
        <v>569.07128391021001</v>
      </c>
      <c r="AE59" s="43">
        <f>[1]节奏总纲!AQ59</f>
        <v>284.53564195510501</v>
      </c>
      <c r="AG59" s="43">
        <v>56</v>
      </c>
      <c r="AH59" s="43">
        <f>[1]节奏总纲!AT59</f>
        <v>194.47820977552487</v>
      </c>
      <c r="AI59" s="43">
        <f>[1]节奏总纲!AU59</f>
        <v>155.58256782041997</v>
      </c>
      <c r="AJ59" s="43">
        <f>[1]节奏总纲!AV59</f>
        <v>116.68692586531495</v>
      </c>
      <c r="AK59" s="43">
        <f>[1]节奏总纲!AW59</f>
        <v>77.791283910209984</v>
      </c>
      <c r="AL59" s="43">
        <f>[1]节奏总纲!AX59</f>
        <v>38.895641955104992</v>
      </c>
      <c r="AN59" s="2">
        <v>56</v>
      </c>
      <c r="AO59" s="2">
        <f>[1]节奏总纲!BA59</f>
        <v>34.201198727632011</v>
      </c>
      <c r="AP59" s="2">
        <f>[1]节奏总纲!BB59</f>
        <v>35.634340563113874</v>
      </c>
      <c r="AQ59" s="2">
        <f>[1]节奏总纲!BC59</f>
        <v>37.55946735008159</v>
      </c>
      <c r="AR59" s="2">
        <f>[1]节奏总纲!BD59</f>
        <v>40.28554255651148</v>
      </c>
      <c r="AS59" s="2">
        <f>[1]节奏总纲!BE59</f>
        <v>44.972851781380903</v>
      </c>
    </row>
    <row r="60" spans="2:45" x14ac:dyDescent="0.15">
      <c r="B60" s="29">
        <f>[1]节奏总纲!N60</f>
        <v>67</v>
      </c>
      <c r="C60" s="1">
        <v>57</v>
      </c>
      <c r="D60" s="1">
        <f>[1]节奏总纲!P60</f>
        <v>50.984153366799077</v>
      </c>
      <c r="E60" s="1">
        <f>[1]节奏总纲!Q60</f>
        <v>44.310327691085078</v>
      </c>
      <c r="F60" s="1">
        <f>[1]节奏总纲!R60</f>
        <v>36.316012443170983</v>
      </c>
      <c r="G60" s="1">
        <f>[1]节奏总纲!S60</f>
        <v>26.664712210835919</v>
      </c>
      <c r="H60" s="1">
        <f>[1]节奏总纲!T60</f>
        <v>14.815994968391813</v>
      </c>
      <c r="J60" s="1">
        <v>57</v>
      </c>
      <c r="K60" s="1">
        <f>[1]节奏总纲!W60</f>
        <v>3.481223238466356</v>
      </c>
      <c r="L60" s="1">
        <f>[1]节奏总纲!X60</f>
        <v>3.0350317025767737</v>
      </c>
      <c r="M60" s="1">
        <f>[1]节奏总纲!Y60</f>
        <v>2.4274220896184175</v>
      </c>
      <c r="N60" s="1">
        <f>[1]节奏总纲!Z60</f>
        <v>1.7541756515382403</v>
      </c>
      <c r="O60" s="1">
        <f>[1]节奏总纲!AA60</f>
        <v>0.97839142200849061</v>
      </c>
      <c r="Q60" s="1">
        <v>57</v>
      </c>
      <c r="R60" s="1">
        <f>[1]节奏总纲!AD60</f>
        <v>58.571351621712921</v>
      </c>
      <c r="S60" s="1">
        <f>[1]节奏总纲!AE60</f>
        <v>60.60152623127486</v>
      </c>
      <c r="T60" s="1">
        <f>[1]节奏总纲!AF60</f>
        <v>63.421042351541736</v>
      </c>
      <c r="U60" s="1">
        <f>[1]节奏总纲!AG60</f>
        <v>67.890992225532017</v>
      </c>
      <c r="V60" s="1">
        <f>[1]节奏总纲!AH60</f>
        <v>76.344973133357612</v>
      </c>
      <c r="Z60" s="43">
        <v>57</v>
      </c>
      <c r="AA60" s="43">
        <f>[1]节奏总纲!AM60</f>
        <v>1647.8248427703616</v>
      </c>
      <c r="AB60" s="43">
        <f>[1]节奏总纲!AN60</f>
        <v>1318.2598742162893</v>
      </c>
      <c r="AC60" s="43">
        <f>[1]节奏总纲!AO60</f>
        <v>988.69490566221691</v>
      </c>
      <c r="AD60" s="43">
        <f>[1]节奏总纲!AP60</f>
        <v>659.12993710814465</v>
      </c>
      <c r="AE60" s="43">
        <f>[1]节奏总纲!AQ60</f>
        <v>329.56496855407232</v>
      </c>
      <c r="AG60" s="43">
        <v>57</v>
      </c>
      <c r="AH60" s="43">
        <f>[1]节奏总纲!AT60</f>
        <v>225.14663299483664</v>
      </c>
      <c r="AI60" s="43">
        <f>[1]节奏总纲!AU60</f>
        <v>180.11730639586926</v>
      </c>
      <c r="AJ60" s="43">
        <f>[1]节奏总纲!AV60</f>
        <v>135.087979796902</v>
      </c>
      <c r="AK60" s="43">
        <f>[1]节奏总纲!AW60</f>
        <v>90.058653197934632</v>
      </c>
      <c r="AL60" s="43">
        <f>[1]节奏总纲!AX60</f>
        <v>45.029326598967316</v>
      </c>
      <c r="AN60" s="2">
        <v>57</v>
      </c>
      <c r="AO60" s="2">
        <f>[1]节奏总纲!BA60</f>
        <v>34.307705563947749</v>
      </c>
      <c r="AP60" s="2">
        <f>[1]节奏总纲!BB60</f>
        <v>35.756329132943463</v>
      </c>
      <c r="AQ60" s="2">
        <f>[1]节奏总纲!BC60</f>
        <v>37.680472138177478</v>
      </c>
      <c r="AR60" s="2">
        <f>[1]节奏总纲!BD60</f>
        <v>40.402090538761065</v>
      </c>
      <c r="AS60" s="2">
        <f>[1]节奏总纲!BE60</f>
        <v>45.088151688727308</v>
      </c>
    </row>
    <row r="61" spans="2:45" x14ac:dyDescent="0.15">
      <c r="B61" s="29">
        <f>[1]节奏总纲!N61</f>
        <v>68</v>
      </c>
      <c r="C61" s="1">
        <v>58</v>
      </c>
      <c r="D61" s="1">
        <f>[1]节奏总纲!P61</f>
        <v>54.715236050951923</v>
      </c>
      <c r="E61" s="1">
        <f>[1]节奏总纲!Q61</f>
        <v>47.459995750595695</v>
      </c>
      <c r="F61" s="1">
        <f>[1]节奏总纲!R61</f>
        <v>38.913475879437009</v>
      </c>
      <c r="G61" s="1">
        <f>[1]节奏总纲!S61</f>
        <v>28.572296265807093</v>
      </c>
      <c r="H61" s="1">
        <f>[1]节奏总纲!T61</f>
        <v>15.856475407565867</v>
      </c>
      <c r="J61" s="1">
        <v>58</v>
      </c>
      <c r="K61" s="1">
        <f>[1]节奏总纲!W61</f>
        <v>3.7310826841528453</v>
      </c>
      <c r="L61" s="1">
        <f>[1]节奏总纲!X61</f>
        <v>3.149668059510617</v>
      </c>
      <c r="M61" s="1">
        <f>[1]节奏总纲!Y61</f>
        <v>2.5974634362660254</v>
      </c>
      <c r="N61" s="1">
        <f>[1]节奏总纲!Z61</f>
        <v>1.9075840549711742</v>
      </c>
      <c r="O61" s="1">
        <f>[1]节奏总纲!AA61</f>
        <v>1.0404804391740541</v>
      </c>
      <c r="Q61" s="1">
        <v>58</v>
      </c>
      <c r="R61" s="1">
        <f>[1]节奏总纲!AD61</f>
        <v>58.821421928516813</v>
      </c>
      <c r="S61" s="1">
        <f>[1]节奏总纲!AE61</f>
        <v>60.851070405211743</v>
      </c>
      <c r="T61" s="1">
        <f>[1]节奏总纲!AF61</f>
        <v>63.665817066968295</v>
      </c>
      <c r="U61" s="1">
        <f>[1]节奏总纲!AG61</f>
        <v>68.142437172458173</v>
      </c>
      <c r="V61" s="1">
        <f>[1]节奏总纲!AH61</f>
        <v>76.60329874178116</v>
      </c>
      <c r="Z61" s="43">
        <v>58</v>
      </c>
      <c r="AA61" s="43">
        <f>[1]节奏总纲!AM61</f>
        <v>1908.4603298511749</v>
      </c>
      <c r="AB61" s="43">
        <f>[1]节奏总纲!AN61</f>
        <v>1526.7682638809401</v>
      </c>
      <c r="AC61" s="43">
        <f>[1]节奏总纲!AO61</f>
        <v>1145.0761979107049</v>
      </c>
      <c r="AD61" s="43">
        <f>[1]节奏总纲!AP61</f>
        <v>763.38413194047007</v>
      </c>
      <c r="AE61" s="43">
        <f>[1]节奏总纲!AQ61</f>
        <v>381.69206597023503</v>
      </c>
      <c r="AG61" s="43">
        <v>58</v>
      </c>
      <c r="AH61" s="43">
        <f>[1]节奏总纲!AT61</f>
        <v>260.63548708081339</v>
      </c>
      <c r="AI61" s="43">
        <f>[1]节奏总纲!AU61</f>
        <v>208.50838966465085</v>
      </c>
      <c r="AJ61" s="43">
        <f>[1]节奏总纲!AV61</f>
        <v>156.38129224848797</v>
      </c>
      <c r="AK61" s="43">
        <f>[1]节奏总纲!AW61</f>
        <v>104.25419483232542</v>
      </c>
      <c r="AL61" s="43">
        <f>[1]节奏总纲!AX61</f>
        <v>52.127097416162712</v>
      </c>
      <c r="AN61" s="2">
        <v>58</v>
      </c>
      <c r="AO61" s="2">
        <f>[1]节奏总纲!BA61</f>
        <v>34.41421240026348</v>
      </c>
      <c r="AP61" s="2">
        <f>[1]节奏总纲!BB61</f>
        <v>35.878317702773053</v>
      </c>
      <c r="AQ61" s="2">
        <f>[1]节奏总纲!BC61</f>
        <v>37.801476926273359</v>
      </c>
      <c r="AR61" s="2">
        <f>[1]节奏总纲!BD61</f>
        <v>40.518638521010644</v>
      </c>
      <c r="AS61" s="2">
        <f>[1]节奏总纲!BE61</f>
        <v>45.199736104837825</v>
      </c>
    </row>
    <row r="62" spans="2:45" x14ac:dyDescent="0.15">
      <c r="B62" s="29">
        <f>[1]节奏总纲!N62</f>
        <v>69</v>
      </c>
      <c r="C62" s="1">
        <v>59</v>
      </c>
      <c r="D62" s="1">
        <f>[1]节奏总纲!P62</f>
        <v>58.714111458355703</v>
      </c>
      <c r="E62" s="1">
        <f>[1]节奏总纲!Q62</f>
        <v>50.940363101269412</v>
      </c>
      <c r="F62" s="1">
        <f>[1]节奏总纲!R62</f>
        <v>41.728119013453394</v>
      </c>
      <c r="G62" s="1">
        <f>[1]节奏总纲!S62</f>
        <v>30.607666303240826</v>
      </c>
      <c r="H62" s="1">
        <f>[1]节奏总纲!T62</f>
        <v>17.003606678339814</v>
      </c>
      <c r="J62" s="1">
        <v>59</v>
      </c>
      <c r="K62" s="1">
        <f>[1]节奏总纲!W62</f>
        <v>3.99887540740378</v>
      </c>
      <c r="L62" s="1">
        <f>[1]节奏总纲!X62</f>
        <v>3.4803673506737169</v>
      </c>
      <c r="M62" s="1">
        <f>[1]节奏总纲!Y62</f>
        <v>2.8146431340163858</v>
      </c>
      <c r="N62" s="1">
        <f>[1]节奏总纲!Z62</f>
        <v>2.0353700374337329</v>
      </c>
      <c r="O62" s="1">
        <f>[1]节奏总纲!AA62</f>
        <v>1.1471312707739472</v>
      </c>
      <c r="Q62" s="1">
        <v>59</v>
      </c>
      <c r="R62" s="1">
        <f>[1]节奏总纲!AD62</f>
        <v>59.066704614192936</v>
      </c>
      <c r="S62" s="1">
        <f>[1]节奏总纲!AE62</f>
        <v>61.094954819415335</v>
      </c>
      <c r="T62" s="1">
        <f>[1]节奏总纲!AF62</f>
        <v>63.91059178239486</v>
      </c>
      <c r="U62" s="1">
        <f>[1]节奏总纲!AG62</f>
        <v>68.385008299388929</v>
      </c>
      <c r="V62" s="1">
        <f>[1]节奏总纲!AH62</f>
        <v>76.861624350204693</v>
      </c>
      <c r="Z62" s="43">
        <v>59</v>
      </c>
      <c r="AA62" s="43">
        <f>[1]节奏总纲!AM62</f>
        <v>2210.1605665017755</v>
      </c>
      <c r="AB62" s="43">
        <f>[1]节奏总纲!AN62</f>
        <v>1768.1284532014206</v>
      </c>
      <c r="AC62" s="43">
        <f>[1]节奏总纲!AO62</f>
        <v>1326.0963399010652</v>
      </c>
      <c r="AD62" s="43">
        <f>[1]节奏总纲!AP62</f>
        <v>884.0642266007103</v>
      </c>
      <c r="AE62" s="43">
        <f>[1]节奏总纲!AQ62</f>
        <v>442.03211330035515</v>
      </c>
      <c r="AG62" s="43">
        <v>59</v>
      </c>
      <c r="AH62" s="43">
        <f>[1]节奏总纲!AT62</f>
        <v>301.70023665060057</v>
      </c>
      <c r="AI62" s="43">
        <f>[1]节奏总纲!AU62</f>
        <v>241.36018932048046</v>
      </c>
      <c r="AJ62" s="43">
        <f>[1]节奏总纲!AV62</f>
        <v>181.02014199036034</v>
      </c>
      <c r="AK62" s="43">
        <f>[1]节奏总纲!AW62</f>
        <v>120.68009466024023</v>
      </c>
      <c r="AL62" s="43">
        <f>[1]节奏总纲!AX62</f>
        <v>60.340047330120115</v>
      </c>
      <c r="AN62" s="2">
        <v>59</v>
      </c>
      <c r="AO62" s="2">
        <f>[1]节奏总纲!BA62</f>
        <v>34.520719236579211</v>
      </c>
      <c r="AP62" s="2">
        <f>[1]节奏总纲!BB62</f>
        <v>36.000264155774609</v>
      </c>
      <c r="AQ62" s="2">
        <f>[1]节奏总纲!BC62</f>
        <v>37.922481714369241</v>
      </c>
      <c r="AR62" s="2">
        <f>[1]节奏总纲!BD62</f>
        <v>40.635186503260229</v>
      </c>
      <c r="AS62" s="2">
        <f>[1]节奏总纲!BE62</f>
        <v>45.31132052094835</v>
      </c>
    </row>
    <row r="63" spans="2:45" x14ac:dyDescent="0.15">
      <c r="B63" s="29">
        <f>[1]节奏总纲!N63</f>
        <v>70</v>
      </c>
      <c r="C63" s="1">
        <v>60</v>
      </c>
      <c r="D63" s="1">
        <f>[1]节奏总纲!P63</f>
        <v>63</v>
      </c>
      <c r="E63" s="1">
        <f>[1]节奏总纲!Q63</f>
        <v>54.589500000000001</v>
      </c>
      <c r="F63" s="1">
        <f>[1]节奏总纲!R63</f>
        <v>44.717399999999998</v>
      </c>
      <c r="G63" s="1">
        <f>[1]节奏总纲!S63</f>
        <v>32.810400000000001</v>
      </c>
      <c r="H63" s="1">
        <f>[1]节奏总纲!T63</f>
        <v>18.276300000000003</v>
      </c>
      <c r="J63" s="1">
        <v>60</v>
      </c>
      <c r="K63" s="1">
        <f>[1]节奏总纲!W63</f>
        <v>4.2858885416442973</v>
      </c>
      <c r="L63" s="1">
        <f>[1]节奏总纲!X63</f>
        <v>3.649136898730589</v>
      </c>
      <c r="M63" s="1">
        <f>[1]节奏总纲!Y63</f>
        <v>2.9892809865466035</v>
      </c>
      <c r="N63" s="1">
        <f>[1]节奏总纲!Z63</f>
        <v>2.2027336967591751</v>
      </c>
      <c r="O63" s="1">
        <f>[1]节奏总纲!AA63</f>
        <v>1.2726933216601886</v>
      </c>
      <c r="Q63" s="1">
        <v>60</v>
      </c>
      <c r="R63" s="1">
        <f>[1]节奏总纲!AD63</f>
        <v>59.300028460644697</v>
      </c>
      <c r="S63" s="1">
        <f>[1]节奏总纲!AE63</f>
        <v>61.330461663183208</v>
      </c>
      <c r="T63" s="1">
        <f>[1]节奏总纲!AF63</f>
        <v>64.14304723627319</v>
      </c>
      <c r="U63" s="1">
        <f>[1]节奏总纲!AG63</f>
        <v>68.627579426319684</v>
      </c>
      <c r="V63" s="1">
        <f>[1]节奏总纲!AH63</f>
        <v>77.112805903056142</v>
      </c>
      <c r="Z63" s="43">
        <v>60</v>
      </c>
      <c r="AA63" s="43">
        <f>[1]节奏总纲!AM63</f>
        <v>2559.375</v>
      </c>
      <c r="AB63" s="43">
        <f>[1]节奏总纲!AN63</f>
        <v>2047.5</v>
      </c>
      <c r="AC63" s="43">
        <f>[1]节奏总纲!AO63</f>
        <v>1535.625</v>
      </c>
      <c r="AD63" s="43">
        <f>[1]节奏总纲!AP63</f>
        <v>1023.75</v>
      </c>
      <c r="AE63" s="43">
        <f>[1]节奏总纲!AQ63</f>
        <v>511.875</v>
      </c>
      <c r="AG63" s="43">
        <v>60</v>
      </c>
      <c r="AH63" s="43">
        <f>[1]节奏总纲!AT63</f>
        <v>349.21443349822448</v>
      </c>
      <c r="AI63" s="43">
        <f>[1]节奏总纲!AU63</f>
        <v>279.3715467985794</v>
      </c>
      <c r="AJ63" s="43">
        <f>[1]节奏总纲!AV63</f>
        <v>209.52866009893478</v>
      </c>
      <c r="AK63" s="43">
        <f>[1]节奏总纲!AW63</f>
        <v>139.6857733992897</v>
      </c>
      <c r="AL63" s="43">
        <f>[1]节奏总纲!AX63</f>
        <v>69.842886699644851</v>
      </c>
      <c r="AN63" s="2">
        <v>60</v>
      </c>
      <c r="AO63" s="2">
        <f>[1]节奏总纲!BA63</f>
        <v>34.627226072894942</v>
      </c>
      <c r="AP63" s="2">
        <f>[1]节奏总纲!BB63</f>
        <v>36.105477566569242</v>
      </c>
      <c r="AQ63" s="2">
        <f>[1]节奏总纲!BC63</f>
        <v>38.037513426486328</v>
      </c>
      <c r="AR63" s="2">
        <f>[1]节奏总纲!BD63</f>
        <v>40.751734485509814</v>
      </c>
      <c r="AS63" s="2">
        <f>[1]节奏总纲!BE63</f>
        <v>45.422904937058867</v>
      </c>
    </row>
    <row r="64" spans="2:45" x14ac:dyDescent="0.15">
      <c r="B64" s="29">
        <f>[1]节奏总纲!N64</f>
        <v>71</v>
      </c>
      <c r="C64" s="1">
        <v>61</v>
      </c>
      <c r="D64" s="1">
        <f>[1]节奏总纲!P64</f>
        <v>67.593501602322732</v>
      </c>
      <c r="E64" s="1">
        <f>[1]节奏总纲!Q64</f>
        <v>58.596806539053574</v>
      </c>
      <c r="F64" s="1">
        <f>[1]节奏总纲!R64</f>
        <v>47.977867437328676</v>
      </c>
      <c r="G64" s="1">
        <f>[1]节奏总纲!S64</f>
        <v>35.229733035130607</v>
      </c>
      <c r="H64" s="1">
        <f>[1]节奏总纲!T64</f>
        <v>19.602115464673592</v>
      </c>
      <c r="J64" s="1">
        <v>61</v>
      </c>
      <c r="K64" s="1">
        <f>[1]节奏总纲!W64</f>
        <v>4.593501602322732</v>
      </c>
      <c r="L64" s="1">
        <f>[1]节奏总纲!X64</f>
        <v>4.0073065390535731</v>
      </c>
      <c r="M64" s="1">
        <f>[1]节奏总纲!Y64</f>
        <v>3.2604674373286784</v>
      </c>
      <c r="N64" s="1">
        <f>[1]节奏总纲!Z64</f>
        <v>2.4193330351306059</v>
      </c>
      <c r="O64" s="1">
        <f>[1]节奏总纲!AA64</f>
        <v>1.3258154646735889</v>
      </c>
      <c r="Q64" s="1">
        <v>61</v>
      </c>
      <c r="R64" s="1">
        <f>[1]节奏总纲!AD64</f>
        <v>59.533352307096465</v>
      </c>
      <c r="S64" s="1">
        <f>[1]节奏总纲!AE64</f>
        <v>61.56596850695108</v>
      </c>
      <c r="T64" s="1">
        <f>[1]节奏总纲!AF64</f>
        <v>64.368413367596901</v>
      </c>
      <c r="U64" s="1">
        <f>[1]节奏总纲!AG64</f>
        <v>68.870150553250454</v>
      </c>
      <c r="V64" s="1">
        <f>[1]节奏总纲!AH64</f>
        <v>77.355745991356301</v>
      </c>
      <c r="Z64" s="43">
        <v>61</v>
      </c>
      <c r="AA64" s="43">
        <f>[1]节奏总纲!AM64</f>
        <v>2963.5631311027469</v>
      </c>
      <c r="AB64" s="43">
        <f>[1]节奏总纲!AN64</f>
        <v>2370.8505048821976</v>
      </c>
      <c r="AC64" s="43">
        <f>[1]节奏总纲!AO64</f>
        <v>1778.1378786616481</v>
      </c>
      <c r="AD64" s="43">
        <f>[1]节奏总纲!AP64</f>
        <v>1185.4252524410988</v>
      </c>
      <c r="AE64" s="43">
        <f>[1]节奏总纲!AQ64</f>
        <v>592.7126262205494</v>
      </c>
      <c r="AG64" s="43">
        <v>61</v>
      </c>
      <c r="AH64" s="43">
        <f>[1]节奏总纲!AT64</f>
        <v>404.18813110274687</v>
      </c>
      <c r="AI64" s="43">
        <f>[1]节奏总纲!AU64</f>
        <v>323.35050488219758</v>
      </c>
      <c r="AJ64" s="43">
        <f>[1]节奏总纲!AV64</f>
        <v>242.51287866164807</v>
      </c>
      <c r="AK64" s="43">
        <f>[1]节奏总纲!AW64</f>
        <v>161.67525244109879</v>
      </c>
      <c r="AL64" s="43">
        <f>[1]节奏总纲!AX64</f>
        <v>80.837626220549396</v>
      </c>
      <c r="AN64" s="2">
        <v>61</v>
      </c>
      <c r="AO64" s="2">
        <f>[1]节奏总纲!BA64</f>
        <v>34.733732909210673</v>
      </c>
      <c r="AP64" s="2">
        <f>[1]节奏总纲!BB64</f>
        <v>36.210690977363875</v>
      </c>
      <c r="AQ64" s="2">
        <f>[1]节奏总纲!BC64</f>
        <v>38.14189763688286</v>
      </c>
      <c r="AR64" s="2">
        <f>[1]节奏总纲!BD64</f>
        <v>40.8682824677594</v>
      </c>
      <c r="AS64" s="2">
        <f>[1]节奏总纲!BE64</f>
        <v>45.534489353169384</v>
      </c>
    </row>
    <row r="65" spans="2:45" x14ac:dyDescent="0.15">
      <c r="B65" s="29">
        <f>[1]节奏总纲!N65</f>
        <v>72</v>
      </c>
      <c r="C65" s="1">
        <v>62</v>
      </c>
      <c r="D65" s="1">
        <f>[1]节奏总纲!P65</f>
        <v>72.516694719810218</v>
      </c>
      <c r="E65" s="1">
        <f>[1]节奏总纲!Q65</f>
        <v>62.842967644187539</v>
      </c>
      <c r="F65" s="1">
        <f>[1]节奏总纲!R65</f>
        <v>51.5086082594812</v>
      </c>
      <c r="G65" s="1">
        <f>[1]节奏总纲!S65</f>
        <v>37.846462974268952</v>
      </c>
      <c r="H65" s="1">
        <f>[1]节奏总纲!T65</f>
        <v>21.124113171880715</v>
      </c>
      <c r="J65" s="1">
        <v>62</v>
      </c>
      <c r="K65" s="1">
        <f>[1]节奏总纲!W65</f>
        <v>4.9231931174874859</v>
      </c>
      <c r="L65" s="1">
        <f>[1]节奏总纲!X65</f>
        <v>4.2461611051339645</v>
      </c>
      <c r="M65" s="1">
        <f>[1]节奏总纲!Y65</f>
        <v>3.5307408221525236</v>
      </c>
      <c r="N65" s="1">
        <f>[1]节奏总纲!Z65</f>
        <v>2.6167299391383452</v>
      </c>
      <c r="O65" s="1">
        <f>[1]节奏总纲!AA65</f>
        <v>1.5219977072071238</v>
      </c>
      <c r="Q65" s="1">
        <v>62</v>
      </c>
      <c r="R65" s="1">
        <f>[1]节奏总纲!AD65</f>
        <v>59.766676153548232</v>
      </c>
      <c r="S65" s="1">
        <f>[1]节奏总纲!AE65</f>
        <v>61.801475350718952</v>
      </c>
      <c r="T65" s="1">
        <f>[1]节奏总纲!AF65</f>
        <v>64.593779498920611</v>
      </c>
      <c r="U65" s="1">
        <f>[1]节奏总纲!AG65</f>
        <v>69.105843627521551</v>
      </c>
      <c r="V65" s="1">
        <f>[1]节奏总纲!AH65</f>
        <v>77.59868607965646</v>
      </c>
      <c r="Z65" s="43">
        <v>62</v>
      </c>
      <c r="AA65" s="43">
        <f>[1]节奏总纲!AM65</f>
        <v>3431.3522956038646</v>
      </c>
      <c r="AB65" s="43">
        <f>[1]节奏总纲!AN65</f>
        <v>2745.081836483092</v>
      </c>
      <c r="AC65" s="43">
        <f>[1]节奏总纲!AO65</f>
        <v>2058.8113773623186</v>
      </c>
      <c r="AD65" s="43">
        <f>[1]节奏总纲!AP65</f>
        <v>1372.540918241546</v>
      </c>
      <c r="AE65" s="43">
        <f>[1]节奏总纲!AQ65</f>
        <v>686.27045912077301</v>
      </c>
      <c r="AG65" s="43">
        <v>62</v>
      </c>
      <c r="AH65" s="43">
        <f>[1]节奏总纲!AT65</f>
        <v>467.78916450111774</v>
      </c>
      <c r="AI65" s="43">
        <f>[1]节奏总纲!AU65</f>
        <v>374.23133160089446</v>
      </c>
      <c r="AJ65" s="43">
        <f>[1]节奏总纲!AV65</f>
        <v>280.67349870067051</v>
      </c>
      <c r="AK65" s="43">
        <f>[1]节奏总纲!AW65</f>
        <v>187.11566580044723</v>
      </c>
      <c r="AL65" s="43">
        <f>[1]节奏总纲!AX65</f>
        <v>93.557832900223616</v>
      </c>
      <c r="AN65" s="2">
        <v>62</v>
      </c>
      <c r="AO65" s="2">
        <f>[1]节奏总纲!BA65</f>
        <v>34.840239745526404</v>
      </c>
      <c r="AP65" s="2">
        <f>[1]节奏总纲!BB65</f>
        <v>36.315904388158508</v>
      </c>
      <c r="AQ65" s="2">
        <f>[1]节奏总纲!BC65</f>
        <v>38.246281847279398</v>
      </c>
      <c r="AR65" s="2">
        <f>[1]节奏总纲!BD65</f>
        <v>40.984830450008978</v>
      </c>
      <c r="AS65" s="2">
        <f>[1]节奏总纲!BE65</f>
        <v>45.646073769279901</v>
      </c>
    </row>
    <row r="66" spans="2:45" x14ac:dyDescent="0.15">
      <c r="B66" s="29">
        <f>[1]节奏总纲!N66</f>
        <v>73</v>
      </c>
      <c r="C66" s="1">
        <v>63</v>
      </c>
      <c r="D66" s="1">
        <f>[1]节奏总纲!P66</f>
        <v>77.793242454074615</v>
      </c>
      <c r="E66" s="1">
        <f>[1]节奏总纲!Q66</f>
        <v>67.470079180418907</v>
      </c>
      <c r="F66" s="1">
        <f>[1]节奏总纲!R66</f>
        <v>55.27987808786542</v>
      </c>
      <c r="G66" s="1">
        <f>[1]节奏总纲!S66</f>
        <v>40.678086479235617</v>
      </c>
      <c r="H66" s="1">
        <f>[1]节奏总纲!T66</f>
        <v>22.700068148098975</v>
      </c>
      <c r="J66" s="1">
        <v>63</v>
      </c>
      <c r="K66" s="1">
        <f>[1]节奏总纲!W66</f>
        <v>5.2765477342643976</v>
      </c>
      <c r="L66" s="1">
        <f>[1]节奏总纲!X66</f>
        <v>4.6271115362313679</v>
      </c>
      <c r="M66" s="1">
        <f>[1]节奏总纲!Y66</f>
        <v>3.7712698283842201</v>
      </c>
      <c r="N66" s="1">
        <f>[1]节奏总纲!Z66</f>
        <v>2.8316235049666645</v>
      </c>
      <c r="O66" s="1">
        <f>[1]节奏总纲!AA66</f>
        <v>1.5759549762182594</v>
      </c>
      <c r="Q66" s="1">
        <v>63</v>
      </c>
      <c r="R66" s="1">
        <f>[1]节奏总纲!AD66</f>
        <v>60</v>
      </c>
      <c r="S66" s="1">
        <f>[1]节奏总纲!AE66</f>
        <v>62.033937447710706</v>
      </c>
      <c r="T66" s="1">
        <f>[1]节奏总纲!AF66</f>
        <v>64.819145630244321</v>
      </c>
      <c r="U66" s="1">
        <f>[1]节奏总纲!AG66</f>
        <v>69.333613546893503</v>
      </c>
      <c r="V66" s="1">
        <f>[1]节奏总纲!AH66</f>
        <v>77.841626167956619</v>
      </c>
      <c r="Z66" s="43">
        <v>63</v>
      </c>
      <c r="AA66" s="43">
        <f>[1]节奏总纲!AM66</f>
        <v>3972.7200361130153</v>
      </c>
      <c r="AB66" s="43">
        <f>[1]节奏总纲!AN66</f>
        <v>3178.1760288904125</v>
      </c>
      <c r="AC66" s="43">
        <f>[1]节奏总纲!AO66</f>
        <v>2383.6320216678091</v>
      </c>
      <c r="AD66" s="43">
        <f>[1]节奏总纲!AP66</f>
        <v>1589.0880144452062</v>
      </c>
      <c r="AE66" s="43">
        <f>[1]节奏总纲!AQ66</f>
        <v>794.54400722260311</v>
      </c>
      <c r="AG66" s="43">
        <v>63</v>
      </c>
      <c r="AH66" s="43">
        <f>[1]节奏总纲!AT66</f>
        <v>541.36774050915074</v>
      </c>
      <c r="AI66" s="43">
        <f>[1]节奏总纲!AU66</f>
        <v>433.09419240732041</v>
      </c>
      <c r="AJ66" s="43">
        <f>[1]节奏总纲!AV66</f>
        <v>324.82064430549053</v>
      </c>
      <c r="AK66" s="43">
        <f>[1]节奏总纲!AW66</f>
        <v>216.5470962036602</v>
      </c>
      <c r="AL66" s="43">
        <f>[1]节奏总纲!AX66</f>
        <v>108.2735481018301</v>
      </c>
      <c r="AN66" s="2">
        <v>63</v>
      </c>
      <c r="AO66" s="2">
        <f>[1]节奏总纲!BA66</f>
        <v>34.946746581842135</v>
      </c>
      <c r="AP66" s="2">
        <f>[1]节奏总纲!BB66</f>
        <v>36.421117798953141</v>
      </c>
      <c r="AQ66" s="2">
        <f>[1]节奏总纲!BC66</f>
        <v>38.35066605767593</v>
      </c>
      <c r="AR66" s="2">
        <f>[1]节奏总纲!BD66</f>
        <v>41.087476216725996</v>
      </c>
      <c r="AS66" s="2">
        <f>[1]节奏总纲!BE66</f>
        <v>45.757658185390426</v>
      </c>
    </row>
    <row r="67" spans="2:45" x14ac:dyDescent="0.15">
      <c r="B67" s="29">
        <f>[1]节奏总纲!N67</f>
        <v>74</v>
      </c>
      <c r="C67" s="1">
        <v>64</v>
      </c>
      <c r="D67" s="1">
        <f>[1]节奏总纲!P67</f>
        <v>83.4485062894652</v>
      </c>
      <c r="E67" s="1">
        <f>[1]节奏总纲!Q67</f>
        <v>72.399924056740005</v>
      </c>
      <c r="F67" s="1">
        <f>[1]节奏总纲!R67</f>
        <v>59.365267374325548</v>
      </c>
      <c r="G67" s="1">
        <f>[1]节奏总纲!S67</f>
        <v>43.718672445050821</v>
      </c>
      <c r="H67" s="1">
        <f>[1]节奏总纲!T67</f>
        <v>24.341929284637001</v>
      </c>
      <c r="J67" s="1">
        <v>64</v>
      </c>
      <c r="K67" s="1">
        <f>[1]节奏总纲!W67</f>
        <v>5.6552638353905849</v>
      </c>
      <c r="L67" s="1">
        <f>[1]节奏总纲!X67</f>
        <v>4.9298448763210985</v>
      </c>
      <c r="M67" s="1">
        <f>[1]节奏总纲!Y67</f>
        <v>4.0853892864601278</v>
      </c>
      <c r="N67" s="1">
        <f>[1]节奏总纲!Z67</f>
        <v>3.0405859658152039</v>
      </c>
      <c r="O67" s="1">
        <f>[1]节奏总纲!AA67</f>
        <v>1.6418611365380258</v>
      </c>
      <c r="Q67" s="1">
        <v>64</v>
      </c>
      <c r="R67" s="1">
        <f>[1]节奏总纲!AD67</f>
        <v>60.217698846451768</v>
      </c>
      <c r="S67" s="1">
        <f>[1]节奏总纲!AE67</f>
        <v>62.250054995811666</v>
      </c>
      <c r="T67" s="1">
        <f>[1]节奏总纲!AF67</f>
        <v>65.042129882798193</v>
      </c>
      <c r="U67" s="1">
        <f>[1]节奏总纲!AG67</f>
        <v>69.56138346626544</v>
      </c>
      <c r="V67" s="1">
        <f>[1]节奏总纲!AH67</f>
        <v>78.077870469399883</v>
      </c>
      <c r="Z67" s="43">
        <v>64</v>
      </c>
      <c r="AA67" s="43">
        <f>[1]节奏总纲!AM67</f>
        <v>4599.2048883665893</v>
      </c>
      <c r="AB67" s="43">
        <f>[1]节奏总纲!AN67</f>
        <v>3679.3639106932715</v>
      </c>
      <c r="AC67" s="43">
        <f>[1]节奏总纲!AO67</f>
        <v>2759.5229330199536</v>
      </c>
      <c r="AD67" s="43">
        <f>[1]节奏总纲!AP67</f>
        <v>1839.6819553466357</v>
      </c>
      <c r="AE67" s="43">
        <f>[1]节奏总纲!AQ67</f>
        <v>919.84097767331787</v>
      </c>
      <c r="AG67" s="43">
        <v>64</v>
      </c>
      <c r="AH67" s="43">
        <f>[1]节奏总纲!AT67</f>
        <v>626.48485225357399</v>
      </c>
      <c r="AI67" s="43">
        <f>[1]节奏总纲!AU67</f>
        <v>501.18788180285901</v>
      </c>
      <c r="AJ67" s="43">
        <f>[1]节奏总纲!AV67</f>
        <v>375.89091135214449</v>
      </c>
      <c r="AK67" s="43">
        <f>[1]节奏总纲!AW67</f>
        <v>250.59394090142951</v>
      </c>
      <c r="AL67" s="43">
        <f>[1]节奏总纲!AX67</f>
        <v>125.29697045071475</v>
      </c>
      <c r="AN67" s="2">
        <v>64</v>
      </c>
      <c r="AO67" s="2">
        <f>[1]节奏总纲!BA67</f>
        <v>35.048795427931836</v>
      </c>
      <c r="AP67" s="2">
        <f>[1]节奏总纲!BB67</f>
        <v>36.526331209747774</v>
      </c>
      <c r="AQ67" s="2">
        <f>[1]节奏总纲!BC67</f>
        <v>38.455050268072462</v>
      </c>
      <c r="AR67" s="2">
        <f>[1]节奏总纲!BD67</f>
        <v>41.188041754455355</v>
      </c>
      <c r="AS67" s="2">
        <f>[1]节奏总纲!BE67</f>
        <v>45.869242601500943</v>
      </c>
    </row>
    <row r="68" spans="2:45" x14ac:dyDescent="0.15">
      <c r="B68" s="29">
        <f>[1]节奏总纲!N68</f>
        <v>75</v>
      </c>
      <c r="C68" s="1">
        <v>65</v>
      </c>
      <c r="D68" s="1">
        <f>[1]节奏总纲!P68</f>
        <v>89.509667991878061</v>
      </c>
      <c r="E68" s="1">
        <f>[1]节奏总纲!Q68</f>
        <v>77.64963698295422</v>
      </c>
      <c r="F68" s="1">
        <f>[1]节奏总纲!R68</f>
        <v>63.802491344610679</v>
      </c>
      <c r="G68" s="1">
        <f>[1]节奏总纲!S68</f>
        <v>46.929918928141667</v>
      </c>
      <c r="H68" s="1">
        <f>[1]节奏总纲!T68</f>
        <v>25.993607584841389</v>
      </c>
      <c r="J68" s="1">
        <v>65</v>
      </c>
      <c r="K68" s="1">
        <f>[1]节奏总纲!W68</f>
        <v>6.0611617024128606</v>
      </c>
      <c r="L68" s="1">
        <f>[1]节奏总纲!X68</f>
        <v>5.2497129262142153</v>
      </c>
      <c r="M68" s="1">
        <f>[1]节奏总纲!Y68</f>
        <v>4.4372239702851317</v>
      </c>
      <c r="N68" s="1">
        <f>[1]节奏总纲!Z68</f>
        <v>3.2112464830908465</v>
      </c>
      <c r="O68" s="1">
        <f>[1]节奏总纲!AA68</f>
        <v>1.651678300204388</v>
      </c>
      <c r="Q68" s="1">
        <v>65</v>
      </c>
      <c r="R68" s="1">
        <f>[1]节奏总纲!AD68</f>
        <v>60.435397692903535</v>
      </c>
      <c r="S68" s="1">
        <f>[1]节奏总纲!AE68</f>
        <v>62.466172543912634</v>
      </c>
      <c r="T68" s="1">
        <f>[1]节奏总纲!AF68</f>
        <v>65.255436396961542</v>
      </c>
      <c r="U68" s="1">
        <f>[1]节奏总纲!AG68</f>
        <v>69.789153385637391</v>
      </c>
      <c r="V68" s="1">
        <f>[1]节奏总纲!AH68</f>
        <v>78.301575047908599</v>
      </c>
      <c r="Z68" s="43">
        <v>65</v>
      </c>
      <c r="AA68" s="43">
        <f>[1]节奏总纲!AM68</f>
        <v>5324.1500000000005</v>
      </c>
      <c r="AB68" s="43">
        <f>[1]节奏总纲!AN68</f>
        <v>4259.3200000000006</v>
      </c>
      <c r="AC68" s="43">
        <f>[1]节奏总纲!AO68</f>
        <v>3194.4900000000002</v>
      </c>
      <c r="AD68" s="43">
        <f>[1]节奏总纲!AP68</f>
        <v>2129.6600000000003</v>
      </c>
      <c r="AE68" s="43">
        <f>[1]节奏总纲!AQ68</f>
        <v>1064.8300000000002</v>
      </c>
      <c r="AG68" s="43">
        <v>65</v>
      </c>
      <c r="AH68" s="43">
        <f>[1]节奏总纲!AT68</f>
        <v>724.94511163341122</v>
      </c>
      <c r="AI68" s="43">
        <f>[1]节奏总纲!AU68</f>
        <v>579.95608930672915</v>
      </c>
      <c r="AJ68" s="43">
        <f>[1]节奏总纲!AV68</f>
        <v>434.96706698004664</v>
      </c>
      <c r="AK68" s="43">
        <f>[1]节奏总纲!AW68</f>
        <v>289.97804465336458</v>
      </c>
      <c r="AL68" s="43">
        <f>[1]节奏总纲!AX68</f>
        <v>144.98902232668229</v>
      </c>
      <c r="AN68" s="2">
        <v>65</v>
      </c>
      <c r="AO68" s="2">
        <f>[1]节奏总纲!BA68</f>
        <v>35.146386283795508</v>
      </c>
      <c r="AP68" s="2">
        <f>[1]节奏总纲!BB68</f>
        <v>36.631544620542407</v>
      </c>
      <c r="AQ68" s="2">
        <f>[1]节奏总纲!BC68</f>
        <v>38.559434478468994</v>
      </c>
      <c r="AR68" s="2">
        <f>[1]节奏总纲!BD68</f>
        <v>41.288607292184714</v>
      </c>
      <c r="AS68" s="2">
        <f>[1]节奏总纲!BE68</f>
        <v>45.98082701761146</v>
      </c>
    </row>
    <row r="69" spans="2:45" x14ac:dyDescent="0.15">
      <c r="B69" s="29">
        <f>[1]节奏总纲!N69</f>
        <v>76</v>
      </c>
      <c r="C69" s="1">
        <v>66</v>
      </c>
      <c r="D69" s="1">
        <f>[1]节奏总纲!P69</f>
        <v>96.005860256665443</v>
      </c>
      <c r="E69" s="1">
        <f>[1]节奏总纲!Q69</f>
        <v>83.352287874836932</v>
      </c>
      <c r="F69" s="1">
        <f>[1]节奏总纲!R69</f>
        <v>68.490580707105124</v>
      </c>
      <c r="G69" s="1">
        <f>[1]节奏总纲!S69</f>
        <v>50.163061984107692</v>
      </c>
      <c r="H69" s="1">
        <f>[1]节奏总纲!T69</f>
        <v>27.851300060458648</v>
      </c>
      <c r="J69" s="1">
        <v>66</v>
      </c>
      <c r="K69" s="1">
        <f>[1]节奏总纲!W69</f>
        <v>6.496192264787382</v>
      </c>
      <c r="L69" s="1">
        <f>[1]节奏总纲!X69</f>
        <v>5.7026508918827119</v>
      </c>
      <c r="M69" s="1">
        <f>[1]节奏总纲!Y69</f>
        <v>4.6880893624944449</v>
      </c>
      <c r="N69" s="1">
        <f>[1]节奏总纲!Z69</f>
        <v>3.2331430559660248</v>
      </c>
      <c r="O69" s="1">
        <f>[1]节奏总纲!AA69</f>
        <v>1.8576924756172595</v>
      </c>
      <c r="Q69" s="1">
        <v>66</v>
      </c>
      <c r="R69" s="1">
        <f>[1]节奏总纲!AD69</f>
        <v>60.653096539355303</v>
      </c>
      <c r="S69" s="1">
        <f>[1]节奏总纲!AE69</f>
        <v>62.682290092013595</v>
      </c>
      <c r="T69" s="1">
        <f>[1]节奏总纲!AF69</f>
        <v>65.468742911124906</v>
      </c>
      <c r="U69" s="1">
        <f>[1]节奏总纲!AG69</f>
        <v>70.015851474333999</v>
      </c>
      <c r="V69" s="1">
        <f>[1]节奏总纲!AH69</f>
        <v>78.525279626417301</v>
      </c>
      <c r="Z69" s="43">
        <v>66</v>
      </c>
      <c r="AA69" s="43">
        <f>[1]节奏总纲!AM69</f>
        <v>6162.9846853088866</v>
      </c>
      <c r="AB69" s="43">
        <f>[1]节奏总纲!AN69</f>
        <v>4930.3877482471098</v>
      </c>
      <c r="AC69" s="43">
        <f>[1]节奏总纲!AO69</f>
        <v>3697.7908111853317</v>
      </c>
      <c r="AD69" s="43">
        <f>[1]节奏总纲!AP69</f>
        <v>2465.1938741235549</v>
      </c>
      <c r="AE69" s="43">
        <f>[1]节奏总纲!AQ69</f>
        <v>1232.5969370617775</v>
      </c>
      <c r="AG69" s="43">
        <v>66</v>
      </c>
      <c r="AH69" s="43">
        <f>[1]节奏总纲!AT69</f>
        <v>838.83468530888604</v>
      </c>
      <c r="AI69" s="43">
        <f>[1]节奏总纲!AU69</f>
        <v>671.06774824710919</v>
      </c>
      <c r="AJ69" s="43">
        <f>[1]节奏总纲!AV69</f>
        <v>503.30081118533144</v>
      </c>
      <c r="AK69" s="43">
        <f>[1]节奏总纲!AW69</f>
        <v>335.5338741235546</v>
      </c>
      <c r="AL69" s="43">
        <f>[1]节奏总纲!AX69</f>
        <v>167.7669370617773</v>
      </c>
      <c r="AN69" s="2">
        <v>66</v>
      </c>
      <c r="AO69" s="2">
        <f>[1]节奏总纲!BA69</f>
        <v>35.243977139659179</v>
      </c>
      <c r="AP69" s="2">
        <f>[1]节奏总纲!BB69</f>
        <v>36.73675803133704</v>
      </c>
      <c r="AQ69" s="2">
        <f>[1]节奏总纲!BC69</f>
        <v>38.663818688865533</v>
      </c>
      <c r="AR69" s="2">
        <f>[1]节奏总纲!BD69</f>
        <v>41.389172829914081</v>
      </c>
      <c r="AS69" s="2">
        <f>[1]节奏总纲!BE69</f>
        <v>46.079770001861057</v>
      </c>
    </row>
    <row r="70" spans="2:45" x14ac:dyDescent="0.15">
      <c r="B70" s="29">
        <f>[1]节奏总纲!N70</f>
        <v>77</v>
      </c>
      <c r="C70" s="1">
        <v>67</v>
      </c>
      <c r="D70" s="1">
        <f>[1]节奏总纲!P70</f>
        <v>102.96830673359811</v>
      </c>
      <c r="E70" s="1">
        <f>[1]节奏总纲!Q70</f>
        <v>89.469161720823394</v>
      </c>
      <c r="F70" s="1">
        <f>[1]节奏总纲!R70</f>
        <v>73.292840732975137</v>
      </c>
      <c r="G70" s="1">
        <f>[1]节奏总纲!S70</f>
        <v>53.625894146857902</v>
      </c>
      <c r="H70" s="1">
        <f>[1]节奏总纲!T70</f>
        <v>29.799027968703292</v>
      </c>
      <c r="J70" s="1">
        <v>67</v>
      </c>
      <c r="K70" s="1">
        <f>[1]节奏总纲!W70</f>
        <v>6.9624464769326693</v>
      </c>
      <c r="L70" s="1">
        <f>[1]节奏总纲!X70</f>
        <v>6.1168738459864613</v>
      </c>
      <c r="M70" s="1">
        <f>[1]节奏总纲!Y70</f>
        <v>4.8022600258700123</v>
      </c>
      <c r="N70" s="1">
        <f>[1]节奏总纲!Z70</f>
        <v>3.4628321627502103</v>
      </c>
      <c r="O70" s="1">
        <f>[1]节奏总纲!AA70</f>
        <v>1.9477279082446444</v>
      </c>
      <c r="Q70" s="1">
        <v>67</v>
      </c>
      <c r="R70" s="1">
        <f>[1]节奏总纲!AD70</f>
        <v>60.870795385807064</v>
      </c>
      <c r="S70" s="1">
        <f>[1]节奏总纲!AE70</f>
        <v>62.898407640114556</v>
      </c>
      <c r="T70" s="1">
        <f>[1]节奏总纲!AF70</f>
        <v>65.682049425288255</v>
      </c>
      <c r="U70" s="1">
        <f>[1]节奏总纲!AG70</f>
        <v>70.229195678021767</v>
      </c>
      <c r="V70" s="1">
        <f>[1]节奏总纲!AH70</f>
        <v>78.748984204926018</v>
      </c>
      <c r="Z70" s="43">
        <v>67</v>
      </c>
      <c r="AA70" s="43">
        <f>[1]节奏总纲!AM70</f>
        <v>7133.5498113340191</v>
      </c>
      <c r="AB70" s="43">
        <f>[1]节奏总纲!AN70</f>
        <v>5706.8398490672153</v>
      </c>
      <c r="AC70" s="43">
        <f>[1]节奏总纲!AO70</f>
        <v>4280.1298868004114</v>
      </c>
      <c r="AD70" s="43">
        <f>[1]节奏总纲!AP70</f>
        <v>2853.4199245336076</v>
      </c>
      <c r="AE70" s="43">
        <f>[1]节奏总纲!AQ70</f>
        <v>1426.7099622668038</v>
      </c>
      <c r="AG70" s="43">
        <v>67</v>
      </c>
      <c r="AH70" s="43">
        <f>[1]节奏总纲!AT70</f>
        <v>970.56512602513249</v>
      </c>
      <c r="AI70" s="43">
        <f>[1]节奏总纲!AU70</f>
        <v>776.45210082010544</v>
      </c>
      <c r="AJ70" s="43">
        <f>[1]节奏总纲!AV70</f>
        <v>582.33907561507976</v>
      </c>
      <c r="AK70" s="43">
        <f>[1]节奏总纲!AW70</f>
        <v>388.22605041005272</v>
      </c>
      <c r="AL70" s="43">
        <f>[1]节奏总纲!AX70</f>
        <v>194.11302520502636</v>
      </c>
      <c r="AN70" s="2">
        <v>67</v>
      </c>
      <c r="AO70" s="2">
        <f>[1]节奏总纲!BA70</f>
        <v>35.341567995522851</v>
      </c>
      <c r="AP70" s="2">
        <f>[1]节奏总纲!BB70</f>
        <v>36.841971442131673</v>
      </c>
      <c r="AQ70" s="2">
        <f>[1]节奏总纲!BC70</f>
        <v>38.768202899262064</v>
      </c>
      <c r="AR70" s="2">
        <f>[1]节奏总纲!BD70</f>
        <v>41.48973836764344</v>
      </c>
      <c r="AS70" s="2">
        <f>[1]节奏总纲!BE70</f>
        <v>46.176090215954694</v>
      </c>
    </row>
    <row r="71" spans="2:45" x14ac:dyDescent="0.15">
      <c r="B71" s="29">
        <f>[1]节奏总纲!N71</f>
        <v>78</v>
      </c>
      <c r="C71" s="1">
        <v>68</v>
      </c>
      <c r="D71" s="1">
        <f>[1]节奏总纲!P71</f>
        <v>110.43047210190386</v>
      </c>
      <c r="E71" s="1">
        <f>[1]节奏总纲!Q71</f>
        <v>95.831563690032169</v>
      </c>
      <c r="F71" s="1">
        <f>[1]节奏总纲!R71</f>
        <v>78.251032531409081</v>
      </c>
      <c r="G71" s="1">
        <f>[1]节奏总纲!S71</f>
        <v>57.412802445779818</v>
      </c>
      <c r="H71" s="1">
        <f>[1]节奏总纲!T71</f>
        <v>31.859191201399263</v>
      </c>
      <c r="J71" s="1">
        <v>68</v>
      </c>
      <c r="K71" s="1">
        <f>[1]节奏总纲!W71</f>
        <v>7.4621653683057474</v>
      </c>
      <c r="L71" s="1">
        <f>[1]节奏总纲!X71</f>
        <v>6.3624019692087757</v>
      </c>
      <c r="M71" s="1">
        <f>[1]节奏总纲!Y71</f>
        <v>4.9581917984339441</v>
      </c>
      <c r="N71" s="1">
        <f>[1]节奏总纲!Z71</f>
        <v>3.7869082989219152</v>
      </c>
      <c r="O71" s="1">
        <f>[1]节奏总纲!AA71</f>
        <v>2.0601632326959702</v>
      </c>
      <c r="Q71" s="1">
        <v>68</v>
      </c>
      <c r="R71" s="1">
        <f>[1]节奏总纲!AD71</f>
        <v>61.082568038258209</v>
      </c>
      <c r="S71" s="1">
        <f>[1]节奏总纲!AE71</f>
        <v>63.107492392331935</v>
      </c>
      <c r="T71" s="1">
        <f>[1]节奏总纲!AF71</f>
        <v>65.895355939451605</v>
      </c>
      <c r="U71" s="1">
        <f>[1]节奏总纲!AG71</f>
        <v>70.442539881709536</v>
      </c>
      <c r="V71" s="1">
        <f>[1]节奏总纲!AH71</f>
        <v>78.972688783434734</v>
      </c>
      <c r="Z71" s="43">
        <v>68</v>
      </c>
      <c r="AA71" s="43">
        <f>[1]节奏总纲!AM71</f>
        <v>8256.4738250473602</v>
      </c>
      <c r="AB71" s="43">
        <f>[1]节奏总纲!AN71</f>
        <v>6605.1790600378881</v>
      </c>
      <c r="AC71" s="43">
        <f>[1]节奏总纲!AO71</f>
        <v>4953.8842950284161</v>
      </c>
      <c r="AD71" s="43">
        <f>[1]节奏总纲!AP71</f>
        <v>3302.5895300189441</v>
      </c>
      <c r="AE71" s="43">
        <f>[1]节奏总纲!AQ71</f>
        <v>1651.294765009472</v>
      </c>
      <c r="AG71" s="43">
        <v>68</v>
      </c>
      <c r="AH71" s="43">
        <f>[1]节奏总纲!AT71</f>
        <v>1122.9240137133411</v>
      </c>
      <c r="AI71" s="43">
        <f>[1]节奏总纲!AU71</f>
        <v>898.33921097067287</v>
      </c>
      <c r="AJ71" s="43">
        <f>[1]节奏总纲!AV71</f>
        <v>673.75440822800465</v>
      </c>
      <c r="AK71" s="43">
        <f>[1]节奏总纲!AW71</f>
        <v>449.16960548533643</v>
      </c>
      <c r="AL71" s="43">
        <f>[1]节奏总纲!AX71</f>
        <v>224.58480274266822</v>
      </c>
      <c r="AN71" s="2">
        <v>68</v>
      </c>
      <c r="AO71" s="2">
        <f>[1]节奏总纲!BA71</f>
        <v>35.439158851386523</v>
      </c>
      <c r="AP71" s="2">
        <f>[1]节奏总纲!BB71</f>
        <v>36.947184852926306</v>
      </c>
      <c r="AQ71" s="2">
        <f>[1]节奏总纲!BC71</f>
        <v>38.872587109658596</v>
      </c>
      <c r="AR71" s="2">
        <f>[1]节奏总纲!BD71</f>
        <v>41.590303905372799</v>
      </c>
      <c r="AS71" s="2">
        <f>[1]节奏总纲!BE71</f>
        <v>46.272410430048332</v>
      </c>
    </row>
    <row r="72" spans="2:45" x14ac:dyDescent="0.15">
      <c r="B72" s="29">
        <f>[1]节奏总纲!N72</f>
        <v>79</v>
      </c>
      <c r="C72" s="1">
        <v>69</v>
      </c>
      <c r="D72" s="1">
        <f>[1]节奏总纲!P72</f>
        <v>118.42822291671132</v>
      </c>
      <c r="E72" s="1">
        <f>[1]节奏总纲!Q72</f>
        <v>102.51146975670532</v>
      </c>
      <c r="F72" s="1">
        <f>[1]节奏总纲!R72</f>
        <v>83.894553114198303</v>
      </c>
      <c r="G72" s="1">
        <f>[1]节奏总纲!S72</f>
        <v>61.535304627523196</v>
      </c>
      <c r="H72" s="1">
        <f>[1]节奏总纲!T72</f>
        <v>34.059956910846175</v>
      </c>
      <c r="J72" s="1">
        <v>69</v>
      </c>
      <c r="K72" s="1">
        <f>[1]节奏总纲!W72</f>
        <v>7.9977508148074605</v>
      </c>
      <c r="L72" s="1">
        <f>[1]节奏总纲!X72</f>
        <v>6.6799060666731549</v>
      </c>
      <c r="M72" s="1">
        <f>[1]节奏总纲!Y72</f>
        <v>5.6435205827892219</v>
      </c>
      <c r="N72" s="1">
        <f>[1]节奏总纲!Z72</f>
        <v>4.1225021817433785</v>
      </c>
      <c r="O72" s="1">
        <f>[1]节奏总纲!AA72</f>
        <v>2.2007657094469124</v>
      </c>
      <c r="Q72" s="1">
        <v>69</v>
      </c>
      <c r="R72" s="1">
        <f>[1]节奏总纲!AD72</f>
        <v>61.285688244217212</v>
      </c>
      <c r="S72" s="1">
        <f>[1]节奏总纲!AE72</f>
        <v>63.310338531528565</v>
      </c>
      <c r="T72" s="1">
        <f>[1]节奏总纲!AF72</f>
        <v>66.106079073217742</v>
      </c>
      <c r="U72" s="1">
        <f>[1]节奏总纲!AG72</f>
        <v>70.655884085397304</v>
      </c>
      <c r="V72" s="1">
        <f>[1]节奏总纲!AH72</f>
        <v>79.188599387584361</v>
      </c>
      <c r="Z72" s="43">
        <v>69</v>
      </c>
      <c r="AA72" s="43">
        <f>[1]节奏总纲!AM72</f>
        <v>9555.6072874592737</v>
      </c>
      <c r="AB72" s="43">
        <f>[1]节奏总纲!AN72</f>
        <v>7644.4858299674197</v>
      </c>
      <c r="AC72" s="43">
        <f>[1]节奏总纲!AO72</f>
        <v>5733.3643724755639</v>
      </c>
      <c r="AD72" s="43">
        <f>[1]节奏总纲!AP72</f>
        <v>3822.2429149837099</v>
      </c>
      <c r="AE72" s="43">
        <f>[1]节奏总纲!AQ72</f>
        <v>1911.1214574918549</v>
      </c>
      <c r="AG72" s="43">
        <v>69</v>
      </c>
      <c r="AH72" s="43">
        <f>[1]节奏总纲!AT72</f>
        <v>1299.1334624119136</v>
      </c>
      <c r="AI72" s="43">
        <f>[1]节奏总纲!AU72</f>
        <v>1039.3067699295316</v>
      </c>
      <c r="AJ72" s="43">
        <f>[1]节奏总纲!AV72</f>
        <v>779.48007744714778</v>
      </c>
      <c r="AK72" s="43">
        <f>[1]节奏总纲!AW72</f>
        <v>519.65338496476579</v>
      </c>
      <c r="AL72" s="43">
        <f>[1]节奏总纲!AX72</f>
        <v>259.8266924823829</v>
      </c>
      <c r="AN72" s="2">
        <v>69</v>
      </c>
      <c r="AO72" s="2">
        <f>[1]节奏总纲!BA72</f>
        <v>35.536749707250202</v>
      </c>
      <c r="AP72" s="2">
        <f>[1]节奏总纲!BB72</f>
        <v>37.045197000674086</v>
      </c>
      <c r="AQ72" s="2">
        <f>[1]节奏总纲!BC72</f>
        <v>38.976971320055128</v>
      </c>
      <c r="AR72" s="2">
        <f>[1]节奏总纲!BD72</f>
        <v>41.690869443102159</v>
      </c>
      <c r="AS72" s="2">
        <f>[1]节奏总纲!BE72</f>
        <v>46.368730644141969</v>
      </c>
    </row>
    <row r="73" spans="2:45" x14ac:dyDescent="0.15">
      <c r="B73" s="29">
        <f>[1]节奏总纲!N73</f>
        <v>80</v>
      </c>
      <c r="C73" s="1">
        <v>70</v>
      </c>
      <c r="D73" s="1">
        <f>[1]节奏总纲!P73</f>
        <v>127</v>
      </c>
      <c r="E73" s="1">
        <f>[1]节奏总纲!Q73</f>
        <v>109.9693</v>
      </c>
      <c r="F73" s="1">
        <f>[1]节奏总纲!R73</f>
        <v>90.106499999999997</v>
      </c>
      <c r="G73" s="1">
        <f>[1]节奏总纲!S73</f>
        <v>65.925700000000006</v>
      </c>
      <c r="H73" s="1">
        <f>[1]节奏总纲!T73</f>
        <v>36.4998</v>
      </c>
      <c r="J73" s="1">
        <v>70</v>
      </c>
      <c r="K73" s="1">
        <f>[1]节奏总纲!W73</f>
        <v>8.5717770832886799</v>
      </c>
      <c r="L73" s="1">
        <f>[1]节奏总纲!X73</f>
        <v>7.4578302432946799</v>
      </c>
      <c r="M73" s="1">
        <f>[1]节奏总纲!Y73</f>
        <v>6.2119468858016944</v>
      </c>
      <c r="N73" s="1">
        <f>[1]节奏总纲!Z73</f>
        <v>4.3903953724768101</v>
      </c>
      <c r="O73" s="1">
        <f>[1]节奏总纲!AA73</f>
        <v>2.4398430891538254</v>
      </c>
      <c r="Q73" s="1">
        <v>70</v>
      </c>
      <c r="R73" s="1">
        <f>[1]节奏总纲!AD73</f>
        <v>61.488808450176215</v>
      </c>
      <c r="S73" s="1">
        <f>[1]节奏总纲!AE73</f>
        <v>63.513184670725188</v>
      </c>
      <c r="T73" s="1">
        <f>[1]节奏总纲!AF73</f>
        <v>66.314314361313961</v>
      </c>
      <c r="U73" s="1">
        <f>[1]节奏总纲!AG73</f>
        <v>70.869228289085072</v>
      </c>
      <c r="V73" s="1">
        <f>[1]节奏总纲!AH73</f>
        <v>79.403426131671111</v>
      </c>
      <c r="Z73" s="43">
        <v>70</v>
      </c>
      <c r="AA73" s="43">
        <f>[1]节奏总纲!AM73</f>
        <v>11058.525000000001</v>
      </c>
      <c r="AB73" s="43">
        <f>[1]节奏总纲!AN73</f>
        <v>8846.8200000000015</v>
      </c>
      <c r="AC73" s="43">
        <f>[1]节奏总纲!AO73</f>
        <v>6635.1150000000007</v>
      </c>
      <c r="AD73" s="43">
        <f>[1]节奏总纲!AP73</f>
        <v>4423.4100000000008</v>
      </c>
      <c r="AE73" s="43">
        <f>[1]节奏总纲!AQ73</f>
        <v>2211.7050000000004</v>
      </c>
      <c r="AG73" s="43">
        <v>70</v>
      </c>
      <c r="AH73" s="43">
        <f>[1]节奏总纲!AT73</f>
        <v>1502.9177125407277</v>
      </c>
      <c r="AI73" s="43">
        <f>[1]节奏总纲!AU73</f>
        <v>1202.3341700325818</v>
      </c>
      <c r="AJ73" s="43">
        <f>[1]节奏总纲!AV73</f>
        <v>901.75062752443682</v>
      </c>
      <c r="AK73" s="43">
        <f>[1]节奏总纲!AW73</f>
        <v>601.16708501629091</v>
      </c>
      <c r="AL73" s="43">
        <f>[1]节奏总纲!AX73</f>
        <v>300.58354250814546</v>
      </c>
      <c r="AN73" s="2">
        <v>70</v>
      </c>
      <c r="AO73" s="2">
        <f>[1]节奏总纲!BA73</f>
        <v>35.634340563113874</v>
      </c>
      <c r="AP73" s="2">
        <f>[1]节奏总纲!BB73</f>
        <v>37.135950591746003</v>
      </c>
      <c r="AQ73" s="2">
        <f>[1]节奏总纲!BC73</f>
        <v>39.070187171981765</v>
      </c>
      <c r="AR73" s="2">
        <f>[1]节奏总纲!BD73</f>
        <v>41.791434980831518</v>
      </c>
      <c r="AS73" s="2">
        <f>[1]节奏总纲!BE73</f>
        <v>46.465050858235607</v>
      </c>
    </row>
    <row r="74" spans="2:45" x14ac:dyDescent="0.15">
      <c r="B74" s="29">
        <f>[1]节奏总纲!N74</f>
        <v>81</v>
      </c>
      <c r="C74" s="1">
        <v>71</v>
      </c>
      <c r="D74" s="1">
        <f>[1]节奏总纲!P74</f>
        <v>136.18700320464549</v>
      </c>
      <c r="E74" s="1">
        <f>[1]节奏总纲!Q74</f>
        <v>118.03327567746625</v>
      </c>
      <c r="F74" s="1">
        <f>[1]节奏总纲!R74</f>
        <v>96.583822672734584</v>
      </c>
      <c r="G74" s="1">
        <f>[1]节奏总纲!S74</f>
        <v>70.612961161608681</v>
      </c>
      <c r="H74" s="1">
        <f>[1]节奏总纲!T74</f>
        <v>39.126526020694648</v>
      </c>
      <c r="J74" s="1">
        <v>71</v>
      </c>
      <c r="K74" s="1">
        <f>[1]节奏总纲!W74</f>
        <v>9.1870032046454924</v>
      </c>
      <c r="L74" s="1">
        <f>[1]节奏总纲!X74</f>
        <v>8.0639756774662459</v>
      </c>
      <c r="M74" s="1">
        <f>[1]节奏总纲!Y74</f>
        <v>6.4773226727345872</v>
      </c>
      <c r="N74" s="1">
        <f>[1]节奏总纲!Z74</f>
        <v>4.6872611616086743</v>
      </c>
      <c r="O74" s="1">
        <f>[1]节奏总纲!AA74</f>
        <v>2.6267260206946474</v>
      </c>
      <c r="Q74" s="1">
        <v>71</v>
      </c>
      <c r="R74" s="1">
        <f>[1]节奏总纲!AD74</f>
        <v>61.691928656135218</v>
      </c>
      <c r="S74" s="1">
        <f>[1]节奏总纲!AE74</f>
        <v>63.716030809921811</v>
      </c>
      <c r="T74" s="1">
        <f>[1]节奏总纲!AF74</f>
        <v>66.52254964941018</v>
      </c>
      <c r="U74" s="1">
        <f>[1]节奏总纲!AG74</f>
        <v>71.07781362467729</v>
      </c>
      <c r="V74" s="1">
        <f>[1]节奏总纲!AH74</f>
        <v>79.618252875757847</v>
      </c>
      <c r="Z74" s="43">
        <v>71</v>
      </c>
      <c r="AA74" s="43">
        <f>[1]节奏总纲!AM74</f>
        <v>12797.106216824561</v>
      </c>
      <c r="AB74" s="43">
        <f>[1]节奏总纲!AN74</f>
        <v>10237.684973459649</v>
      </c>
      <c r="AC74" s="43">
        <f>[1]节奏总纲!AO74</f>
        <v>7678.2637300947363</v>
      </c>
      <c r="AD74" s="43">
        <f>[1]节奏总纲!AP74</f>
        <v>5118.8424867298245</v>
      </c>
      <c r="AE74" s="43">
        <f>[1]节奏总纲!AQ74</f>
        <v>2559.4212433649122</v>
      </c>
      <c r="AG74" s="43">
        <v>71</v>
      </c>
      <c r="AH74" s="43">
        <f>[1]节奏总纲!AT74</f>
        <v>1738.5812168245593</v>
      </c>
      <c r="AI74" s="43">
        <f>[1]节奏总纲!AU74</f>
        <v>1390.8649734596474</v>
      </c>
      <c r="AJ74" s="43">
        <f>[1]节奏总纲!AV74</f>
        <v>1043.1487300947356</v>
      </c>
      <c r="AK74" s="43">
        <f>[1]节奏总纲!AW74</f>
        <v>695.43248672982372</v>
      </c>
      <c r="AL74" s="43">
        <f>[1]节奏总纲!AX74</f>
        <v>347.71624336491186</v>
      </c>
      <c r="AN74" s="2">
        <v>71</v>
      </c>
      <c r="AO74" s="2">
        <f>[1]节奏总纲!BA74</f>
        <v>35.731931418977545</v>
      </c>
      <c r="AP74" s="2">
        <f>[1]节奏总纲!BB74</f>
        <v>37.226704182817912</v>
      </c>
      <c r="AQ74" s="2">
        <f>[1]节奏总纲!BC74</f>
        <v>39.160241683169971</v>
      </c>
      <c r="AR74" s="2">
        <f>[1]节奏总纲!BD74</f>
        <v>41.892000518560877</v>
      </c>
      <c r="AS74" s="2">
        <f>[1]节奏总纲!BE74</f>
        <v>46.561371072329244</v>
      </c>
    </row>
    <row r="75" spans="2:45" x14ac:dyDescent="0.15">
      <c r="B75" s="29">
        <f>[1]节奏总纲!N75</f>
        <v>82</v>
      </c>
      <c r="C75" s="1">
        <v>72</v>
      </c>
      <c r="D75" s="1">
        <f>[1]节奏总纲!P75</f>
        <v>146.03338943962044</v>
      </c>
      <c r="E75" s="1">
        <f>[1]节奏总纲!Q75</f>
        <v>126.581741966263</v>
      </c>
      <c r="F75" s="1">
        <f>[1]节奏总纲!R75</f>
        <v>103.31862302853146</v>
      </c>
      <c r="G75" s="1">
        <f>[1]节奏总纲!S75</f>
        <v>75.586882373947532</v>
      </c>
      <c r="H75" s="1">
        <f>[1]节奏总纲!T75</f>
        <v>41.896979430227098</v>
      </c>
      <c r="J75" s="1">
        <v>72</v>
      </c>
      <c r="K75" s="1">
        <f>[1]节奏总纲!W75</f>
        <v>9.8463862349749434</v>
      </c>
      <c r="L75" s="1">
        <f>[1]节奏总纲!X75</f>
        <v>8.548466288796746</v>
      </c>
      <c r="M75" s="1">
        <f>[1]节奏总纲!Y75</f>
        <v>6.7348003557968781</v>
      </c>
      <c r="N75" s="1">
        <f>[1]节奏总纲!Z75</f>
        <v>4.9739212123388512</v>
      </c>
      <c r="O75" s="1">
        <f>[1]节奏总纲!AA75</f>
        <v>2.7704534095324505</v>
      </c>
      <c r="Q75" s="1">
        <v>72</v>
      </c>
      <c r="R75" s="1">
        <f>[1]节奏总纲!AD75</f>
        <v>61.895048862094221</v>
      </c>
      <c r="S75" s="1">
        <f>[1]节奏总纲!AE75</f>
        <v>63.918876949118435</v>
      </c>
      <c r="T75" s="1">
        <f>[1]节奏总纲!AF75</f>
        <v>66.7307849375064</v>
      </c>
      <c r="U75" s="1">
        <f>[1]节奏总纲!AG75</f>
        <v>71.278862245535876</v>
      </c>
      <c r="V75" s="1">
        <f>[1]节奏总纲!AH75</f>
        <v>79.833079619844597</v>
      </c>
      <c r="Z75" s="43">
        <v>72</v>
      </c>
      <c r="AA75" s="43">
        <f>[1]节奏总纲!AM75</f>
        <v>14808.205062920617</v>
      </c>
      <c r="AB75" s="43">
        <f>[1]节奏总纲!AN75</f>
        <v>11846.564050336494</v>
      </c>
      <c r="AC75" s="43">
        <f>[1]节奏总纲!AO75</f>
        <v>8884.9230377523691</v>
      </c>
      <c r="AD75" s="43">
        <f>[1]节奏总纲!AP75</f>
        <v>5923.2820251682469</v>
      </c>
      <c r="AE75" s="43">
        <f>[1]节奏总纲!AQ75</f>
        <v>2961.6410125841235</v>
      </c>
      <c r="AG75" s="43">
        <v>72</v>
      </c>
      <c r="AH75" s="43">
        <f>[1]节奏总纲!AT75</f>
        <v>2011.0988460960561</v>
      </c>
      <c r="AI75" s="43">
        <f>[1]节奏总纲!AU75</f>
        <v>1608.8790768768449</v>
      </c>
      <c r="AJ75" s="43">
        <f>[1]节奏总纲!AV75</f>
        <v>1206.6593076576328</v>
      </c>
      <c r="AK75" s="43">
        <f>[1]节奏总纲!AW75</f>
        <v>804.43953843842246</v>
      </c>
      <c r="AL75" s="43">
        <f>[1]节奏总纲!AX75</f>
        <v>402.21976921921123</v>
      </c>
      <c r="AN75" s="2">
        <v>72</v>
      </c>
      <c r="AO75" s="2">
        <f>[1]节奏总纲!BA75</f>
        <v>35.829522274841217</v>
      </c>
      <c r="AP75" s="2">
        <f>[1]节奏总纲!BB75</f>
        <v>37.317457773889828</v>
      </c>
      <c r="AQ75" s="2">
        <f>[1]节奏总纲!BC75</f>
        <v>39.250296194358178</v>
      </c>
      <c r="AR75" s="2">
        <f>[1]节奏总纲!BD75</f>
        <v>41.992566056290244</v>
      </c>
      <c r="AS75" s="2">
        <f>[1]节奏总纲!BE75</f>
        <v>46.657691286422882</v>
      </c>
    </row>
    <row r="76" spans="2:45" x14ac:dyDescent="0.15">
      <c r="B76" s="29">
        <f>[1]节奏总纲!N76</f>
        <v>83</v>
      </c>
      <c r="C76" s="1">
        <v>73</v>
      </c>
      <c r="D76" s="1">
        <f>[1]节奏总纲!P76</f>
        <v>156.58648490814926</v>
      </c>
      <c r="E76" s="1">
        <f>[1]节奏总纲!Q76</f>
        <v>135.41599214856748</v>
      </c>
      <c r="F76" s="1">
        <f>[1]节奏总纲!R76</f>
        <v>110.58137564213501</v>
      </c>
      <c r="G76" s="1">
        <f>[1]节奏总纲!S76</f>
        <v>80.955212697513176</v>
      </c>
      <c r="H76" s="1">
        <f>[1]节奏总纲!T76</f>
        <v>44.877686574675579</v>
      </c>
      <c r="J76" s="1">
        <v>73</v>
      </c>
      <c r="K76" s="1">
        <f>[1]节奏总纲!W76</f>
        <v>10.553095468528824</v>
      </c>
      <c r="L76" s="1">
        <f>[1]节奏总纲!X76</f>
        <v>8.834250182304487</v>
      </c>
      <c r="M76" s="1">
        <f>[1]节奏总纲!Y76</f>
        <v>7.2627526136035527</v>
      </c>
      <c r="N76" s="1">
        <f>[1]节奏总纲!Z76</f>
        <v>5.3683303235656439</v>
      </c>
      <c r="O76" s="1">
        <f>[1]节奏总纲!AA76</f>
        <v>2.9807071444484805</v>
      </c>
      <c r="Q76" s="1">
        <v>73</v>
      </c>
      <c r="R76" s="1">
        <f>[1]节奏总纲!AD76</f>
        <v>62.091594979242075</v>
      </c>
      <c r="S76" s="1">
        <f>[1]节奏总纲!AE76</f>
        <v>64.114306430026588</v>
      </c>
      <c r="T76" s="1">
        <f>[1]节奏总纲!AF76</f>
        <v>66.939020225602619</v>
      </c>
      <c r="U76" s="1">
        <f>[1]节奏总纲!AG76</f>
        <v>71.479910866394462</v>
      </c>
      <c r="V76" s="1">
        <f>[1]节奏总纲!AH76</f>
        <v>80.043898354812981</v>
      </c>
      <c r="Z76" s="43">
        <v>73</v>
      </c>
      <c r="AA76" s="43">
        <f>[1]节奏总纲!AM76</f>
        <v>17134.425155737379</v>
      </c>
      <c r="AB76" s="43">
        <f>[1]节奏总纲!AN76</f>
        <v>13707.540124589905</v>
      </c>
      <c r="AC76" s="43">
        <f>[1]节奏总纲!AO76</f>
        <v>10280.655093442427</v>
      </c>
      <c r="AD76" s="43">
        <f>[1]节奏总纲!AP76</f>
        <v>6853.7700622949524</v>
      </c>
      <c r="AE76" s="43">
        <f>[1]节奏总纲!AQ76</f>
        <v>3426.8850311474762</v>
      </c>
      <c r="AG76" s="43">
        <v>73</v>
      </c>
      <c r="AH76" s="43">
        <f>[1]节奏总纲!AT76</f>
        <v>2326.2200928167622</v>
      </c>
      <c r="AI76" s="43">
        <f>[1]节奏总纲!AU76</f>
        <v>1860.9760742534108</v>
      </c>
      <c r="AJ76" s="43">
        <f>[1]节奏总纲!AV76</f>
        <v>1395.7320556900577</v>
      </c>
      <c r="AK76" s="43">
        <f>[1]节奏总纲!AW76</f>
        <v>930.48803712670542</v>
      </c>
      <c r="AL76" s="43">
        <f>[1]节奏总纲!AX76</f>
        <v>465.24401856335271</v>
      </c>
      <c r="AN76" s="2">
        <v>73</v>
      </c>
      <c r="AO76" s="2">
        <f>[1]节奏总纲!BA76</f>
        <v>35.927113130704889</v>
      </c>
      <c r="AP76" s="2">
        <f>[1]节奏总纲!BB76</f>
        <v>37.408211364961737</v>
      </c>
      <c r="AQ76" s="2">
        <f>[1]节奏总纲!BC76</f>
        <v>39.340350705546385</v>
      </c>
      <c r="AR76" s="2">
        <f>[1]节奏总纲!BD76</f>
        <v>42.080366850119908</v>
      </c>
      <c r="AS76" s="2">
        <f>[1]节奏总纲!BE76</f>
        <v>46.754011500516519</v>
      </c>
    </row>
    <row r="77" spans="2:45" x14ac:dyDescent="0.15">
      <c r="B77" s="29">
        <f>[1]节奏总纲!N77</f>
        <v>84</v>
      </c>
      <c r="C77" s="1">
        <v>74</v>
      </c>
      <c r="D77" s="1">
        <f>[1]节奏总纲!P77</f>
        <v>167.89701257893043</v>
      </c>
      <c r="E77" s="1">
        <f>[1]节奏总纲!Q77</f>
        <v>145.16375707574326</v>
      </c>
      <c r="F77" s="1">
        <f>[1]节奏总纲!R77</f>
        <v>118.70318789330381</v>
      </c>
      <c r="G77" s="1">
        <f>[1]节奏总纲!S77</f>
        <v>86.869914308338593</v>
      </c>
      <c r="H77" s="1">
        <f>[1]节奏总纲!T77</f>
        <v>48.169652908895138</v>
      </c>
      <c r="J77" s="1">
        <v>74</v>
      </c>
      <c r="K77" s="1">
        <f>[1]节奏总纲!W77</f>
        <v>11.31052767078117</v>
      </c>
      <c r="L77" s="1">
        <f>[1]节奏总纲!X77</f>
        <v>9.7477649271757798</v>
      </c>
      <c r="M77" s="1">
        <f>[1]节奏总纲!Y77</f>
        <v>8.1218122511687909</v>
      </c>
      <c r="N77" s="1">
        <f>[1]节奏总纲!Z77</f>
        <v>5.9147016108254178</v>
      </c>
      <c r="O77" s="1">
        <f>[1]节奏总纲!AA77</f>
        <v>3.2919663342195591</v>
      </c>
      <c r="Q77" s="1">
        <v>74</v>
      </c>
      <c r="R77" s="1">
        <f>[1]节奏总纲!AD77</f>
        <v>62.281112832649576</v>
      </c>
      <c r="S77" s="1">
        <f>[1]节奏总纲!AE77</f>
        <v>64.304793036447776</v>
      </c>
      <c r="T77" s="1">
        <f>[1]节奏总纲!AF77</f>
        <v>67.14262442756818</v>
      </c>
      <c r="U77" s="1">
        <f>[1]节奏总纲!AG77</f>
        <v>71.680959487253048</v>
      </c>
      <c r="V77" s="1">
        <f>[1]节奏总纲!AH77</f>
        <v>80.24075196383977</v>
      </c>
      <c r="Z77" s="43">
        <v>74</v>
      </c>
      <c r="AA77" s="43">
        <f>[1]节奏总纲!AM77</f>
        <v>19825.014596370729</v>
      </c>
      <c r="AB77" s="43">
        <f>[1]节奏总纲!AN77</f>
        <v>15860.011677096583</v>
      </c>
      <c r="AC77" s="43">
        <f>[1]节奏总纲!AO77</f>
        <v>11895.008757822437</v>
      </c>
      <c r="AD77" s="43">
        <f>[1]节奏总纲!AP77</f>
        <v>7930.0058385482916</v>
      </c>
      <c r="AE77" s="43">
        <f>[1]节奏总纲!AQ77</f>
        <v>3965.0029192741458</v>
      </c>
      <c r="AG77" s="43">
        <v>74</v>
      </c>
      <c r="AH77" s="43">
        <f>[1]节奏总纲!AT77</f>
        <v>2690.58944063335</v>
      </c>
      <c r="AI77" s="43">
        <f>[1]节奏总纲!AU77</f>
        <v>2152.4715525066786</v>
      </c>
      <c r="AJ77" s="43">
        <f>[1]节奏总纲!AV77</f>
        <v>1614.3536643800107</v>
      </c>
      <c r="AK77" s="43">
        <f>[1]节奏总纲!AW77</f>
        <v>1076.2357762533393</v>
      </c>
      <c r="AL77" s="43">
        <f>[1]节奏总纲!AX77</f>
        <v>538.11788812666964</v>
      </c>
      <c r="AN77" s="2">
        <v>74</v>
      </c>
      <c r="AO77" s="2">
        <f>[1]节奏总纲!BA77</f>
        <v>36.021306837933537</v>
      </c>
      <c r="AP77" s="2">
        <f>[1]节奏总纲!BB77</f>
        <v>37.498964956033646</v>
      </c>
      <c r="AQ77" s="2">
        <f>[1]节奏总纲!BC77</f>
        <v>39.430405216734592</v>
      </c>
      <c r="AR77" s="2">
        <f>[1]节奏总纲!BD77</f>
        <v>42.167148737437564</v>
      </c>
      <c r="AS77" s="2">
        <f>[1]节奏总纲!BE77</f>
        <v>46.850331714610157</v>
      </c>
    </row>
    <row r="78" spans="2:45" x14ac:dyDescent="0.15">
      <c r="B78" s="29">
        <f>[1]节奏总纲!N78</f>
        <v>85</v>
      </c>
      <c r="C78" s="1">
        <v>75</v>
      </c>
      <c r="D78" s="1">
        <f>[1]节奏总纲!P78</f>
        <v>180.01933598375612</v>
      </c>
      <c r="E78" s="1">
        <f>[1]节奏总纲!Q78</f>
        <v>155.75272949314578</v>
      </c>
      <c r="F78" s="1">
        <f>[1]节奏总纲!R78</f>
        <v>127.38168214210583</v>
      </c>
      <c r="G78" s="1">
        <f>[1]节奏总纲!S78</f>
        <v>93.214012172388934</v>
      </c>
      <c r="H78" s="1">
        <f>[1]节奏总纲!T78</f>
        <v>51.755559095329879</v>
      </c>
      <c r="J78" s="1">
        <v>75</v>
      </c>
      <c r="K78" s="1">
        <f>[1]节奏总纲!W78</f>
        <v>12.122323404825693</v>
      </c>
      <c r="L78" s="1">
        <f>[1]节奏总纲!X78</f>
        <v>10.588972417402516</v>
      </c>
      <c r="M78" s="1">
        <f>[1]节奏总纲!Y78</f>
        <v>8.6784942488020249</v>
      </c>
      <c r="N78" s="1">
        <f>[1]节奏总纲!Z78</f>
        <v>6.3440978640503403</v>
      </c>
      <c r="O78" s="1">
        <f>[1]节奏总纲!AA78</f>
        <v>3.585906186434741</v>
      </c>
      <c r="Q78" s="1">
        <v>75</v>
      </c>
      <c r="R78" s="1">
        <f>[1]节奏总纲!AD78</f>
        <v>62.470630686057078</v>
      </c>
      <c r="S78" s="1">
        <f>[1]节奏总纲!AE78</f>
        <v>64.495279642868965</v>
      </c>
      <c r="T78" s="1">
        <f>[1]节奏总纲!AF78</f>
        <v>67.344310856946692</v>
      </c>
      <c r="U78" s="1">
        <f>[1]节奏总纲!AG78</f>
        <v>71.882008108111634</v>
      </c>
      <c r="V78" s="1">
        <f>[1]节奏总纲!AH78</f>
        <v>80.437605572866573</v>
      </c>
      <c r="Z78" s="43">
        <v>75</v>
      </c>
      <c r="AA78" s="43">
        <f>[1]节奏总纲!AM78</f>
        <v>22936.899999999998</v>
      </c>
      <c r="AB78" s="43">
        <f>[1]节奏总纲!AN78</f>
        <v>18349.52</v>
      </c>
      <c r="AC78" s="43">
        <f>[1]节奏总纲!AO78</f>
        <v>13762.139999999998</v>
      </c>
      <c r="AD78" s="43">
        <f>[1]节奏总纲!AP78</f>
        <v>9174.76</v>
      </c>
      <c r="AE78" s="43">
        <f>[1]节奏总纲!AQ78</f>
        <v>4587.38</v>
      </c>
      <c r="AG78" s="43">
        <v>75</v>
      </c>
      <c r="AH78" s="43">
        <f>[1]节奏总纲!AT78</f>
        <v>3111.8854036292687</v>
      </c>
      <c r="AI78" s="43">
        <f>[1]节奏总纲!AU78</f>
        <v>2489.5083229034171</v>
      </c>
      <c r="AJ78" s="43">
        <f>[1]节奏总纲!AV78</f>
        <v>1867.1312421775601</v>
      </c>
      <c r="AK78" s="43">
        <f>[1]节奏总纲!AW78</f>
        <v>1244.7541614517086</v>
      </c>
      <c r="AL78" s="43">
        <f>[1]节奏总纲!AX78</f>
        <v>622.37708072585428</v>
      </c>
      <c r="AN78" s="2">
        <v>75</v>
      </c>
      <c r="AO78" s="2">
        <f>[1]节奏总纲!BA78</f>
        <v>36.105477566569242</v>
      </c>
      <c r="AP78" s="2">
        <f>[1]节奏总纲!BB78</f>
        <v>37.589718547105562</v>
      </c>
      <c r="AQ78" s="2">
        <f>[1]节奏总纲!BC78</f>
        <v>39.520459727922798</v>
      </c>
      <c r="AR78" s="2">
        <f>[1]节奏总纲!BD78</f>
        <v>42.253930624755228</v>
      </c>
      <c r="AS78" s="2">
        <f>[1]节奏总纲!BE78</f>
        <v>46.946651928703787</v>
      </c>
    </row>
    <row r="79" spans="2:45" x14ac:dyDescent="0.15">
      <c r="B79" s="29">
        <f>[1]节奏总纲!N79</f>
        <v>86</v>
      </c>
      <c r="C79" s="1">
        <v>76</v>
      </c>
      <c r="D79" s="1">
        <f>[1]节奏总纲!P79</f>
        <v>193.01172051333091</v>
      </c>
      <c r="E79" s="1">
        <f>[1]节奏总纲!Q79</f>
        <v>166.97443941608256</v>
      </c>
      <c r="F79" s="1">
        <f>[1]节奏总纲!R79</f>
        <v>136.51718991907896</v>
      </c>
      <c r="G79" s="1">
        <f>[1]节奏总纲!S79</f>
        <v>100.0379747420594</v>
      </c>
      <c r="H79" s="1">
        <f>[1]节奏总纲!T79</f>
        <v>55.664580196044632</v>
      </c>
      <c r="J79" s="1">
        <v>76</v>
      </c>
      <c r="K79" s="1">
        <f>[1]节奏总纲!W79</f>
        <v>12.992384529574792</v>
      </c>
      <c r="L79" s="1">
        <f>[1]节奏总纲!X79</f>
        <v>11.221709922936782</v>
      </c>
      <c r="M79" s="1">
        <f>[1]节奏总纲!Y79</f>
        <v>9.1355077769731281</v>
      </c>
      <c r="N79" s="1">
        <f>[1]节奏总纲!Z79</f>
        <v>6.8239625696704707</v>
      </c>
      <c r="O79" s="1">
        <f>[1]节奏总纲!AA79</f>
        <v>3.9090211007147531</v>
      </c>
      <c r="Q79" s="1">
        <v>76</v>
      </c>
      <c r="R79" s="1">
        <f>[1]节奏总纲!AD79</f>
        <v>62.660148539464579</v>
      </c>
      <c r="S79" s="1">
        <f>[1]节奏总纲!AE79</f>
        <v>64.685766249290154</v>
      </c>
      <c r="T79" s="1">
        <f>[1]节奏总纲!AF79</f>
        <v>67.545997286325218</v>
      </c>
      <c r="U79" s="1">
        <f>[1]节奏总纲!AG79</f>
        <v>72.076954583856178</v>
      </c>
      <c r="V79" s="1">
        <f>[1]节奏总纲!AH79</f>
        <v>80.634459181893376</v>
      </c>
      <c r="Z79" s="43">
        <v>76</v>
      </c>
      <c r="AA79" s="43">
        <f>[1]节奏总纲!AM79</f>
        <v>26535.88112606269</v>
      </c>
      <c r="AB79" s="43">
        <f>[1]节奏总纲!AN79</f>
        <v>21228.704900850153</v>
      </c>
      <c r="AC79" s="43">
        <f>[1]节奏总纲!AO79</f>
        <v>15921.528675637614</v>
      </c>
      <c r="AD79" s="43">
        <f>[1]节奏总纲!AP79</f>
        <v>10614.352450425076</v>
      </c>
      <c r="AE79" s="43">
        <f>[1]节奏总纲!AQ79</f>
        <v>5307.1762252125382</v>
      </c>
      <c r="AG79" s="43">
        <v>76</v>
      </c>
      <c r="AH79" s="43">
        <f>[1]节奏总纲!AT79</f>
        <v>3598.9811260626921</v>
      </c>
      <c r="AI79" s="43">
        <f>[1]节奏总纲!AU79</f>
        <v>2879.1849008501522</v>
      </c>
      <c r="AJ79" s="43">
        <f>[1]节奏总纲!AV79</f>
        <v>2159.388675637616</v>
      </c>
      <c r="AK79" s="43">
        <f>[1]节奏总纲!AW79</f>
        <v>1439.5924504250761</v>
      </c>
      <c r="AL79" s="43">
        <f>[1]节奏总纲!AX79</f>
        <v>719.79622521253805</v>
      </c>
      <c r="AN79" s="2">
        <v>76</v>
      </c>
      <c r="AO79" s="2">
        <f>[1]节奏总纲!BA79</f>
        <v>36.189648295204947</v>
      </c>
      <c r="AP79" s="2">
        <f>[1]节奏总纲!BB79</f>
        <v>37.680472138177471</v>
      </c>
      <c r="AQ79" s="2">
        <f>[1]节奏总纲!BC79</f>
        <v>39.610514239111005</v>
      </c>
      <c r="AR79" s="2">
        <f>[1]节奏总纲!BD79</f>
        <v>42.340712512072891</v>
      </c>
      <c r="AS79" s="2">
        <f>[1]节奏总纲!BE79</f>
        <v>47.037096473408994</v>
      </c>
    </row>
    <row r="80" spans="2:45" x14ac:dyDescent="0.15">
      <c r="B80" s="29">
        <f>[1]节奏总纲!N80</f>
        <v>87</v>
      </c>
      <c r="C80" s="1">
        <v>77</v>
      </c>
      <c r="D80" s="1">
        <f>[1]节奏总纲!P80</f>
        <v>206.93661346719625</v>
      </c>
      <c r="E80" s="1">
        <f>[1]节奏总纲!Q80</f>
        <v>179.12433261720508</v>
      </c>
      <c r="F80" s="1">
        <f>[1]节奏总纲!R80</f>
        <v>146.53181599612165</v>
      </c>
      <c r="G80" s="1">
        <f>[1]节奏总纲!S80</f>
        <v>107.42079605082158</v>
      </c>
      <c r="H80" s="1">
        <f>[1]节奏总纲!T80</f>
        <v>59.535663694512365</v>
      </c>
      <c r="J80" s="1">
        <v>77</v>
      </c>
      <c r="K80" s="1">
        <f>[1]节奏总纲!W80</f>
        <v>13.924892953865339</v>
      </c>
      <c r="L80" s="1">
        <f>[1]节奏总纲!X80</f>
        <v>12.149893201122524</v>
      </c>
      <c r="M80" s="1">
        <f>[1]节奏总纲!Y80</f>
        <v>10.014626077042692</v>
      </c>
      <c r="N80" s="1">
        <f>[1]节奏总纲!Z80</f>
        <v>7.3828213087621748</v>
      </c>
      <c r="O80" s="1">
        <f>[1]节奏总纲!AA80</f>
        <v>3.8710834984677334</v>
      </c>
      <c r="Q80" s="1">
        <v>77</v>
      </c>
      <c r="R80" s="1">
        <f>[1]节奏总纲!AD80</f>
        <v>62.849666392872081</v>
      </c>
      <c r="S80" s="1">
        <f>[1]节奏总纲!AE80</f>
        <v>64.876252855711357</v>
      </c>
      <c r="T80" s="1">
        <f>[1]节奏总纲!AF80</f>
        <v>67.747683715703729</v>
      </c>
      <c r="U80" s="1">
        <f>[1]节奏总纲!AG80</f>
        <v>72.263232241847945</v>
      </c>
      <c r="V80" s="1">
        <f>[1]节奏总纲!AH80</f>
        <v>80.83131279092018</v>
      </c>
      <c r="Z80" s="43">
        <v>77</v>
      </c>
      <c r="AA80" s="43">
        <f>[1]节奏总纲!AM80</f>
        <v>30698.011006346387</v>
      </c>
      <c r="AB80" s="43">
        <f>[1]节奏总纲!AN80</f>
        <v>24558.40880507711</v>
      </c>
      <c r="AC80" s="43">
        <f>[1]节奏总纲!AO80</f>
        <v>18418.806603807832</v>
      </c>
      <c r="AD80" s="43">
        <f>[1]节奏总纲!AP80</f>
        <v>12279.204402538555</v>
      </c>
      <c r="AE80" s="43">
        <f>[1]节奏总纲!AQ80</f>
        <v>6139.6022012692774</v>
      </c>
      <c r="AG80" s="43">
        <v>77</v>
      </c>
      <c r="AH80" s="43">
        <f>[1]节奏总纲!AT80</f>
        <v>4162.1298802836973</v>
      </c>
      <c r="AI80" s="43">
        <f>[1]节奏总纲!AU80</f>
        <v>3329.7039042269571</v>
      </c>
      <c r="AJ80" s="43">
        <f>[1]节奏总纲!AV80</f>
        <v>2497.2779281702187</v>
      </c>
      <c r="AK80" s="43">
        <f>[1]节奏总纲!AW80</f>
        <v>1664.8519521134785</v>
      </c>
      <c r="AL80" s="43">
        <f>[1]节奏总纲!AX80</f>
        <v>832.42597605673927</v>
      </c>
      <c r="AN80" s="2">
        <v>77</v>
      </c>
      <c r="AO80" s="2">
        <f>[1]节奏总纲!BA80</f>
        <v>36.273819023840659</v>
      </c>
      <c r="AP80" s="2">
        <f>[1]节奏总纲!BB80</f>
        <v>37.771225729249387</v>
      </c>
      <c r="AQ80" s="2">
        <f>[1]节奏总纲!BC80</f>
        <v>39.700568750299212</v>
      </c>
      <c r="AR80" s="2">
        <f>[1]节奏总纲!BD80</f>
        <v>42.427494399390554</v>
      </c>
      <c r="AS80" s="2">
        <f>[1]节奏总纲!BE80</f>
        <v>47.12024662670057</v>
      </c>
    </row>
    <row r="81" spans="2:45" x14ac:dyDescent="0.15">
      <c r="B81" s="29">
        <f>[1]节奏总纲!N81</f>
        <v>88</v>
      </c>
      <c r="C81" s="1">
        <v>78</v>
      </c>
      <c r="D81" s="1">
        <f>[1]节奏总纲!P81</f>
        <v>221.86094420380775</v>
      </c>
      <c r="E81" s="1">
        <f>[1]节奏总纲!Q81</f>
        <v>192.04283330281601</v>
      </c>
      <c r="F81" s="1">
        <f>[1]节奏总纲!R81</f>
        <v>157.23285115723854</v>
      </c>
      <c r="G81" s="1">
        <f>[1]节奏总纲!S81</f>
        <v>115.1680161361966</v>
      </c>
      <c r="H81" s="1">
        <f>[1]节奏总纲!T81</f>
        <v>63.651904892072437</v>
      </c>
      <c r="J81" s="1">
        <v>78</v>
      </c>
      <c r="K81" s="1">
        <f>[1]节奏总纲!W81</f>
        <v>14.924330736611495</v>
      </c>
      <c r="L81" s="1">
        <f>[1]节奏总纲!X81</f>
        <v>12.918500685610923</v>
      </c>
      <c r="M81" s="1">
        <f>[1]节奏总纲!Y81</f>
        <v>10.701035161116891</v>
      </c>
      <c r="N81" s="1">
        <f>[1]节奏总纲!Z81</f>
        <v>7.7472200853750195</v>
      </c>
      <c r="O81" s="1">
        <f>[1]节奏总纲!AA81</f>
        <v>4.1162411975600719</v>
      </c>
      <c r="Q81" s="1">
        <v>78</v>
      </c>
      <c r="R81" s="1">
        <f>[1]节奏总纲!AD81</f>
        <v>63.036560194527354</v>
      </c>
      <c r="S81" s="1">
        <f>[1]节奏总纲!AE81</f>
        <v>65.061438622789353</v>
      </c>
      <c r="T81" s="1">
        <f>[1]节奏总纲!AF81</f>
        <v>67.949370145082256</v>
      </c>
      <c r="U81" s="1">
        <f>[1]节奏总纲!AG81</f>
        <v>72.449509899839711</v>
      </c>
      <c r="V81" s="1">
        <f>[1]节奏总纲!AH81</f>
        <v>81.026624803116562</v>
      </c>
      <c r="Z81" s="43">
        <v>78</v>
      </c>
      <c r="AA81" s="43">
        <f>[1]节奏总纲!AM81</f>
        <v>35511.190322760085</v>
      </c>
      <c r="AB81" s="43">
        <f>[1]节奏总纲!AN81</f>
        <v>28408.952258208068</v>
      </c>
      <c r="AC81" s="43">
        <f>[1]节奏总纲!AO81</f>
        <v>21306.714193656051</v>
      </c>
      <c r="AD81" s="43">
        <f>[1]节奏总纲!AP81</f>
        <v>14204.476129104034</v>
      </c>
      <c r="AE81" s="43">
        <f>[1]节奏总纲!AQ81</f>
        <v>7102.238064552017</v>
      </c>
      <c r="AG81" s="43">
        <v>78</v>
      </c>
      <c r="AH81" s="43">
        <f>[1]节奏总纲!AT81</f>
        <v>4813.179316413698</v>
      </c>
      <c r="AI81" s="43">
        <f>[1]节奏总纲!AU81</f>
        <v>3850.5434531309584</v>
      </c>
      <c r="AJ81" s="43">
        <f>[1]节奏总纲!AV81</f>
        <v>2887.9075898482188</v>
      </c>
      <c r="AK81" s="43">
        <f>[1]节奏总纲!AW81</f>
        <v>1925.2717265654792</v>
      </c>
      <c r="AL81" s="43">
        <f>[1]节奏总纲!AX81</f>
        <v>962.63586328273959</v>
      </c>
      <c r="AN81" s="2">
        <v>78</v>
      </c>
      <c r="AO81" s="2">
        <f>[1]节奏总纲!BA81</f>
        <v>36.357989752476364</v>
      </c>
      <c r="AP81" s="2">
        <f>[1]节奏总纲!BB81</f>
        <v>37.861979320321296</v>
      </c>
      <c r="AQ81" s="2">
        <f>[1]节奏总纲!BC81</f>
        <v>39.790623261487418</v>
      </c>
      <c r="AR81" s="2">
        <f>[1]节奏总纲!BD81</f>
        <v>42.51427628670821</v>
      </c>
      <c r="AS81" s="2">
        <f>[1]节奏总纲!BE81</f>
        <v>47.203396779992147</v>
      </c>
    </row>
    <row r="82" spans="2:45" x14ac:dyDescent="0.15">
      <c r="B82" s="29">
        <f>[1]节奏总纲!N82</f>
        <v>89</v>
      </c>
      <c r="C82" s="1">
        <v>79</v>
      </c>
      <c r="D82" s="1">
        <f>[1]节奏总纲!P82</f>
        <v>237.85644583342264</v>
      </c>
      <c r="E82" s="1">
        <f>[1]节奏总纲!Q82</f>
        <v>206.07882467007735</v>
      </c>
      <c r="F82" s="1">
        <f>[1]节奏总纲!R82</f>
        <v>168.73536267423003</v>
      </c>
      <c r="G82" s="1">
        <f>[1]节奏总纲!S82</f>
        <v>123.11449636337954</v>
      </c>
      <c r="H82" s="1">
        <f>[1]节奏总纲!T82</f>
        <v>68.122086086692235</v>
      </c>
      <c r="J82" s="1">
        <v>79</v>
      </c>
      <c r="K82" s="1">
        <f>[1]节奏总纲!W82</f>
        <v>15.995501629614893</v>
      </c>
      <c r="L82" s="1">
        <f>[1]节奏总纲!X82</f>
        <v>14.035991367261346</v>
      </c>
      <c r="M82" s="1">
        <f>[1]节奏总纲!Y82</f>
        <v>11.50251151699149</v>
      </c>
      <c r="N82" s="1">
        <f>[1]节奏总纲!Z82</f>
        <v>7.9464802271829456</v>
      </c>
      <c r="O82" s="1">
        <f>[1]节奏总纲!AA82</f>
        <v>4.4701811946197978</v>
      </c>
      <c r="Q82" s="1">
        <v>79</v>
      </c>
      <c r="R82" s="1">
        <f>[1]节奏总纲!AD82</f>
        <v>63.213386604241791</v>
      </c>
      <c r="S82" s="1">
        <f>[1]节奏总纲!AE82</f>
        <v>65.23679566619937</v>
      </c>
      <c r="T82" s="1">
        <f>[1]节奏总纲!AF82</f>
        <v>68.132712808893615</v>
      </c>
      <c r="U82" s="1">
        <f>[1]节奏总纲!AG82</f>
        <v>72.635787557831478</v>
      </c>
      <c r="V82" s="1">
        <f>[1]节奏总纲!AH82</f>
        <v>81.212704266341873</v>
      </c>
      <c r="Z82" s="43">
        <v>79</v>
      </c>
      <c r="AA82" s="43">
        <f>[1]节奏总纲!AM82</f>
        <v>41077.009235645834</v>
      </c>
      <c r="AB82" s="43">
        <f>[1]节奏总纲!AN82</f>
        <v>32861.60738851667</v>
      </c>
      <c r="AC82" s="43">
        <f>[1]节奏总纲!AO82</f>
        <v>24646.205541387499</v>
      </c>
      <c r="AD82" s="43">
        <f>[1]节奏总纲!AP82</f>
        <v>16430.803694258335</v>
      </c>
      <c r="AE82" s="43">
        <f>[1]节奏总纲!AQ82</f>
        <v>8215.4018471291674</v>
      </c>
      <c r="AG82" s="43">
        <v>79</v>
      </c>
      <c r="AH82" s="43">
        <f>[1]节奏总纲!AT82</f>
        <v>5565.8189128857484</v>
      </c>
      <c r="AI82" s="43">
        <f>[1]节奏总纲!AU82</f>
        <v>4452.6551303086017</v>
      </c>
      <c r="AJ82" s="43">
        <f>[1]节奏总纲!AV82</f>
        <v>3339.4913477314476</v>
      </c>
      <c r="AK82" s="43">
        <f>[1]节奏总纲!AW82</f>
        <v>2226.3275651543008</v>
      </c>
      <c r="AL82" s="43">
        <f>[1]节奏总纲!AX82</f>
        <v>1113.1637825771504</v>
      </c>
      <c r="AN82" s="2">
        <v>79</v>
      </c>
      <c r="AO82" s="2">
        <f>[1]节奏总纲!BA82</f>
        <v>36.442160481112069</v>
      </c>
      <c r="AP82" s="2">
        <f>[1]节奏总纲!BB82</f>
        <v>37.952732911393213</v>
      </c>
      <c r="AQ82" s="2">
        <f>[1]节奏总纲!BC82</f>
        <v>39.880677772675625</v>
      </c>
      <c r="AR82" s="2">
        <f>[1]节奏总纲!BD82</f>
        <v>42.601058174025873</v>
      </c>
      <c r="AS82" s="2">
        <f>[1]节奏总纲!BE82</f>
        <v>47.286546933283724</v>
      </c>
    </row>
    <row r="83" spans="2:45" x14ac:dyDescent="0.15">
      <c r="B83" s="29">
        <f>[1]节奏总纲!N83</f>
        <v>90</v>
      </c>
      <c r="C83" s="1">
        <v>80</v>
      </c>
      <c r="D83" s="1">
        <f>[1]节奏总纲!P83</f>
        <v>255</v>
      </c>
      <c r="E83" s="1">
        <f>[1]节奏总纲!Q83</f>
        <v>221.08500000000001</v>
      </c>
      <c r="F83" s="1">
        <f>[1]节奏总纲!R83</f>
        <v>180.33600000000001</v>
      </c>
      <c r="G83" s="1">
        <f>[1]节奏总纲!S83</f>
        <v>131.58000000000001</v>
      </c>
      <c r="H83" s="1">
        <f>[1]节奏总纲!T83</f>
        <v>72.777000000000001</v>
      </c>
      <c r="J83" s="1">
        <v>80</v>
      </c>
      <c r="K83" s="1">
        <f>[1]节奏总纲!W83</f>
        <v>17.14355416657736</v>
      </c>
      <c r="L83" s="1">
        <f>[1]节奏总纲!X83</f>
        <v>15.006175329922655</v>
      </c>
      <c r="M83" s="1">
        <f>[1]节奏总纲!Y83</f>
        <v>11.600637325769981</v>
      </c>
      <c r="N83" s="1">
        <f>[1]节奏总纲!Z83</f>
        <v>8.4655036366204683</v>
      </c>
      <c r="O83" s="1">
        <f>[1]节奏总纲!AA83</f>
        <v>4.6549139133077659</v>
      </c>
      <c r="Q83" s="1">
        <v>80</v>
      </c>
      <c r="R83" s="1">
        <f>[1]节奏总纲!AD83</f>
        <v>63.39021301395622</v>
      </c>
      <c r="S83" s="1">
        <f>[1]节奏总纲!AE83</f>
        <v>65.412152709609373</v>
      </c>
      <c r="T83" s="1">
        <f>[1]节奏总纲!AF83</f>
        <v>68.309907165737044</v>
      </c>
      <c r="U83" s="1">
        <f>[1]节奏总纲!AG83</f>
        <v>72.822065215823244</v>
      </c>
      <c r="V83" s="1">
        <f>[1]节奏总纲!AH83</f>
        <v>81.398783729567185</v>
      </c>
      <c r="Z83" s="43">
        <v>80</v>
      </c>
      <c r="AA83" s="43">
        <f>[1]节奏总纲!AM83</f>
        <v>47512.875</v>
      </c>
      <c r="AB83" s="43">
        <f>[1]节奏总纲!AN83</f>
        <v>38010.300000000003</v>
      </c>
      <c r="AC83" s="43">
        <f>[1]节奏总纲!AO83</f>
        <v>28507.724999999999</v>
      </c>
      <c r="AD83" s="43">
        <f>[1]节奏总纲!AP83</f>
        <v>19005.150000000001</v>
      </c>
      <c r="AE83" s="43">
        <f>[1]节奏总纲!AQ83</f>
        <v>9502.5750000000007</v>
      </c>
      <c r="AG83" s="43">
        <v>80</v>
      </c>
      <c r="AH83" s="43">
        <f>[1]节奏总纲!AT83</f>
        <v>6435.8657643541665</v>
      </c>
      <c r="AI83" s="43">
        <f>[1]节奏总纲!AU83</f>
        <v>5148.6926114833332</v>
      </c>
      <c r="AJ83" s="43">
        <f>[1]节奏总纲!AV83</f>
        <v>3861.5194586124999</v>
      </c>
      <c r="AK83" s="43">
        <f>[1]节奏总纲!AW83</f>
        <v>2574.3463057416666</v>
      </c>
      <c r="AL83" s="43">
        <f>[1]节奏总纲!AX83</f>
        <v>1287.1731528708333</v>
      </c>
      <c r="AN83" s="2">
        <v>80</v>
      </c>
      <c r="AO83" s="2">
        <f>[1]节奏总纲!BA83</f>
        <v>36.526331209747774</v>
      </c>
      <c r="AP83" s="2">
        <f>[1]节奏总纲!BB83</f>
        <v>38.037513426486328</v>
      </c>
      <c r="AQ83" s="2">
        <f>[1]节奏总纲!BC83</f>
        <v>39.970732283863832</v>
      </c>
      <c r="AR83" s="2">
        <f>[1]节奏总纲!BD83</f>
        <v>42.687840061343536</v>
      </c>
      <c r="AS83" s="2">
        <f>[1]节奏总纲!BE83</f>
        <v>47.3696970865753</v>
      </c>
    </row>
    <row r="84" spans="2:45" x14ac:dyDescent="0.15">
      <c r="B84" s="29">
        <f>[1]节奏总纲!N84</f>
        <v>91</v>
      </c>
      <c r="C84" s="1">
        <v>81</v>
      </c>
      <c r="D84" s="1">
        <f>[1]节奏总纲!P84</f>
        <v>273.37400640929098</v>
      </c>
      <c r="E84" s="1">
        <f>[1]节奏总纲!Q84</f>
        <v>236.35916594147301</v>
      </c>
      <c r="F84" s="1">
        <f>[1]节奏总纲!R84</f>
        <v>192.67399971726829</v>
      </c>
      <c r="G84" s="1">
        <f>[1]节奏总纲!S84</f>
        <v>140.76027590014394</v>
      </c>
      <c r="H84" s="1">
        <f>[1]节奏总纲!T84</f>
        <v>77.856917025366073</v>
      </c>
      <c r="J84" s="1">
        <v>81</v>
      </c>
      <c r="K84" s="1">
        <f>[1]节奏总纲!W84</f>
        <v>18.374006409290985</v>
      </c>
      <c r="L84" s="1">
        <f>[1]节奏总纲!X84</f>
        <v>15.274165941473001</v>
      </c>
      <c r="M84" s="1">
        <f>[1]节奏总纲!Y84</f>
        <v>12.337999717268275</v>
      </c>
      <c r="N84" s="1">
        <f>[1]节奏总纲!Z84</f>
        <v>9.1802759001439256</v>
      </c>
      <c r="O84" s="1">
        <f>[1]节奏总纲!AA84</f>
        <v>5.0799170253660719</v>
      </c>
      <c r="Q84" s="1">
        <v>81</v>
      </c>
      <c r="R84" s="1">
        <f>[1]节奏总纲!AD84</f>
        <v>63.567039423670657</v>
      </c>
      <c r="S84" s="1">
        <f>[1]节奏总纲!AE84</f>
        <v>65.58750975301939</v>
      </c>
      <c r="T84" s="1">
        <f>[1]节奏总纲!AF84</f>
        <v>68.487101522580488</v>
      </c>
      <c r="U84" s="1">
        <f>[1]节奏总纲!AG84</f>
        <v>73.007572199822363</v>
      </c>
      <c r="V84" s="1">
        <f>[1]节奏总纲!AH84</f>
        <v>81.584863192792497</v>
      </c>
      <c r="Z84" s="43"/>
      <c r="AA84" s="43"/>
      <c r="AB84" s="43"/>
      <c r="AC84" s="43"/>
      <c r="AD84" s="43"/>
      <c r="AE84" s="43"/>
      <c r="AG84" s="43"/>
      <c r="AH84" s="43"/>
      <c r="AI84" s="43"/>
      <c r="AJ84" s="43"/>
      <c r="AK84" s="43"/>
      <c r="AL84" s="43"/>
      <c r="AN84" s="2">
        <v>81</v>
      </c>
      <c r="AO84" s="2">
        <f>[1]节奏总纲!BA84</f>
        <v>36.610501938383479</v>
      </c>
      <c r="AP84" s="2">
        <f>[1]节奏总纲!BB84</f>
        <v>38.11580158428373</v>
      </c>
      <c r="AQ84" s="2">
        <f>[1]节奏总纲!BC84</f>
        <v>40.052446592012309</v>
      </c>
      <c r="AR84" s="2">
        <f>[1]节奏总纲!BD84</f>
        <v>42.774621948661192</v>
      </c>
      <c r="AS84" s="2">
        <f>[1]节奏总纲!BE84</f>
        <v>47.452847239866877</v>
      </c>
    </row>
    <row r="85" spans="2:45" x14ac:dyDescent="0.15">
      <c r="B85" s="29">
        <f>[1]节奏总纲!N85</f>
        <v>92</v>
      </c>
      <c r="C85" s="1">
        <v>82</v>
      </c>
      <c r="D85" s="1">
        <f>[1]节奏总纲!P85</f>
        <v>293.06677887924064</v>
      </c>
      <c r="E85" s="1">
        <f>[1]节奏总纲!Q85</f>
        <v>253.15108359588808</v>
      </c>
      <c r="F85" s="1">
        <f>[1]节奏总纲!R85</f>
        <v>206.37762568676126</v>
      </c>
      <c r="G85" s="1">
        <f>[1]节奏总纲!S85</f>
        <v>150.81216441125721</v>
      </c>
      <c r="H85" s="1">
        <f>[1]节奏总纲!T85</f>
        <v>83.230965201704336</v>
      </c>
      <c r="J85" s="1">
        <v>82</v>
      </c>
      <c r="K85" s="1">
        <f>[1]节奏总纲!W85</f>
        <v>19.692772469949659</v>
      </c>
      <c r="L85" s="1">
        <f>[1]节奏总纲!X85</f>
        <v>16.791917654415073</v>
      </c>
      <c r="M85" s="1">
        <f>[1]节奏总纲!Y85</f>
        <v>13.703625969492975</v>
      </c>
      <c r="N85" s="1">
        <f>[1]节奏总纲!Z85</f>
        <v>10.051888511113276</v>
      </c>
      <c r="O85" s="1">
        <f>[1]节奏总纲!AA85</f>
        <v>5.3740481763382633</v>
      </c>
      <c r="Q85" s="1">
        <v>82</v>
      </c>
      <c r="R85" s="1">
        <f>[1]节奏总纲!AD85</f>
        <v>63.743865833385094</v>
      </c>
      <c r="S85" s="1">
        <f>[1]节奏总纲!AE85</f>
        <v>65.762866796429392</v>
      </c>
      <c r="T85" s="1">
        <f>[1]节奏总纲!AF85</f>
        <v>68.664295879423918</v>
      </c>
      <c r="U85" s="1">
        <f>[1]节奏总纲!AG85</f>
        <v>73.176642436293761</v>
      </c>
      <c r="V85" s="1">
        <f>[1]节奏总纲!AH85</f>
        <v>81.770942656017823</v>
      </c>
      <c r="Z85" s="43"/>
      <c r="AA85" s="43"/>
      <c r="AB85" s="43"/>
      <c r="AC85" s="43"/>
      <c r="AD85" s="43"/>
      <c r="AE85" s="43"/>
      <c r="AG85" s="43"/>
      <c r="AH85" s="43"/>
      <c r="AI85" s="43"/>
      <c r="AJ85" s="43"/>
      <c r="AK85" s="43"/>
      <c r="AL85" s="43"/>
      <c r="AN85" s="2">
        <v>82</v>
      </c>
      <c r="AO85" s="2">
        <f>[1]节奏总纲!BA85</f>
        <v>36.694672667019191</v>
      </c>
      <c r="AP85" s="2">
        <f>[1]节奏总纲!BB85</f>
        <v>38.194089742081125</v>
      </c>
      <c r="AQ85" s="2">
        <f>[1]节奏总纲!BC85</f>
        <v>40.130145246845366</v>
      </c>
      <c r="AR85" s="2">
        <f>[1]节奏总纲!BD85</f>
        <v>42.861403835978855</v>
      </c>
      <c r="AS85" s="2">
        <f>[1]节奏总纲!BE85</f>
        <v>47.535997393158453</v>
      </c>
    </row>
    <row r="86" spans="2:45" x14ac:dyDescent="0.15">
      <c r="B86" s="29">
        <f>[1]节奏总纲!N86</f>
        <v>93</v>
      </c>
      <c r="C86" s="1">
        <v>83</v>
      </c>
      <c r="D86" s="1">
        <f>[1]节奏总纲!P86</f>
        <v>314.1729698162988</v>
      </c>
      <c r="E86" s="1">
        <f>[1]节奏总纲!Q86</f>
        <v>271.53969781222702</v>
      </c>
      <c r="F86" s="1">
        <f>[1]节奏总纲!R86</f>
        <v>221.55477831445393</v>
      </c>
      <c r="G86" s="1">
        <f>[1]节奏总纲!S86</f>
        <v>161.57915837652246</v>
      </c>
      <c r="H86" s="1">
        <f>[1]节奏总纲!T86</f>
        <v>89.193706130847232</v>
      </c>
      <c r="J86" s="1">
        <v>83</v>
      </c>
      <c r="K86" s="1">
        <f>[1]节奏总纲!W86</f>
        <v>21.106190937058159</v>
      </c>
      <c r="L86" s="1">
        <f>[1]节奏总纲!X86</f>
        <v>18.388614216338937</v>
      </c>
      <c r="M86" s="1">
        <f>[1]节奏总纲!Y86</f>
        <v>15.177152627692664</v>
      </c>
      <c r="N86" s="1">
        <f>[1]节奏总纲!Z86</f>
        <v>10.766993965265243</v>
      </c>
      <c r="O86" s="1">
        <f>[1]节奏总纲!AA86</f>
        <v>5.9627409291428961</v>
      </c>
      <c r="Q86" s="1">
        <v>83</v>
      </c>
      <c r="R86" s="1">
        <f>[1]节奏总纲!AD86</f>
        <v>63.920692243099523</v>
      </c>
      <c r="S86" s="1">
        <f>[1]节奏总纲!AE86</f>
        <v>65.938223839839395</v>
      </c>
      <c r="T86" s="1">
        <f>[1]节奏总纲!AF86</f>
        <v>68.841490236267347</v>
      </c>
      <c r="U86" s="1">
        <f>[1]节奏总纲!AG86</f>
        <v>73.34571267276516</v>
      </c>
      <c r="V86" s="1">
        <f>[1]节奏总纲!AH86</f>
        <v>81.957022119243135</v>
      </c>
      <c r="AN86" s="2">
        <v>83</v>
      </c>
      <c r="AO86" s="2">
        <f>[1]节奏总纲!BA86</f>
        <v>36.778843395654896</v>
      </c>
      <c r="AP86" s="2">
        <f>[1]节奏总纲!BB86</f>
        <v>38.272377899878528</v>
      </c>
      <c r="AQ86" s="2">
        <f>[1]节奏总纲!BC86</f>
        <v>40.207843901678423</v>
      </c>
      <c r="AR86" s="2">
        <f>[1]节奏总纲!BD86</f>
        <v>42.948185723296518</v>
      </c>
      <c r="AS86" s="2">
        <f>[1]节奏总纲!BE86</f>
        <v>47.619147546450023</v>
      </c>
    </row>
    <row r="87" spans="2:45" x14ac:dyDescent="0.15">
      <c r="B87" s="29">
        <f>[1]节奏总纲!N87</f>
        <v>94</v>
      </c>
      <c r="C87" s="1">
        <v>84</v>
      </c>
      <c r="D87" s="1">
        <f>[1]节奏总纲!P87</f>
        <v>336.79402515786086</v>
      </c>
      <c r="E87" s="1">
        <f>[1]节奏总纲!Q87</f>
        <v>291.2594729565181</v>
      </c>
      <c r="F87" s="1">
        <f>[1]节奏总纲!R87</f>
        <v>237.27139072371298</v>
      </c>
      <c r="G87" s="1">
        <f>[1]节奏总纲!S87</f>
        <v>172.97741132107731</v>
      </c>
      <c r="H87" s="1">
        <f>[1]节奏总纲!T87</f>
        <v>95.64950314483248</v>
      </c>
      <c r="J87" s="1">
        <v>84</v>
      </c>
      <c r="K87" s="1">
        <f>[1]节奏总纲!W87</f>
        <v>22.621055341562055</v>
      </c>
      <c r="L87" s="1">
        <f>[1]节奏总纲!X87</f>
        <v>19.719775144291077</v>
      </c>
      <c r="M87" s="1">
        <f>[1]节奏总纲!Y87</f>
        <v>15.716612409259056</v>
      </c>
      <c r="N87" s="1">
        <f>[1]节奏总纲!Z87</f>
        <v>11.398252944554855</v>
      </c>
      <c r="O87" s="1">
        <f>[1]节奏总纲!AA87</f>
        <v>6.4557970139852472</v>
      </c>
      <c r="Q87" s="1">
        <v>84</v>
      </c>
      <c r="R87" s="1">
        <f>[1]节奏总纲!AD87</f>
        <v>64.090988120365651</v>
      </c>
      <c r="S87" s="1">
        <f>[1]节奏总纲!AE87</f>
        <v>66.105889403880397</v>
      </c>
      <c r="T87" s="1">
        <f>[1]节奏总纲!AF87</f>
        <v>69.01697485309198</v>
      </c>
      <c r="U87" s="1">
        <f>[1]节奏总纲!AG87</f>
        <v>73.514782909236544</v>
      </c>
      <c r="V87" s="1">
        <f>[1]节奏总纲!AH87</f>
        <v>82.128973371044353</v>
      </c>
      <c r="AN87" s="2">
        <v>84</v>
      </c>
      <c r="AO87" s="2">
        <f>[1]节奏总纲!BA87</f>
        <v>36.863014124290601</v>
      </c>
      <c r="AP87" s="2">
        <f>[1]节奏总纲!BB87</f>
        <v>38.35066605767593</v>
      </c>
      <c r="AQ87" s="2">
        <f>[1]节奏总纲!BC87</f>
        <v>40.28554255651148</v>
      </c>
      <c r="AR87" s="2">
        <f>[1]节奏总纲!BD87</f>
        <v>43.030177309109042</v>
      </c>
      <c r="AS87" s="2">
        <f>[1]节奏总纲!BE87</f>
        <v>47.7022976997416</v>
      </c>
    </row>
    <row r="88" spans="2:45" x14ac:dyDescent="0.15">
      <c r="B88" s="29">
        <f>[1]节奏总纲!N88</f>
        <v>95</v>
      </c>
      <c r="C88" s="1">
        <v>85</v>
      </c>
      <c r="D88" s="1">
        <f>[1]节奏总纲!P88</f>
        <v>361.0386719675123</v>
      </c>
      <c r="E88" s="1">
        <f>[1]节奏总纲!Q88</f>
        <v>311.72078937675008</v>
      </c>
      <c r="F88" s="1">
        <f>[1]节奏总纲!R88</f>
        <v>253.91849799475142</v>
      </c>
      <c r="G88" s="1">
        <f>[1]节奏总纲!S88</f>
        <v>185.57387739130132</v>
      </c>
      <c r="H88" s="1">
        <f>[1]节奏总纲!T88</f>
        <v>102.53498283877349</v>
      </c>
      <c r="J88" s="1">
        <v>85</v>
      </c>
      <c r="K88" s="1">
        <f>[1]节奏总纲!W88</f>
        <v>24.244646809651442</v>
      </c>
      <c r="L88" s="1">
        <f>[1]节奏总纲!X88</f>
        <v>20.461316420231981</v>
      </c>
      <c r="M88" s="1">
        <f>[1]节奏总纲!Y88</f>
        <v>16.647107271038436</v>
      </c>
      <c r="N88" s="1">
        <f>[1]节奏总纲!Z88</f>
        <v>12.596466070224011</v>
      </c>
      <c r="O88" s="1">
        <f>[1]节奏总纲!AA88</f>
        <v>6.8854796939410079</v>
      </c>
      <c r="Q88" s="1">
        <v>85</v>
      </c>
      <c r="R88" s="1">
        <f>[1]节奏总纲!AD88</f>
        <v>64.255972994404218</v>
      </c>
      <c r="S88" s="1">
        <f>[1]节奏总纲!AE88</f>
        <v>66.269371604948859</v>
      </c>
      <c r="T88" s="1">
        <f>[1]节奏总纲!AF88</f>
        <v>69.17795498031839</v>
      </c>
      <c r="U88" s="1">
        <f>[1]节奏总纲!AG88</f>
        <v>73.683853145707943</v>
      </c>
      <c r="V88" s="1">
        <f>[1]节奏总纲!AH88</f>
        <v>82.296681479091191</v>
      </c>
      <c r="AN88" s="2">
        <v>85</v>
      </c>
      <c r="AO88" s="2">
        <f>[1]节奏总纲!BA88</f>
        <v>36.947184852926306</v>
      </c>
      <c r="AP88" s="2">
        <f>[1]节奏总纲!BB88</f>
        <v>38.428954215473325</v>
      </c>
      <c r="AQ88" s="2">
        <f>[1]节奏总纲!BC88</f>
        <v>40.363241211344537</v>
      </c>
      <c r="AR88" s="2">
        <f>[1]节奏总纲!BD88</f>
        <v>43.105070725978337</v>
      </c>
      <c r="AS88" s="2">
        <f>[1]节奏总纲!BE88</f>
        <v>47.785447853033176</v>
      </c>
    </row>
    <row r="89" spans="2:45" x14ac:dyDescent="0.15">
      <c r="B89" s="29">
        <f>[1]节奏总纲!N89</f>
        <v>96</v>
      </c>
      <c r="C89" s="1">
        <v>86</v>
      </c>
      <c r="D89" s="1">
        <f>[1]节奏总纲!P89</f>
        <v>387.02344102666189</v>
      </c>
      <c r="E89" s="1">
        <f>[1]节奏总纲!Q89</f>
        <v>334.00122960600919</v>
      </c>
      <c r="F89" s="1">
        <f>[1]节奏总纲!R89</f>
        <v>272.23228841815398</v>
      </c>
      <c r="G89" s="1">
        <f>[1]节奏总纲!S89</f>
        <v>199.39447681693619</v>
      </c>
      <c r="H89" s="1">
        <f>[1]节奏总纲!T89</f>
        <v>108.94709864900531</v>
      </c>
      <c r="J89" s="1">
        <v>86</v>
      </c>
      <c r="K89" s="1">
        <f>[1]节奏总纲!W89</f>
        <v>25.984769059149585</v>
      </c>
      <c r="L89" s="1">
        <f>[1]节奏总纲!X89</f>
        <v>22.280440229259113</v>
      </c>
      <c r="M89" s="1">
        <f>[1]节奏总纲!Y89</f>
        <v>18.313790423402565</v>
      </c>
      <c r="N89" s="1">
        <f>[1]节奏总纲!Z89</f>
        <v>13.820599425634867</v>
      </c>
      <c r="O89" s="1">
        <f>[1]节奏总纲!AA89</f>
        <v>6.4121158102318248</v>
      </c>
      <c r="Q89" s="1">
        <v>86</v>
      </c>
      <c r="R89" s="1">
        <f>[1]节奏总纲!AD89</f>
        <v>64.420957868442798</v>
      </c>
      <c r="S89" s="1">
        <f>[1]节奏总纲!AE89</f>
        <v>66.43285380601732</v>
      </c>
      <c r="T89" s="1">
        <f>[1]节奏总纲!AF89</f>
        <v>69.338935107544785</v>
      </c>
      <c r="U89" s="1">
        <f>[1]节奏总纲!AG89</f>
        <v>73.852923382179341</v>
      </c>
      <c r="V89" s="1">
        <f>[1]节奏总纲!AH89</f>
        <v>82.464389587138029</v>
      </c>
      <c r="AN89" s="2">
        <v>86</v>
      </c>
      <c r="AO89" s="2">
        <f>[1]节奏总纲!BA89</f>
        <v>37.027046282459708</v>
      </c>
      <c r="AP89" s="2">
        <f>[1]节奏总纲!BB89</f>
        <v>38.507242373270728</v>
      </c>
      <c r="AQ89" s="2">
        <f>[1]节奏总纲!BC89</f>
        <v>40.440939866177594</v>
      </c>
      <c r="AR89" s="2">
        <f>[1]节奏总纲!BD89</f>
        <v>43.179964142847631</v>
      </c>
      <c r="AS89" s="2">
        <f>[1]节奏总纲!BE89</f>
        <v>47.868598006324753</v>
      </c>
    </row>
    <row r="90" spans="2:45" x14ac:dyDescent="0.15">
      <c r="B90" s="29">
        <f>[1]节奏总纲!N90</f>
        <v>97</v>
      </c>
      <c r="C90" s="1">
        <v>87</v>
      </c>
      <c r="D90" s="1">
        <f>[1]节奏总纲!P90</f>
        <v>414.87322693439216</v>
      </c>
      <c r="E90" s="1">
        <f>[1]节奏总纲!Q90</f>
        <v>358.28451878054108</v>
      </c>
      <c r="F90" s="1">
        <f>[1]节奏总纲!R90</f>
        <v>292.4026503433596</v>
      </c>
      <c r="G90" s="1">
        <f>[1]节奏总纲!S90</f>
        <v>212.58104148118252</v>
      </c>
      <c r="H90" s="1">
        <f>[1]节奏总纲!T90</f>
        <v>115.74963031469542</v>
      </c>
      <c r="J90" s="1">
        <v>87</v>
      </c>
      <c r="K90" s="1">
        <f>[1]节奏总纲!W90</f>
        <v>27.849785907730279</v>
      </c>
      <c r="L90" s="1">
        <f>[1]节奏总纲!X90</f>
        <v>24.283289174531888</v>
      </c>
      <c r="M90" s="1">
        <f>[1]节奏总纲!Y90</f>
        <v>20.170361925205611</v>
      </c>
      <c r="N90" s="1">
        <f>[1]节奏总纲!Z90</f>
        <v>13.186564664246333</v>
      </c>
      <c r="O90" s="1">
        <f>[1]节奏总纲!AA90</f>
        <v>6.8025316656901111</v>
      </c>
      <c r="Q90" s="1">
        <v>87</v>
      </c>
      <c r="R90" s="1">
        <f>[1]节奏总纲!AD90</f>
        <v>64.585942742481365</v>
      </c>
      <c r="S90" s="1">
        <f>[1]节奏总纲!AE90</f>
        <v>66.596336007085796</v>
      </c>
      <c r="T90" s="1">
        <f>[1]节奏总纲!AF90</f>
        <v>69.49991523477118</v>
      </c>
      <c r="U90" s="1">
        <f>[1]节奏总纲!AG90</f>
        <v>74.02050499447661</v>
      </c>
      <c r="V90" s="1">
        <f>[1]节奏总纲!AH90</f>
        <v>82.632097695184868</v>
      </c>
      <c r="AN90" s="2">
        <v>87</v>
      </c>
      <c r="AO90" s="2">
        <f>[1]节奏总纲!BA90</f>
        <v>37.099649155317238</v>
      </c>
      <c r="AP90" s="2">
        <f>[1]节奏总纲!BB90</f>
        <v>38.58553053106813</v>
      </c>
      <c r="AQ90" s="2">
        <f>[1]节奏总纲!BC90</f>
        <v>40.518638521010651</v>
      </c>
      <c r="AR90" s="2">
        <f>[1]节奏总纲!BD90</f>
        <v>43.254857559716925</v>
      </c>
      <c r="AS90" s="2">
        <f>[1]节奏总纲!BE90</f>
        <v>47.951748159616329</v>
      </c>
    </row>
    <row r="91" spans="2:45" x14ac:dyDescent="0.15">
      <c r="B91" s="29">
        <f>[1]节奏总纲!N91</f>
        <v>98</v>
      </c>
      <c r="C91" s="1">
        <v>88</v>
      </c>
      <c r="D91" s="1">
        <f>[1]节奏总纲!P91</f>
        <v>444.72188840761549</v>
      </c>
      <c r="E91" s="1">
        <f>[1]节奏总纲!Q91</f>
        <v>384.7733778502689</v>
      </c>
      <c r="F91" s="1">
        <f>[1]节奏总纲!R91</f>
        <v>312.90632068359827</v>
      </c>
      <c r="G91" s="1">
        <f>[1]节奏总纲!S91</f>
        <v>226.0076636887502</v>
      </c>
      <c r="H91" s="1">
        <f>[1]节奏总纲!T91</f>
        <v>123.1879630889095</v>
      </c>
      <c r="J91" s="1">
        <v>88</v>
      </c>
      <c r="K91" s="1">
        <f>[1]节奏总纲!W91</f>
        <v>29.848661473223331</v>
      </c>
      <c r="L91" s="1">
        <f>[1]节奏总纲!X91</f>
        <v>26.488859069727823</v>
      </c>
      <c r="M91" s="1">
        <f>[1]节奏总纲!Y91</f>
        <v>20.503670340238671</v>
      </c>
      <c r="N91" s="1">
        <f>[1]节奏总纲!Z91</f>
        <v>13.426622207567675</v>
      </c>
      <c r="O91" s="1">
        <f>[1]节奏总纲!AA91</f>
        <v>7.438332774214075</v>
      </c>
      <c r="Q91" s="1">
        <v>88</v>
      </c>
      <c r="R91" s="1">
        <f>[1]节奏总纲!AD91</f>
        <v>64.750927616519931</v>
      </c>
      <c r="S91" s="1">
        <f>[1]节奏总纲!AE91</f>
        <v>66.759818208154257</v>
      </c>
      <c r="T91" s="1">
        <f>[1]节奏总纲!AF91</f>
        <v>69.660895361997589</v>
      </c>
      <c r="U91" s="1">
        <f>[1]节奏总纲!AG91</f>
        <v>74.178131818877702</v>
      </c>
      <c r="V91" s="1">
        <f>[1]节奏总纲!AH91</f>
        <v>82.799805803231706</v>
      </c>
      <c r="AN91" s="2">
        <v>88</v>
      </c>
      <c r="AO91" s="2">
        <f>[1]节奏总纲!BA91</f>
        <v>37.172252028174768</v>
      </c>
      <c r="AP91" s="2">
        <f>[1]节奏总纲!BB91</f>
        <v>38.663818688865533</v>
      </c>
      <c r="AQ91" s="2">
        <f>[1]节奏总纲!BC91</f>
        <v>40.596337175843701</v>
      </c>
      <c r="AR91" s="2">
        <f>[1]节奏总纲!BD91</f>
        <v>43.329750976586219</v>
      </c>
      <c r="AS91" s="2">
        <f>[1]节奏总纲!BE91</f>
        <v>48.030128751164234</v>
      </c>
    </row>
    <row r="92" spans="2:45" x14ac:dyDescent="0.15">
      <c r="B92" s="29">
        <f>[1]节奏总纲!N92</f>
        <v>99</v>
      </c>
      <c r="C92" s="1">
        <v>89</v>
      </c>
      <c r="D92" s="1">
        <f>[1]节奏总纲!P92</f>
        <v>476.71289166684534</v>
      </c>
      <c r="E92" s="1">
        <f>[1]节奏总纲!Q92</f>
        <v>411.78459582182103</v>
      </c>
      <c r="F92" s="1">
        <f>[1]节奏总纲!R92</f>
        <v>332.60258451595797</v>
      </c>
      <c r="G92" s="1">
        <f>[1]节奏总纲!S92</f>
        <v>240.31096868925673</v>
      </c>
      <c r="H92" s="1">
        <f>[1]节奏总纲!T92</f>
        <v>130.61933231671563</v>
      </c>
      <c r="J92" s="1">
        <v>89</v>
      </c>
      <c r="K92" s="1">
        <f>[1]节奏总纲!W92</f>
        <v>31.991003259229842</v>
      </c>
      <c r="L92" s="1">
        <f>[1]节奏总纲!X92</f>
        <v>27.011217971552128</v>
      </c>
      <c r="M92" s="1">
        <f>[1]节奏总纲!Y92</f>
        <v>19.696263832359705</v>
      </c>
      <c r="N92" s="1">
        <f>[1]节奏总纲!Z92</f>
        <v>14.303305000506526</v>
      </c>
      <c r="O92" s="1">
        <f>[1]节奏总纲!AA92</f>
        <v>7.4313692278061296</v>
      </c>
      <c r="Q92" s="1">
        <v>89</v>
      </c>
      <c r="R92" s="1">
        <f>[1]节奏总纲!AD92</f>
        <v>64.915912490558512</v>
      </c>
      <c r="S92" s="1">
        <f>[1]节奏总纲!AE92</f>
        <v>66.923300409222719</v>
      </c>
      <c r="T92" s="1">
        <f>[1]节奏总纲!AF92</f>
        <v>69.821875489223984</v>
      </c>
      <c r="U92" s="1">
        <f>[1]节奏总纲!AG92</f>
        <v>74.335758643278794</v>
      </c>
      <c r="V92" s="1">
        <f>[1]节奏总纲!AH92</f>
        <v>82.967513911278544</v>
      </c>
      <c r="AN92" s="2">
        <v>89</v>
      </c>
      <c r="AO92" s="2">
        <f>[1]节奏总纲!BA92</f>
        <v>37.244854901032298</v>
      </c>
      <c r="AP92" s="2">
        <f>[1]节奏总纲!BB92</f>
        <v>38.742106846662928</v>
      </c>
      <c r="AQ92" s="2">
        <f>[1]节奏总纲!BC92</f>
        <v>40.674035830676758</v>
      </c>
      <c r="AR92" s="2">
        <f>[1]节奏总纲!BD92</f>
        <v>43.404644393455513</v>
      </c>
      <c r="AS92" s="2">
        <f>[1]节奏总纲!BE92</f>
        <v>48.101914750802706</v>
      </c>
    </row>
    <row r="93" spans="2:45" x14ac:dyDescent="0.15">
      <c r="B93" s="29">
        <f>[1]节奏总纲!N93</f>
        <v>100</v>
      </c>
      <c r="C93" s="1">
        <v>90</v>
      </c>
      <c r="D93" s="1">
        <f>[1]节奏总纲!P93</f>
        <v>511</v>
      </c>
      <c r="E93" s="1">
        <f>[1]节奏总纲!Q93</f>
        <v>438.13140000000004</v>
      </c>
      <c r="F93" s="1">
        <f>[1]节奏总纲!R93</f>
        <v>354.12299999999999</v>
      </c>
      <c r="G93" s="1">
        <f>[1]节奏总纲!S93</f>
        <v>254.88680000000002</v>
      </c>
      <c r="H93" s="1">
        <f>[1]节奏总纲!T93</f>
        <v>138.48100000000002</v>
      </c>
      <c r="J93" s="1">
        <v>90</v>
      </c>
      <c r="K93" s="1">
        <f>[1]节奏总纲!W93</f>
        <v>34.287108333154663</v>
      </c>
      <c r="L93" s="1">
        <f>[1]节奏总纲!X93</f>
        <v>26.346804178179013</v>
      </c>
      <c r="M93" s="1">
        <f>[1]节奏总纲!Y93</f>
        <v>21.520415484042019</v>
      </c>
      <c r="N93" s="1">
        <f>[1]节奏总纲!Z93</f>
        <v>14.575831310743297</v>
      </c>
      <c r="O93" s="1">
        <f>[1]节奏总纲!AA93</f>
        <v>7.861667683284395</v>
      </c>
      <c r="Q93" s="1">
        <v>90</v>
      </c>
      <c r="R93" s="1">
        <f>[1]节奏总纲!AD93</f>
        <v>65.075479910097457</v>
      </c>
      <c r="S93" s="1">
        <f>[1]节奏总纲!AE93</f>
        <v>67.083433628014333</v>
      </c>
      <c r="T93" s="1">
        <f>[1]节奏总纲!AF93</f>
        <v>69.982855616450394</v>
      </c>
      <c r="U93" s="1">
        <f>[1]节奏总纲!AG93</f>
        <v>74.493385467679886</v>
      </c>
      <c r="V93" s="1">
        <f>[1]节奏总纲!AH93</f>
        <v>83.124894550960335</v>
      </c>
      <c r="AN93" s="2">
        <v>90</v>
      </c>
      <c r="AO93" s="2">
        <f>[1]节奏总纲!BA93</f>
        <v>37.317457773889828</v>
      </c>
      <c r="AP93" s="2">
        <f>[1]节奏总纲!BB93</f>
        <v>38.82039500446033</v>
      </c>
      <c r="AQ93" s="2">
        <f>[1]节奏总纲!BC93</f>
        <v>40.751734485509814</v>
      </c>
      <c r="AR93" s="2">
        <f>[1]节奏总纲!BD93</f>
        <v>43.479537810324807</v>
      </c>
      <c r="AS93" s="2">
        <f>[1]节奏总纲!BE93</f>
        <v>48.173700750441178</v>
      </c>
    </row>
    <row r="94" spans="2:45" x14ac:dyDescent="0.15">
      <c r="B94" s="29">
        <f>[1]节奏总纲!N94</f>
        <v>101</v>
      </c>
      <c r="C94" s="1">
        <v>91</v>
      </c>
      <c r="D94" s="1">
        <f>[1]节奏总纲!P94</f>
        <v>547.74801281858208</v>
      </c>
      <c r="E94" s="1">
        <f>[1]节奏总纲!Q94</f>
        <v>469.6391461906523</v>
      </c>
      <c r="F94" s="1">
        <f>[1]节奏总纲!R94</f>
        <v>378.43910205635837</v>
      </c>
      <c r="G94" s="1">
        <f>[1]节奏总纲!S94</f>
        <v>272.61418597980827</v>
      </c>
      <c r="H94" s="1">
        <f>[1]节奏总纲!T94</f>
        <v>147.89196346101718</v>
      </c>
      <c r="J94" s="1">
        <v>91</v>
      </c>
      <c r="K94" s="1">
        <f>[1]节奏总纲!W94</f>
        <v>36.748012818582083</v>
      </c>
      <c r="L94" s="1">
        <f>[1]节奏总纲!X94</f>
        <v>31.507746190652256</v>
      </c>
      <c r="M94" s="1">
        <f>[1]节奏总纲!Y94</f>
        <v>24.316102056358375</v>
      </c>
      <c r="N94" s="1">
        <f>[1]节奏总纲!Z94</f>
        <v>17.727385979808247</v>
      </c>
      <c r="O94" s="1">
        <f>[1]节奏总纲!AA94</f>
        <v>9.4109634610171611</v>
      </c>
      <c r="Q94" s="1">
        <v>91</v>
      </c>
      <c r="R94" s="1">
        <f>[1]节奏总纲!AD94</f>
        <v>65.229416240679981</v>
      </c>
      <c r="S94" s="1">
        <f>[1]节奏总纲!AE94</f>
        <v>67.240606973055961</v>
      </c>
      <c r="T94" s="1">
        <f>[1]节奏总纲!AF94</f>
        <v>70.137942795989005</v>
      </c>
      <c r="U94" s="1">
        <f>[1]节奏总纲!AG94</f>
        <v>74.651012292080978</v>
      </c>
      <c r="V94" s="1">
        <f>[1]节奏总纲!AH94</f>
        <v>83.279794092850153</v>
      </c>
      <c r="AN94" s="2">
        <v>91</v>
      </c>
      <c r="AO94" s="2">
        <f>[1]节奏总纲!BA94</f>
        <v>37.390060646747358</v>
      </c>
      <c r="AP94" s="2">
        <f>[1]节奏总纲!BB94</f>
        <v>38.898683162257733</v>
      </c>
      <c r="AQ94" s="2">
        <f>[1]节奏总纲!BC94</f>
        <v>40.829433140342871</v>
      </c>
      <c r="AR94" s="2">
        <f>[1]节奏总纲!BD94</f>
        <v>43.554431227194108</v>
      </c>
      <c r="AS94" s="2">
        <f>[1]节奏总纲!BE94</f>
        <v>48.24548675007965</v>
      </c>
    </row>
    <row r="95" spans="2:45" x14ac:dyDescent="0.15">
      <c r="B95" s="29">
        <f>[1]节奏总纲!N95</f>
        <v>102</v>
      </c>
      <c r="C95" s="1">
        <v>92</v>
      </c>
      <c r="D95" s="1">
        <f>[1]节奏总纲!P95</f>
        <v>587.1335577584814</v>
      </c>
      <c r="E95" s="1">
        <f>[1]节奏总纲!Q95</f>
        <v>502.29275866238083</v>
      </c>
      <c r="F95" s="1">
        <f>[1]节奏总纲!R95</f>
        <v>405.12215485335213</v>
      </c>
      <c r="G95" s="1">
        <f>[1]节奏总纲!S95</f>
        <v>291.57052478286187</v>
      </c>
      <c r="H95" s="1">
        <f>[1]节奏总纲!T95</f>
        <v>157.64536025815227</v>
      </c>
      <c r="J95" s="1">
        <v>92</v>
      </c>
      <c r="K95" s="1">
        <f>[1]节奏总纲!W95</f>
        <v>39.385544939899319</v>
      </c>
      <c r="L95" s="1">
        <f>[1]节奏总纲!X95</f>
        <v>32.653612471728536</v>
      </c>
      <c r="M95" s="1">
        <f>[1]节奏总纲!Y95</f>
        <v>26.683052796993763</v>
      </c>
      <c r="N95" s="1">
        <f>[1]节奏总纲!Z95</f>
        <v>18.956338803053598</v>
      </c>
      <c r="O95" s="1">
        <f>[1]节奏总纲!AA95</f>
        <v>9.7533967971350819</v>
      </c>
      <c r="Q95" s="1">
        <v>92</v>
      </c>
      <c r="R95" s="1">
        <f>[1]节奏总纲!AD95</f>
        <v>65.38335257126252</v>
      </c>
      <c r="S95" s="1">
        <f>[1]节奏总纲!AE95</f>
        <v>67.397780318097588</v>
      </c>
      <c r="T95" s="1">
        <f>[1]节奏总纲!AF95</f>
        <v>70.292327570459079</v>
      </c>
      <c r="U95" s="1">
        <f>[1]节奏总纲!AG95</f>
        <v>74.808639116482055</v>
      </c>
      <c r="V95" s="1">
        <f>[1]节奏总纲!AH95</f>
        <v>83.434693634739986</v>
      </c>
      <c r="AN95" s="2">
        <v>92</v>
      </c>
      <c r="AO95" s="2">
        <f>[1]节奏总纲!BA95</f>
        <v>37.462663519604888</v>
      </c>
      <c r="AP95" s="2">
        <f>[1]节奏总纲!BB95</f>
        <v>38.976971320055128</v>
      </c>
      <c r="AQ95" s="2">
        <f>[1]节奏总纲!BC95</f>
        <v>40.907131795175928</v>
      </c>
      <c r="AR95" s="2">
        <f>[1]节奏总纲!BD95</f>
        <v>43.629324644063402</v>
      </c>
      <c r="AS95" s="2">
        <f>[1]节奏总纲!BE95</f>
        <v>48.317272749718121</v>
      </c>
    </row>
    <row r="96" spans="2:45" x14ac:dyDescent="0.15">
      <c r="B96" s="29">
        <f>[1]节奏总纲!N96</f>
        <v>103</v>
      </c>
      <c r="C96" s="1">
        <v>93</v>
      </c>
      <c r="D96" s="1">
        <f>[1]节奏总纲!P96</f>
        <v>629.34593963259704</v>
      </c>
      <c r="E96" s="1">
        <f>[1]节奏总纲!Q96</f>
        <v>538.34251676172357</v>
      </c>
      <c r="F96" s="1">
        <f>[1]节奏总纲!R96</f>
        <v>433.68228700082267</v>
      </c>
      <c r="G96" s="1">
        <f>[1]节奏总纲!S96</f>
        <v>311.52624011813555</v>
      </c>
      <c r="H96" s="1">
        <f>[1]节奏总纲!T96</f>
        <v>168.35003885171972</v>
      </c>
      <c r="J96" s="1">
        <v>93</v>
      </c>
      <c r="K96" s="1">
        <f>[1]节奏总纲!W96</f>
        <v>42.212381874115636</v>
      </c>
      <c r="L96" s="1">
        <f>[1]节奏总纲!X96</f>
        <v>36.049758099342739</v>
      </c>
      <c r="M96" s="1">
        <f>[1]节奏总纲!Y96</f>
        <v>28.56013214747054</v>
      </c>
      <c r="N96" s="1">
        <f>[1]节奏总纲!Z96</f>
        <v>19.95571533527368</v>
      </c>
      <c r="O96" s="1">
        <f>[1]节奏总纲!AA96</f>
        <v>10.704678593567451</v>
      </c>
      <c r="Q96" s="1">
        <v>93</v>
      </c>
      <c r="R96" s="1">
        <f>[1]节奏总纲!AD96</f>
        <v>65.537288901845059</v>
      </c>
      <c r="S96" s="1">
        <f>[1]节奏总纲!AE96</f>
        <v>67.554953663139216</v>
      </c>
      <c r="T96" s="1">
        <f>[1]节奏总纲!AF96</f>
        <v>70.446712344929153</v>
      </c>
      <c r="U96" s="1">
        <f>[1]节奏总纲!AG96</f>
        <v>74.966265940883147</v>
      </c>
      <c r="V96" s="1">
        <f>[1]节奏总纲!AH96</f>
        <v>83.589593176629805</v>
      </c>
      <c r="AN96" s="2">
        <v>93</v>
      </c>
      <c r="AO96" s="2">
        <f>[1]节奏总纲!BA96</f>
        <v>37.535266392462418</v>
      </c>
      <c r="AP96" s="2">
        <f>[1]节奏总纲!BB96</f>
        <v>39.047673544184711</v>
      </c>
      <c r="AQ96" s="2">
        <f>[1]节奏总纲!BC96</f>
        <v>40.984830450008985</v>
      </c>
      <c r="AR96" s="2">
        <f>[1]节奏总纲!BD96</f>
        <v>43.704218060932696</v>
      </c>
      <c r="AS96" s="2">
        <f>[1]节奏总纲!BE96</f>
        <v>48.389058749356593</v>
      </c>
    </row>
    <row r="97" spans="2:45" x14ac:dyDescent="0.15">
      <c r="B97" s="29">
        <f>[1]节奏总纲!N97</f>
        <v>104</v>
      </c>
      <c r="C97" s="1">
        <v>94</v>
      </c>
      <c r="D97" s="1">
        <f>[1]节奏总纲!P97</f>
        <v>674.58805031572183</v>
      </c>
      <c r="E97" s="1">
        <f>[1]节奏总纲!Q97</f>
        <v>576.30057138472114</v>
      </c>
      <c r="F97" s="1">
        <f>[1]节奏总纲!R97</f>
        <v>464.04911981218504</v>
      </c>
      <c r="G97" s="1">
        <f>[1]节奏总纲!S97</f>
        <v>332.70682641571403</v>
      </c>
      <c r="H97" s="1">
        <f>[1]节奏总纲!T97</f>
        <v>179.6427977990767</v>
      </c>
      <c r="J97" s="1">
        <v>94</v>
      </c>
      <c r="K97" s="1">
        <f>[1]节奏总纲!W97</f>
        <v>45.242110683124793</v>
      </c>
      <c r="L97" s="1">
        <f>[1]节奏总纲!X97</f>
        <v>37.958054622997565</v>
      </c>
      <c r="M97" s="1">
        <f>[1]节奏总纲!Y97</f>
        <v>30.366832811362372</v>
      </c>
      <c r="N97" s="1">
        <f>[1]节奏总纲!Z97</f>
        <v>21.180586297578486</v>
      </c>
      <c r="O97" s="1">
        <f>[1]节奏总纲!AA97</f>
        <v>11.292758947356987</v>
      </c>
      <c r="Q97" s="1">
        <v>94</v>
      </c>
      <c r="R97" s="1">
        <f>[1]节奏总纲!AD97</f>
        <v>65.691225232427584</v>
      </c>
      <c r="S97" s="1">
        <f>[1]节奏总纲!AE97</f>
        <v>67.712127008180858</v>
      </c>
      <c r="T97" s="1">
        <f>[1]节奏总纲!AF97</f>
        <v>70.601097119399213</v>
      </c>
      <c r="U97" s="1">
        <f>[1]节奏总纲!AG97</f>
        <v>75.115180559621535</v>
      </c>
      <c r="V97" s="1">
        <f>[1]节奏总纲!AH97</f>
        <v>83.744492718519624</v>
      </c>
      <c r="AN97" s="2">
        <v>94</v>
      </c>
      <c r="AO97" s="2">
        <f>[1]节奏总纲!BA97</f>
        <v>37.607869265319941</v>
      </c>
      <c r="AP97" s="2">
        <f>[1]节奏总纲!BB97</f>
        <v>39.115214427575864</v>
      </c>
      <c r="AQ97" s="2">
        <f>[1]节奏总纲!BC97</f>
        <v>41.053954370816207</v>
      </c>
      <c r="AR97" s="2">
        <f>[1]节奏总纲!BD97</f>
        <v>43.77911147780199</v>
      </c>
      <c r="AS97" s="2">
        <f>[1]节奏总纲!BE97</f>
        <v>48.460844748995065</v>
      </c>
    </row>
    <row r="98" spans="2:45" x14ac:dyDescent="0.15">
      <c r="B98" s="29">
        <f>[1]节奏总纲!N98</f>
        <v>105</v>
      </c>
      <c r="C98" s="1">
        <v>95</v>
      </c>
      <c r="D98" s="1">
        <f>[1]节奏总纲!P98</f>
        <v>723.0773439350246</v>
      </c>
      <c r="E98" s="1">
        <f>[1]节奏总纲!Q98</f>
        <v>618.15882133005255</v>
      </c>
      <c r="F98" s="1">
        <f>[1]节奏总纲!R98</f>
        <v>495.95875020503337</v>
      </c>
      <c r="G98" s="1">
        <f>[1]节奏总纲!S98</f>
        <v>355.39251454406457</v>
      </c>
      <c r="H98" s="1">
        <f>[1]节奏总纲!T98</f>
        <v>192.84472762747106</v>
      </c>
      <c r="J98" s="1">
        <v>95</v>
      </c>
      <c r="K98" s="1">
        <f>[1]节奏总纲!W98</f>
        <v>48.489293619302771</v>
      </c>
      <c r="L98" s="1">
        <f>[1]节奏总纲!X98</f>
        <v>41.858249945331409</v>
      </c>
      <c r="M98" s="1">
        <f>[1]节奏总纲!Y98</f>
        <v>31.909630392848328</v>
      </c>
      <c r="N98" s="1">
        <f>[1]节奏总纲!Z98</f>
        <v>22.685688128350534</v>
      </c>
      <c r="O98" s="1">
        <f>[1]节奏总纲!AA98</f>
        <v>13.201929828394356</v>
      </c>
      <c r="Q98" s="1">
        <v>95</v>
      </c>
      <c r="R98" s="1">
        <f>[1]节奏总纲!AD98</f>
        <v>65.845161563010123</v>
      </c>
      <c r="S98" s="1">
        <f>[1]节奏总纲!AE98</f>
        <v>67.869300353222485</v>
      </c>
      <c r="T98" s="1">
        <f>[1]节奏总纲!AF98</f>
        <v>70.755481893869288</v>
      </c>
      <c r="U98" s="1">
        <f>[1]节奏总纲!AG98</f>
        <v>75.261722981240993</v>
      </c>
      <c r="V98" s="1">
        <f>[1]节奏总纲!AH98</f>
        <v>83.899392260409456</v>
      </c>
      <c r="AN98" s="2">
        <v>95</v>
      </c>
      <c r="AO98" s="2">
        <f>[1]节奏总纲!BA98</f>
        <v>37.680472138177471</v>
      </c>
      <c r="AP98" s="2">
        <f>[1]节奏总纲!BB98</f>
        <v>39.182755310967018</v>
      </c>
      <c r="AQ98" s="2">
        <f>[1]节奏总纲!BC98</f>
        <v>41.120998062635785</v>
      </c>
      <c r="AR98" s="2">
        <f>[1]节奏总纲!BD98</f>
        <v>43.854004894671284</v>
      </c>
      <c r="AS98" s="2">
        <f>[1]节奏总纲!BE98</f>
        <v>48.532630748633537</v>
      </c>
    </row>
    <row r="99" spans="2:45" x14ac:dyDescent="0.15">
      <c r="B99" s="29">
        <f>[1]节奏总纲!N99</f>
        <v>106</v>
      </c>
      <c r="C99" s="1">
        <v>96</v>
      </c>
      <c r="D99" s="1">
        <f>[1]节奏总纲!P99</f>
        <v>775.04688205332377</v>
      </c>
      <c r="E99" s="1">
        <f>[1]节奏总纲!Q99</f>
        <v>661.0374857032798</v>
      </c>
      <c r="F99" s="1">
        <f>[1]节奏总纲!R99</f>
        <v>529.97705794806279</v>
      </c>
      <c r="G99" s="1">
        <f>[1]节奏总纲!S99</f>
        <v>380.70302846459265</v>
      </c>
      <c r="H99" s="1">
        <f>[1]节奏总纲!T99</f>
        <v>206.86001282003213</v>
      </c>
      <c r="J99" s="1">
        <v>96</v>
      </c>
      <c r="K99" s="1">
        <f>[1]节奏总纲!W99</f>
        <v>51.96953811829917</v>
      </c>
      <c r="L99" s="1">
        <f>[1]节奏总纲!X99</f>
        <v>42.878664373227252</v>
      </c>
      <c r="M99" s="1">
        <f>[1]节奏总纲!Y99</f>
        <v>34.018307743029425</v>
      </c>
      <c r="N99" s="1">
        <f>[1]节奏总纲!Z99</f>
        <v>25.310513920528081</v>
      </c>
      <c r="O99" s="1">
        <f>[1]节奏总纲!AA99</f>
        <v>14.015285192561066</v>
      </c>
      <c r="Q99" s="1">
        <v>96</v>
      </c>
      <c r="R99" s="1">
        <f>[1]节奏总纲!AD99</f>
        <v>65.999097893592648</v>
      </c>
      <c r="S99" s="1">
        <f>[1]节奏总纲!AE99</f>
        <v>68.025215371037646</v>
      </c>
      <c r="T99" s="1">
        <f>[1]节奏总纲!AF99</f>
        <v>70.909866668339362</v>
      </c>
      <c r="U99" s="1">
        <f>[1]节奏总纲!AG99</f>
        <v>75.408265402860437</v>
      </c>
      <c r="V99" s="1">
        <f>[1]节奏总纲!AH99</f>
        <v>84.050903767166133</v>
      </c>
      <c r="AN99" s="2">
        <v>96</v>
      </c>
      <c r="AO99" s="2">
        <f>[1]节奏总纲!BA99</f>
        <v>37.753075011035001</v>
      </c>
      <c r="AP99" s="2">
        <f>[1]节奏总纲!BB99</f>
        <v>39.250296194358178</v>
      </c>
      <c r="AQ99" s="2">
        <f>[1]节奏总纲!BC99</f>
        <v>41.188041754455355</v>
      </c>
      <c r="AR99" s="2">
        <f>[1]节奏总纲!BD99</f>
        <v>43.928898311540578</v>
      </c>
      <c r="AS99" s="2">
        <f>[1]节奏总纲!BE99</f>
        <v>48.604416748272008</v>
      </c>
    </row>
    <row r="100" spans="2:45" x14ac:dyDescent="0.15">
      <c r="B100" s="29">
        <f>[1]节奏总纲!N100</f>
        <v>107</v>
      </c>
      <c r="C100" s="1">
        <v>97</v>
      </c>
      <c r="D100" s="1">
        <f>[1]节奏总纲!P100</f>
        <v>830.74645386878444</v>
      </c>
      <c r="E100" s="1">
        <f>[1]节奏总纲!Q100</f>
        <v>707.71290405081743</v>
      </c>
      <c r="F100" s="1">
        <f>[1]节奏总纲!R100</f>
        <v>569.31054483627804</v>
      </c>
      <c r="G100" s="1">
        <f>[1]节奏总纲!S100</f>
        <v>409.80722569347137</v>
      </c>
      <c r="H100" s="1">
        <f>[1]节奏总纲!T100</f>
        <v>223.30464679992923</v>
      </c>
      <c r="J100" s="1">
        <v>97</v>
      </c>
      <c r="K100" s="1">
        <f>[1]节奏总纲!W100</f>
        <v>55.699571815460672</v>
      </c>
      <c r="L100" s="1">
        <f>[1]节奏总纲!X100</f>
        <v>46.675418347537629</v>
      </c>
      <c r="M100" s="1">
        <f>[1]节奏总纲!Y100</f>
        <v>39.333486888215248</v>
      </c>
      <c r="N100" s="1">
        <f>[1]节奏总纲!Z100</f>
        <v>29.104197228878718</v>
      </c>
      <c r="O100" s="1">
        <f>[1]节奏总纲!AA100</f>
        <v>16.444633979897105</v>
      </c>
      <c r="Q100" s="1">
        <v>97</v>
      </c>
      <c r="R100" s="1">
        <f>[1]节奏总纲!AD100</f>
        <v>66.142785979989682</v>
      </c>
      <c r="S100" s="1">
        <f>[1]节奏总纲!AE100</f>
        <v>68.174918074940805</v>
      </c>
      <c r="T100" s="1">
        <f>[1]节奏总纲!AF100</f>
        <v>71.061795050376986</v>
      </c>
      <c r="U100" s="1">
        <f>[1]节奏总纲!AG100</f>
        <v>75.554807824479894</v>
      </c>
      <c r="V100" s="1">
        <f>[1]节奏总纲!AH100</f>
        <v>84.196136930932482</v>
      </c>
      <c r="AN100" s="2">
        <v>97</v>
      </c>
      <c r="AO100" s="2">
        <f>[1]节奏总纲!BA100</f>
        <v>37.825677883892531</v>
      </c>
      <c r="AP100" s="2">
        <f>[1]节奏总纲!BB100</f>
        <v>39.317837077749331</v>
      </c>
      <c r="AQ100" s="2">
        <f>[1]节奏总纲!BC100</f>
        <v>41.255085446274933</v>
      </c>
      <c r="AR100" s="2">
        <f>[1]节奏总纲!BD100</f>
        <v>44.003272544984547</v>
      </c>
      <c r="AS100" s="2">
        <f>[1]节奏总纲!BE100</f>
        <v>48.67620274791048</v>
      </c>
    </row>
    <row r="101" spans="2:45" x14ac:dyDescent="0.15">
      <c r="B101" s="29">
        <f>[1]节奏总纲!N101</f>
        <v>108</v>
      </c>
      <c r="C101" s="1">
        <v>98</v>
      </c>
      <c r="D101" s="1">
        <f>[1]节奏总纲!P101</f>
        <v>890.4437768152311</v>
      </c>
      <c r="E101" s="1">
        <f>[1]节奏总纲!Q101</f>
        <v>760.34994102252585</v>
      </c>
      <c r="F101" s="1">
        <f>[1]节奏总纲!R101</f>
        <v>612.98149595960513</v>
      </c>
      <c r="G101" s="1">
        <f>[1]节奏总纲!S101</f>
        <v>441.9272464333992</v>
      </c>
      <c r="H101" s="1">
        <f>[1]节奏总纲!T101</f>
        <v>240.77599725083846</v>
      </c>
      <c r="J101" s="1">
        <v>98</v>
      </c>
      <c r="K101" s="1">
        <f>[1]节奏总纲!W101</f>
        <v>59.697322946446661</v>
      </c>
      <c r="L101" s="1">
        <f>[1]节奏总纲!X101</f>
        <v>52.637036971708426</v>
      </c>
      <c r="M101" s="1">
        <f>[1]节奏总纲!Y101</f>
        <v>43.670951123327086</v>
      </c>
      <c r="N101" s="1">
        <f>[1]节奏总纲!Z101</f>
        <v>32.120020739927838</v>
      </c>
      <c r="O101" s="1">
        <f>[1]节奏总纲!AA101</f>
        <v>17.471350450909227</v>
      </c>
      <c r="Q101" s="1">
        <v>98</v>
      </c>
      <c r="R101" s="1">
        <f>[1]节奏总纲!AD101</f>
        <v>66.286413655019302</v>
      </c>
      <c r="S101" s="1">
        <f>[1]节奏总纲!AE101</f>
        <v>68.324620778843951</v>
      </c>
      <c r="T101" s="1">
        <f>[1]节奏总纲!AF101</f>
        <v>71.210277551293188</v>
      </c>
      <c r="U101" s="1">
        <f>[1]节奏总纲!AG101</f>
        <v>75.701350246099338</v>
      </c>
      <c r="V101" s="1">
        <f>[1]节奏总纲!AH101</f>
        <v>84.341370094698831</v>
      </c>
      <c r="AN101" s="2">
        <v>98</v>
      </c>
      <c r="AO101" s="2">
        <f>[1]节奏总纲!BA101</f>
        <v>37.898280756750061</v>
      </c>
      <c r="AP101" s="2">
        <f>[1]节奏总纲!BB101</f>
        <v>39.385377961140485</v>
      </c>
      <c r="AQ101" s="2">
        <f>[1]节奏总纲!BC101</f>
        <v>41.322129138094503</v>
      </c>
      <c r="AR101" s="2">
        <f>[1]节奏总纲!BD101</f>
        <v>44.067911160744309</v>
      </c>
      <c r="AS101" s="2">
        <f>[1]节奏总纲!BE101</f>
        <v>48.747988747548945</v>
      </c>
    </row>
    <row r="102" spans="2:45" x14ac:dyDescent="0.15">
      <c r="B102" s="29">
        <f>[1]节奏总纲!N102</f>
        <v>109</v>
      </c>
      <c r="C102" s="1">
        <v>99</v>
      </c>
      <c r="D102" s="1">
        <f>[1]节奏总纲!P102</f>
        <v>954.42578333369079</v>
      </c>
      <c r="E102" s="1">
        <f>[1]节奏总纲!Q102</f>
        <v>816.51125764197252</v>
      </c>
      <c r="F102" s="1">
        <f>[1]节奏总纲!R102</f>
        <v>658.6492330785801</v>
      </c>
      <c r="G102" s="1">
        <f>[1]节奏总纲!S102</f>
        <v>475.39948267851139</v>
      </c>
      <c r="H102" s="1">
        <f>[1]节奏总纲!T102</f>
        <v>257.59951892176309</v>
      </c>
      <c r="J102" s="1">
        <v>99</v>
      </c>
      <c r="K102" s="1">
        <f>[1]节奏总纲!W102</f>
        <v>63.982006518459684</v>
      </c>
      <c r="L102" s="1">
        <f>[1]节奏总纲!X102</f>
        <v>56.161316619446666</v>
      </c>
      <c r="M102" s="1">
        <f>[1]节奏总纲!Y102</f>
        <v>45.667737118974969</v>
      </c>
      <c r="N102" s="1">
        <f>[1]节奏总纲!Z102</f>
        <v>33.472236245112185</v>
      </c>
      <c r="O102" s="1">
        <f>[1]节奏总纲!AA102</f>
        <v>16.823521670924634</v>
      </c>
      <c r="Q102" s="1">
        <v>99</v>
      </c>
      <c r="R102" s="1">
        <f>[1]节奏总纲!AD102</f>
        <v>66.430041330048923</v>
      </c>
      <c r="S102" s="1">
        <f>[1]节奏总纲!AE102</f>
        <v>68.474323482747096</v>
      </c>
      <c r="T102" s="1">
        <f>[1]节奏总纲!AF102</f>
        <v>71.358760052209377</v>
      </c>
      <c r="U102" s="1">
        <f>[1]节奏总纲!AG102</f>
        <v>75.847892667718796</v>
      </c>
      <c r="V102" s="1">
        <f>[1]节奏总纲!AH102</f>
        <v>84.48660325846518</v>
      </c>
      <c r="AN102" s="2">
        <v>99</v>
      </c>
      <c r="AO102" s="2">
        <f>[1]节奏总纲!BA102</f>
        <v>37.970883629607592</v>
      </c>
      <c r="AP102" s="2">
        <f>[1]节奏总纲!BB102</f>
        <v>39.452918844531645</v>
      </c>
      <c r="AQ102" s="2">
        <f>[1]节奏总纲!BC102</f>
        <v>41.389172829914081</v>
      </c>
      <c r="AR102" s="2">
        <f>[1]节奏总纲!BD102</f>
        <v>44.132549776504064</v>
      </c>
      <c r="AS102" s="2">
        <f>[1]节奏总纲!BE102</f>
        <v>48.819774747187417</v>
      </c>
    </row>
    <row r="103" spans="2:45" x14ac:dyDescent="0.15">
      <c r="B103" s="29">
        <f>[1]节奏总纲!N103</f>
        <v>110</v>
      </c>
      <c r="C103" s="1">
        <v>100</v>
      </c>
      <c r="D103" s="1">
        <f>[1]节奏总纲!P103</f>
        <v>1023</v>
      </c>
      <c r="E103" s="1">
        <f>[1]节奏总纲!Q103</f>
        <v>875.38110000000006</v>
      </c>
      <c r="F103" s="1">
        <f>[1]节奏总纲!R103</f>
        <v>706.6884</v>
      </c>
      <c r="G103" s="1">
        <f>[1]节奏总纲!S103</f>
        <v>508.22640000000001</v>
      </c>
      <c r="H103" s="1">
        <f>[1]节奏总纲!T103</f>
        <v>274.77780000000001</v>
      </c>
      <c r="J103" s="1">
        <v>100</v>
      </c>
      <c r="K103" s="1">
        <f>[1]节奏总纲!W103</f>
        <v>68.574216666309212</v>
      </c>
      <c r="L103" s="1">
        <f>[1]节奏总纲!X103</f>
        <v>58.86984235802754</v>
      </c>
      <c r="M103" s="1">
        <f>[1]节奏总纲!Y103</f>
        <v>48.039166921419906</v>
      </c>
      <c r="N103" s="1">
        <f>[1]节奏总纲!Z103</f>
        <v>32.826917321488622</v>
      </c>
      <c r="O103" s="1">
        <f>[1]节奏总纲!AA103</f>
        <v>17.178281078236921</v>
      </c>
      <c r="Q103" s="1">
        <v>100</v>
      </c>
      <c r="R103" s="1">
        <f>[1]节奏总纲!AD103</f>
        <v>66.573669005078543</v>
      </c>
      <c r="S103" s="1">
        <f>[1]节奏总纲!AE103</f>
        <v>68.624026186650241</v>
      </c>
      <c r="T103" s="1">
        <f>[1]节奏总纲!AF103</f>
        <v>71.507242553125565</v>
      </c>
      <c r="U103" s="1">
        <f>[1]节奏总纲!AG103</f>
        <v>75.994435089338239</v>
      </c>
      <c r="V103" s="1">
        <f>[1]节奏总纲!AH103</f>
        <v>84.63183642223153</v>
      </c>
      <c r="AN103" s="2">
        <v>100</v>
      </c>
      <c r="AO103" s="2">
        <f>[1]节奏总纲!BA103</f>
        <v>38.037513426486328</v>
      </c>
      <c r="AP103" s="2">
        <f>[1]节奏总纲!BB103</f>
        <v>39.520459727922798</v>
      </c>
      <c r="AQ103" s="2">
        <f>[1]节奏总纲!BC103</f>
        <v>41.456216521733651</v>
      </c>
      <c r="AR103" s="2">
        <f>[1]节奏总纲!BD103</f>
        <v>44.197188392263818</v>
      </c>
      <c r="AS103" s="2">
        <f>[1]节奏总纲!BE103</f>
        <v>48.891560746825888</v>
      </c>
    </row>
    <row r="104" spans="2:45" x14ac:dyDescent="0.15">
      <c r="B104" s="29">
        <f>[1]节奏总纲!N104</f>
        <v>111</v>
      </c>
      <c r="C104" s="1">
        <v>101</v>
      </c>
      <c r="D104" s="1">
        <f>[1]节奏总纲!P104</f>
        <v>1096.4960256371633</v>
      </c>
      <c r="E104" s="1">
        <f>[1]节奏总纲!Q104</f>
        <v>939.14884595823037</v>
      </c>
      <c r="F104" s="1">
        <f>[1]节奏总纲!R104</f>
        <v>756.25330888195151</v>
      </c>
      <c r="G104" s="1">
        <f>[1]节奏总纲!S104</f>
        <v>541.99798547244984</v>
      </c>
      <c r="H104" s="1">
        <f>[1]节奏总纲!T104</f>
        <v>293.42233646050488</v>
      </c>
      <c r="J104" s="1">
        <v>101</v>
      </c>
      <c r="K104" s="1">
        <f>[1]节奏总纲!W104</f>
        <v>73.496025637163257</v>
      </c>
      <c r="L104" s="1">
        <f>[1]节奏总纲!X104</f>
        <v>63.767745958230307</v>
      </c>
      <c r="M104" s="1">
        <f>[1]节奏总纲!Y104</f>
        <v>49.56490888195151</v>
      </c>
      <c r="N104" s="1">
        <f>[1]节奏总纲!Z104</f>
        <v>33.771585472449829</v>
      </c>
      <c r="O104" s="1">
        <f>[1]节奏总纲!AA104</f>
        <v>18.644536460504867</v>
      </c>
      <c r="Q104" s="1">
        <v>101</v>
      </c>
      <c r="R104" s="1">
        <f>[1]节奏总纲!AD104</f>
        <v>66.717296680108163</v>
      </c>
      <c r="S104" s="1">
        <f>[1]节奏总纲!AE104</f>
        <v>68.773728890553386</v>
      </c>
      <c r="T104" s="1">
        <f>[1]节奏总纲!AF104</f>
        <v>71.655725054041767</v>
      </c>
      <c r="U104" s="1">
        <f>[1]节奏总纲!AG104</f>
        <v>76.130305911210229</v>
      </c>
      <c r="V104" s="1">
        <f>[1]节奏总纲!AH104</f>
        <v>84.777069585997879</v>
      </c>
      <c r="AN104" s="2">
        <v>101</v>
      </c>
      <c r="AO104" s="2">
        <f>[1]节奏总纲!BA104</f>
        <v>38.100143952724252</v>
      </c>
      <c r="AP104" s="2">
        <f>[1]节奏总纲!BB104</f>
        <v>39.588000611313952</v>
      </c>
      <c r="AQ104" s="2">
        <f>[1]节奏总纲!BC104</f>
        <v>41.523260213553229</v>
      </c>
      <c r="AR104" s="2">
        <f>[1]节奏总纲!BD104</f>
        <v>44.261827008023573</v>
      </c>
      <c r="AS104" s="2">
        <f>[1]节奏总纲!BE104</f>
        <v>48.96334674646436</v>
      </c>
    </row>
    <row r="105" spans="2:45" x14ac:dyDescent="0.15">
      <c r="B105" s="29">
        <f>[1]节奏总纲!N105</f>
        <v>112</v>
      </c>
      <c r="C105" s="1">
        <v>102</v>
      </c>
      <c r="D105" s="1">
        <f>[1]节奏总纲!P105</f>
        <v>1175.2671155169628</v>
      </c>
      <c r="E105" s="1">
        <f>[1]节奏总纲!Q105</f>
        <v>1004.2657502092447</v>
      </c>
      <c r="F105" s="1">
        <f>[1]节奏总纲!R105</f>
        <v>806.23324124463659</v>
      </c>
      <c r="G105" s="1">
        <f>[1]节奏总纲!S105</f>
        <v>577.99636741124232</v>
      </c>
      <c r="H105" s="1">
        <f>[1]节奏总纲!T105</f>
        <v>313.56126641992563</v>
      </c>
      <c r="J105" s="1">
        <v>102</v>
      </c>
      <c r="K105" s="1">
        <f>[1]节奏总纲!W105</f>
        <v>78.771089879799547</v>
      </c>
      <c r="L105" s="1">
        <f>[1]节奏总纲!X105</f>
        <v>65.116904251014375</v>
      </c>
      <c r="M105" s="1">
        <f>[1]节奏总纲!Y105</f>
        <v>49.979932362685076</v>
      </c>
      <c r="N105" s="1">
        <f>[1]节奏总纲!Z105</f>
        <v>35.998381938792477</v>
      </c>
      <c r="O105" s="1">
        <f>[1]节奏总纲!AA105</f>
        <v>20.13892995942075</v>
      </c>
      <c r="Q105" s="1">
        <v>102</v>
      </c>
      <c r="R105" s="1">
        <f>[1]节奏总纲!AD105</f>
        <v>66.860924355137783</v>
      </c>
      <c r="S105" s="1">
        <f>[1]节奏总纲!AE105</f>
        <v>68.923431594456531</v>
      </c>
      <c r="T105" s="1">
        <f>[1]节奏总纲!AF105</f>
        <v>71.804207554957955</v>
      </c>
      <c r="U105" s="1">
        <f>[1]节奏总纲!AG105</f>
        <v>76.265755485049056</v>
      </c>
      <c r="V105" s="1">
        <f>[1]节奏总纲!AH105</f>
        <v>84.922302749764228</v>
      </c>
      <c r="AN105" s="2">
        <v>102</v>
      </c>
      <c r="AO105" s="2">
        <f>[1]节奏总纲!BA105</f>
        <v>38.16277447896217</v>
      </c>
      <c r="AP105" s="2">
        <f>[1]节奏总纲!BB105</f>
        <v>39.655541494705105</v>
      </c>
      <c r="AQ105" s="2">
        <f>[1]节奏总纲!BC105</f>
        <v>41.590303905372799</v>
      </c>
      <c r="AR105" s="2">
        <f>[1]节奏总纲!BD105</f>
        <v>44.326465623783335</v>
      </c>
      <c r="AS105" s="2">
        <f>[1]节奏总纲!BE105</f>
        <v>49.030333272797542</v>
      </c>
    </row>
    <row r="106" spans="2:45" x14ac:dyDescent="0.15">
      <c r="B106" s="29">
        <f>[1]节奏总纲!N106</f>
        <v>113</v>
      </c>
      <c r="C106" s="1">
        <v>103</v>
      </c>
      <c r="D106" s="1">
        <f>[1]节奏总纲!P106</f>
        <v>1259.6918792651943</v>
      </c>
      <c r="E106" s="1">
        <f>[1]节奏总纲!Q106</f>
        <v>1073.383450321872</v>
      </c>
      <c r="F106" s="1">
        <f>[1]节奏总纲!R106</f>
        <v>861.50327622946634</v>
      </c>
      <c r="G106" s="1">
        <f>[1]节奏总纲!S106</f>
        <v>619.01258947091651</v>
      </c>
      <c r="H106" s="1">
        <f>[1]节奏总纲!T106</f>
        <v>335.8338550121008</v>
      </c>
      <c r="J106" s="1">
        <v>103</v>
      </c>
      <c r="K106" s="1">
        <f>[1]节奏总纲!W106</f>
        <v>84.424763748231499</v>
      </c>
      <c r="L106" s="1">
        <f>[1]节奏总纲!X106</f>
        <v>69.11770011262729</v>
      </c>
      <c r="M106" s="1">
        <f>[1]节奏总纲!Y106</f>
        <v>55.270034984829749</v>
      </c>
      <c r="N106" s="1">
        <f>[1]节奏总纲!Z106</f>
        <v>41.016222059674192</v>
      </c>
      <c r="O106" s="1">
        <f>[1]节奏总纲!AA106</f>
        <v>22.272588592175168</v>
      </c>
      <c r="Q106" s="1">
        <v>103</v>
      </c>
      <c r="R106" s="1">
        <f>[1]节奏总纲!AD106</f>
        <v>67.004247194324648</v>
      </c>
      <c r="S106" s="1">
        <f>[1]节奏总纲!AE106</f>
        <v>69.0655056802525</v>
      </c>
      <c r="T106" s="1">
        <f>[1]节奏总纲!AF106</f>
        <v>71.952690055874157</v>
      </c>
      <c r="U106" s="1">
        <f>[1]节奏总纲!AG106</f>
        <v>76.401205058887882</v>
      </c>
      <c r="V106" s="1">
        <f>[1]节奏总纲!AH106</f>
        <v>85.072521641060263</v>
      </c>
      <c r="AN106" s="2">
        <v>103</v>
      </c>
      <c r="AO106" s="2">
        <f>[1]节奏总纲!BA106</f>
        <v>38.225405005200088</v>
      </c>
      <c r="AP106" s="2">
        <f>[1]节奏总纲!BB106</f>
        <v>39.723082378096265</v>
      </c>
      <c r="AQ106" s="2">
        <f>[1]节奏总纲!BC106</f>
        <v>41.657347597192377</v>
      </c>
      <c r="AR106" s="2">
        <f>[1]节奏总纲!BD106</f>
        <v>44.39110423954309</v>
      </c>
      <c r="AS106" s="2">
        <f>[1]节奏总纲!BE106</f>
        <v>49.09231260978715</v>
      </c>
    </row>
    <row r="107" spans="2:45" x14ac:dyDescent="0.15">
      <c r="B107" s="29">
        <f>[1]节奏总纲!N107</f>
        <v>114</v>
      </c>
      <c r="C107" s="1">
        <v>104</v>
      </c>
      <c r="D107" s="1">
        <f>[1]节奏总纲!P107</f>
        <v>1350.1761006314437</v>
      </c>
      <c r="E107" s="1">
        <f>[1]节奏总纲!Q107</f>
        <v>1150.7550905681794</v>
      </c>
      <c r="F107" s="1">
        <f>[1]节奏总纲!R107</f>
        <v>925.41069937279144</v>
      </c>
      <c r="G107" s="1">
        <f>[1]节奏总纲!S107</f>
        <v>665.09674717104917</v>
      </c>
      <c r="H107" s="1">
        <f>[1]节奏总纲!T107</f>
        <v>360.49701886859549</v>
      </c>
      <c r="J107" s="1">
        <v>104</v>
      </c>
      <c r="K107" s="1">
        <f>[1]节奏总纲!W107</f>
        <v>90.484221366249358</v>
      </c>
      <c r="L107" s="1">
        <f>[1]节奏总纲!X107</f>
        <v>77.371640246307379</v>
      </c>
      <c r="M107" s="1">
        <f>[1]节奏总纲!Y107</f>
        <v>63.907423143325104</v>
      </c>
      <c r="N107" s="1">
        <f>[1]节奏总纲!Z107</f>
        <v>46.084157700132664</v>
      </c>
      <c r="O107" s="1">
        <f>[1]节奏总纲!AA107</f>
        <v>24.663163856494691</v>
      </c>
      <c r="Q107" s="1">
        <v>104</v>
      </c>
      <c r="R107" s="1">
        <f>[1]节奏总纲!AD107</f>
        <v>67.138256553625013</v>
      </c>
      <c r="S107" s="1">
        <f>[1]节奏总纲!AE107</f>
        <v>69.199592937186125</v>
      </c>
      <c r="T107" s="1">
        <f>[1]节奏总纲!AF107</f>
        <v>72.093818006439079</v>
      </c>
      <c r="U107" s="1">
        <f>[1]节奏总纲!AG107</f>
        <v>76.536654632726695</v>
      </c>
      <c r="V107" s="1">
        <f>[1]节奏总纲!AH107</f>
        <v>85.228476403824274</v>
      </c>
      <c r="AN107" s="2">
        <v>104</v>
      </c>
      <c r="AO107" s="2">
        <f>[1]节奏总纲!BA107</f>
        <v>38.288035531438013</v>
      </c>
      <c r="AP107" s="2">
        <f>[1]节奏总纲!BB107</f>
        <v>39.790623261487418</v>
      </c>
      <c r="AQ107" s="2">
        <f>[1]节奏总纲!BC107</f>
        <v>41.724391289011947</v>
      </c>
      <c r="AR107" s="2">
        <f>[1]节奏总纲!BD107</f>
        <v>44.455742855302844</v>
      </c>
      <c r="AS107" s="2">
        <f>[1]节奏总纲!BE107</f>
        <v>49.154291946776759</v>
      </c>
    </row>
    <row r="108" spans="2:45" x14ac:dyDescent="0.15">
      <c r="B108" s="29">
        <f>[1]节奏总纲!N108</f>
        <v>115</v>
      </c>
      <c r="C108" s="1">
        <v>105</v>
      </c>
      <c r="D108" s="1">
        <f>[1]节奏总纲!P108</f>
        <v>1447.1546878700494</v>
      </c>
      <c r="E108" s="1">
        <f>[1]节奏总纲!Q108</f>
        <v>1234.8570951595132</v>
      </c>
      <c r="F108" s="1">
        <f>[1]节奏总纲!R108</f>
        <v>993.18226228521496</v>
      </c>
      <c r="G108" s="1">
        <f>[1]节奏总纲!S108</f>
        <v>713.59197658872131</v>
      </c>
      <c r="H108" s="1">
        <f>[1]节奏总纲!T108</f>
        <v>386.39030166130323</v>
      </c>
      <c r="J108" s="1">
        <v>105</v>
      </c>
      <c r="K108" s="1">
        <f>[1]节奏总纲!W108</f>
        <v>96.978587238605769</v>
      </c>
      <c r="L108" s="1">
        <f>[1]节奏总纲!X108</f>
        <v>84.102004591333753</v>
      </c>
      <c r="M108" s="1">
        <f>[1]节奏总纲!Y108</f>
        <v>67.771562912423519</v>
      </c>
      <c r="N108" s="1">
        <f>[1]节奏总纲!Z108</f>
        <v>48.495229417672135</v>
      </c>
      <c r="O108" s="1">
        <f>[1]节奏总纲!AA108</f>
        <v>25.893282792707737</v>
      </c>
      <c r="Q108" s="1">
        <v>105</v>
      </c>
      <c r="R108" s="1">
        <f>[1]节奏总纲!AD108</f>
        <v>67.272265912925377</v>
      </c>
      <c r="S108" s="1">
        <f>[1]节奏总纲!AE108</f>
        <v>69.333680194119751</v>
      </c>
      <c r="T108" s="1">
        <f>[1]节奏总纲!AF108</f>
        <v>72.23150684883845</v>
      </c>
      <c r="U108" s="1">
        <f>[1]节奏总纲!AG108</f>
        <v>76.672104206565521</v>
      </c>
      <c r="V108" s="1">
        <f>[1]节奏总纲!AH108</f>
        <v>85.384431166588271</v>
      </c>
      <c r="AN108" s="2">
        <v>105</v>
      </c>
      <c r="AO108" s="2">
        <f>[1]节奏总纲!BA108</f>
        <v>38.35066605767593</v>
      </c>
      <c r="AP108" s="2">
        <f>[1]节奏总纲!BB108</f>
        <v>39.858164144878572</v>
      </c>
      <c r="AQ108" s="2">
        <f>[1]节奏总纲!BC108</f>
        <v>41.791434980831518</v>
      </c>
      <c r="AR108" s="2">
        <f>[1]节奏总纲!BD108</f>
        <v>44.520381471062606</v>
      </c>
      <c r="AS108" s="2">
        <f>[1]节奏总纲!BE108</f>
        <v>49.216271283766375</v>
      </c>
    </row>
    <row r="109" spans="2:45" x14ac:dyDescent="0.15">
      <c r="B109" s="29">
        <f>[1]节奏总纲!N109</f>
        <v>116</v>
      </c>
      <c r="C109" s="1">
        <v>106</v>
      </c>
      <c r="D109" s="1">
        <f>[1]节奏总纲!P109</f>
        <v>1551.0937641066464</v>
      </c>
      <c r="E109" s="1">
        <f>[1]节奏总纲!Q109</f>
        <v>1324.4789651706653</v>
      </c>
      <c r="F109" s="1">
        <f>[1]节奏总纲!R109</f>
        <v>1064.6707596828021</v>
      </c>
      <c r="G109" s="1">
        <f>[1]节奏总纲!S109</f>
        <v>764.3790069517554</v>
      </c>
      <c r="H109" s="1">
        <f>[1]节奏总纲!T109</f>
        <v>412.59094125236794</v>
      </c>
      <c r="J109" s="1">
        <v>106</v>
      </c>
      <c r="K109" s="1">
        <f>[1]节奏总纲!W109</f>
        <v>103.93907623659697</v>
      </c>
      <c r="L109" s="1">
        <f>[1]节奏总纲!X109</f>
        <v>89.621870011152168</v>
      </c>
      <c r="M109" s="1">
        <f>[1]节奏总纲!Y109</f>
        <v>71.488497397587139</v>
      </c>
      <c r="N109" s="1">
        <f>[1]节奏总纲!Z109</f>
        <v>50.787030363034091</v>
      </c>
      <c r="O109" s="1">
        <f>[1]节奏总纲!AA109</f>
        <v>26.200639591064714</v>
      </c>
      <c r="Q109" s="1">
        <v>106</v>
      </c>
      <c r="R109" s="1">
        <f>[1]节奏总纲!AD109</f>
        <v>67.406275272225741</v>
      </c>
      <c r="S109" s="1">
        <f>[1]节奏总纲!AE109</f>
        <v>69.467767451053362</v>
      </c>
      <c r="T109" s="1">
        <f>[1]节奏总纲!AF109</f>
        <v>72.369195691237806</v>
      </c>
      <c r="U109" s="1">
        <f>[1]节奏总纲!AG109</f>
        <v>76.807553780404334</v>
      </c>
      <c r="V109" s="1">
        <f>[1]节奏总纲!AH109</f>
        <v>85.540385929352269</v>
      </c>
      <c r="AN109" s="2">
        <v>106</v>
      </c>
      <c r="AO109" s="2">
        <f>[1]节奏总纲!BA109</f>
        <v>38.413296583913848</v>
      </c>
      <c r="AP109" s="2">
        <f>[1]节奏总纲!BB109</f>
        <v>39.925705028269732</v>
      </c>
      <c r="AQ109" s="2">
        <f>[1]节奏总纲!BC109</f>
        <v>41.858478672651096</v>
      </c>
      <c r="AR109" s="2">
        <f>[1]节奏总纲!BD109</f>
        <v>44.585020086822361</v>
      </c>
      <c r="AS109" s="2">
        <f>[1]节奏总纲!BE109</f>
        <v>49.278250620755983</v>
      </c>
    </row>
    <row r="110" spans="2:45" x14ac:dyDescent="0.15">
      <c r="B110" s="29">
        <f>[1]节奏总纲!N110</f>
        <v>117</v>
      </c>
      <c r="C110" s="1">
        <v>107</v>
      </c>
      <c r="D110" s="1">
        <f>[1]节奏总纲!P110</f>
        <v>1662.4929077375689</v>
      </c>
      <c r="E110" s="1">
        <f>[1]节奏总纲!Q110</f>
        <v>1418.9376967540152</v>
      </c>
      <c r="F110" s="1">
        <f>[1]节奏总纲!R110</f>
        <v>1141.6338797433884</v>
      </c>
      <c r="G110" s="1">
        <f>[1]节奏总纲!S110</f>
        <v>816.11776840837263</v>
      </c>
      <c r="H110" s="1">
        <f>[1]节奏总纲!T110</f>
        <v>440.22812196890823</v>
      </c>
      <c r="J110" s="1">
        <v>107</v>
      </c>
      <c r="K110" s="1">
        <f>[1]节奏总纲!W110</f>
        <v>111.39914363092248</v>
      </c>
      <c r="L110" s="1">
        <f>[1]节奏总纲!X110</f>
        <v>94.458731583349845</v>
      </c>
      <c r="M110" s="1">
        <f>[1]节奏总纲!Y110</f>
        <v>76.963120060586334</v>
      </c>
      <c r="N110" s="1">
        <f>[1]节奏总纲!Z110</f>
        <v>51.738761456617226</v>
      </c>
      <c r="O110" s="1">
        <f>[1]节奏总纲!AA110</f>
        <v>27.637180716540286</v>
      </c>
      <c r="Q110" s="1">
        <v>107</v>
      </c>
      <c r="R110" s="1">
        <f>[1]节奏总纲!AD110</f>
        <v>67.540284631526106</v>
      </c>
      <c r="S110" s="1">
        <f>[1]节奏总纲!AE110</f>
        <v>69.601854707986988</v>
      </c>
      <c r="T110" s="1">
        <f>[1]节奏总纲!AF110</f>
        <v>72.506884533637162</v>
      </c>
      <c r="U110" s="1">
        <f>[1]节奏总纲!AG110</f>
        <v>76.94300335424316</v>
      </c>
      <c r="V110" s="1">
        <f>[1]节奏总纲!AH110</f>
        <v>85.696340692116266</v>
      </c>
      <c r="AN110" s="2">
        <v>107</v>
      </c>
      <c r="AO110" s="2">
        <f>[1]节奏总纲!BA110</f>
        <v>38.475927110151773</v>
      </c>
      <c r="AP110" s="2">
        <f>[1]节奏总纲!BB110</f>
        <v>39.993245911660885</v>
      </c>
      <c r="AQ110" s="2">
        <f>[1]节奏总纲!BC110</f>
        <v>41.925522364470666</v>
      </c>
      <c r="AR110" s="2">
        <f>[1]节奏总纲!BD110</f>
        <v>44.649658702582116</v>
      </c>
      <c r="AS110" s="2">
        <f>[1]节奏总纲!BE110</f>
        <v>49.340229957745592</v>
      </c>
    </row>
    <row r="111" spans="2:45" x14ac:dyDescent="0.15">
      <c r="B111" s="29">
        <f>[1]节奏总纲!N111</f>
        <v>118</v>
      </c>
      <c r="C111" s="1">
        <v>108</v>
      </c>
      <c r="D111" s="1">
        <f>[1]节奏总纲!P111</f>
        <v>1781.8875536304624</v>
      </c>
      <c r="E111" s="1">
        <f>[1]节奏总纲!Q111</f>
        <v>1520.8410270235997</v>
      </c>
      <c r="F111" s="1">
        <f>[1]节奏总纲!R111</f>
        <v>1218.0983316617842</v>
      </c>
      <c r="G111" s="1">
        <f>[1]节奏总纲!S111</f>
        <v>871.69939123602228</v>
      </c>
      <c r="H111" s="1">
        <f>[1]节奏总纲!T111</f>
        <v>471.13106917989433</v>
      </c>
      <c r="J111" s="1">
        <v>108</v>
      </c>
      <c r="K111" s="1">
        <f>[1]节奏总纲!W111</f>
        <v>119.39464589289355</v>
      </c>
      <c r="L111" s="1">
        <f>[1]节奏总纲!X111</f>
        <v>101.90333026958456</v>
      </c>
      <c r="M111" s="1">
        <f>[1]节奏总纲!Y111</f>
        <v>76.464451918395753</v>
      </c>
      <c r="N111" s="1">
        <f>[1]节奏总纲!Z111</f>
        <v>55.581622827649653</v>
      </c>
      <c r="O111" s="1">
        <f>[1]节奏总纲!AA111</f>
        <v>30.902947210986099</v>
      </c>
      <c r="Q111" s="1">
        <v>108</v>
      </c>
      <c r="R111" s="1">
        <f>[1]节奏总纲!AD111</f>
        <v>67.674293990826456</v>
      </c>
      <c r="S111" s="1">
        <f>[1]节奏总纲!AE111</f>
        <v>69.735941964920613</v>
      </c>
      <c r="T111" s="1">
        <f>[1]节奏总纲!AF111</f>
        <v>72.644573376036519</v>
      </c>
      <c r="U111" s="1">
        <f>[1]节奏总纲!AG111</f>
        <v>77.074762810762508</v>
      </c>
      <c r="V111" s="1">
        <f>[1]节奏总纲!AH111</f>
        <v>85.852295454880277</v>
      </c>
      <c r="AN111" s="2">
        <v>108</v>
      </c>
      <c r="AO111" s="2">
        <f>[1]节奏总纲!BA111</f>
        <v>38.53855763638969</v>
      </c>
      <c r="AP111" s="2">
        <f>[1]节奏总纲!BB111</f>
        <v>40.052446592012309</v>
      </c>
      <c r="AQ111" s="2">
        <f>[1]节奏总纲!BC111</f>
        <v>41.992566056290244</v>
      </c>
      <c r="AR111" s="2">
        <f>[1]节奏总纲!BD111</f>
        <v>44.71429731834187</v>
      </c>
      <c r="AS111" s="2">
        <f>[1]节奏总纲!BE111</f>
        <v>49.402209294735208</v>
      </c>
    </row>
    <row r="112" spans="2:45" x14ac:dyDescent="0.15">
      <c r="B112" s="29">
        <f>[1]节奏总纲!N112</f>
        <v>119</v>
      </c>
      <c r="C112" s="1">
        <v>109</v>
      </c>
      <c r="D112" s="1">
        <f>[1]节奏总纲!P112</f>
        <v>1909.8515666673818</v>
      </c>
      <c r="E112" s="1">
        <f>[1]节奏总纲!Q112</f>
        <v>1624.7107277639418</v>
      </c>
      <c r="F112" s="1">
        <f>[1]节奏总纲!R112</f>
        <v>1301.5638426838207</v>
      </c>
      <c r="G112" s="1">
        <f>[1]节奏总纲!S112</f>
        <v>931.81657937701561</v>
      </c>
      <c r="H112" s="1">
        <f>[1]节奏总纲!T112</f>
        <v>504.58278391352223</v>
      </c>
      <c r="J112" s="1">
        <v>109</v>
      </c>
      <c r="K112" s="1">
        <f>[1]节奏总纲!W112</f>
        <v>127.96401303691937</v>
      </c>
      <c r="L112" s="1">
        <f>[1]节奏总纲!X112</f>
        <v>103.86970074034207</v>
      </c>
      <c r="M112" s="1">
        <f>[1]节奏总纲!Y112</f>
        <v>83.46551102203648</v>
      </c>
      <c r="N112" s="1">
        <f>[1]节奏总纲!Z112</f>
        <v>60.117188140993335</v>
      </c>
      <c r="O112" s="1">
        <f>[1]节奏总纲!AA112</f>
        <v>33.451714733627909</v>
      </c>
      <c r="Q112" s="1">
        <v>109</v>
      </c>
      <c r="R112" s="1">
        <f>[1]节奏总纲!AD112</f>
        <v>67.80830335012682</v>
      </c>
      <c r="S112" s="1">
        <f>[1]节奏总纲!AE112</f>
        <v>69.870029221854239</v>
      </c>
      <c r="T112" s="1">
        <f>[1]节奏总纲!AF112</f>
        <v>72.782262218435889</v>
      </c>
      <c r="U112" s="1">
        <f>[1]节奏总纲!AG112</f>
        <v>77.203841369133116</v>
      </c>
      <c r="V112" s="1">
        <f>[1]节奏总纲!AH112</f>
        <v>86.007776715139968</v>
      </c>
      <c r="AN112" s="2">
        <v>109</v>
      </c>
      <c r="AO112" s="2">
        <f>[1]节奏总纲!BA112</f>
        <v>38.601188162627608</v>
      </c>
      <c r="AP112" s="2">
        <f>[1]节奏总纲!BB112</f>
        <v>40.110720583137102</v>
      </c>
      <c r="AQ112" s="2">
        <f>[1]节奏总纲!BC112</f>
        <v>42.051439554347354</v>
      </c>
      <c r="AR112" s="2">
        <f>[1]节奏总纲!BD112</f>
        <v>44.778935934101632</v>
      </c>
      <c r="AS112" s="2">
        <f>[1]节奏总纲!BE112</f>
        <v>49.464188631724817</v>
      </c>
    </row>
    <row r="113" spans="2:45" x14ac:dyDescent="0.15">
      <c r="B113" s="29">
        <f>[1]节奏总纲!N113</f>
        <v>120</v>
      </c>
      <c r="C113" s="1">
        <v>110</v>
      </c>
      <c r="D113" s="1">
        <f>[1]节奏总纲!P113</f>
        <v>2047</v>
      </c>
      <c r="E113" s="1">
        <f>[1]节奏总纲!Q113</f>
        <v>1741.3829000000001</v>
      </c>
      <c r="F113" s="1">
        <f>[1]节奏总纲!R113</f>
        <v>1397.2821999999999</v>
      </c>
      <c r="G113" s="1">
        <f>[1]节奏总纲!S113</f>
        <v>1001.3924000000001</v>
      </c>
      <c r="H113" s="1">
        <f>[1]节奏总纲!T113</f>
        <v>542.04559999999992</v>
      </c>
      <c r="J113" s="1">
        <v>110</v>
      </c>
      <c r="K113" s="1">
        <f>[1]节奏总纲!W113</f>
        <v>137.1484333326182</v>
      </c>
      <c r="L113" s="1">
        <f>[1]节奏总纲!X113</f>
        <v>116.67217223605826</v>
      </c>
      <c r="M113" s="1">
        <f>[1]节奏总纲!Y113</f>
        <v>95.718357316179208</v>
      </c>
      <c r="N113" s="1">
        <f>[1]节奏总纲!Z113</f>
        <v>69.575820622984452</v>
      </c>
      <c r="O113" s="1">
        <f>[1]节奏总纲!AA113</f>
        <v>37.462816086477687</v>
      </c>
      <c r="Q113" s="1">
        <v>110</v>
      </c>
      <c r="R113" s="1">
        <f>[1]节奏总纲!AD113</f>
        <v>67.942312709427185</v>
      </c>
      <c r="S113" s="1">
        <f>[1]节奏总纲!AE113</f>
        <v>70.003807055133578</v>
      </c>
      <c r="T113" s="1">
        <f>[1]节奏总纲!AF113</f>
        <v>72.919951060835245</v>
      </c>
      <c r="U113" s="1">
        <f>[1]节奏总纲!AG113</f>
        <v>77.332919927503724</v>
      </c>
      <c r="V113" s="1">
        <f>[1]节奏总纲!AH113</f>
        <v>86.154780808490045</v>
      </c>
      <c r="AN113" s="2">
        <v>110</v>
      </c>
      <c r="AO113" s="2">
        <f>[1]节奏总纲!BA113</f>
        <v>38.663818688865533</v>
      </c>
      <c r="AP113" s="2">
        <f>[1]节奏总纲!BB113</f>
        <v>40.168994574261895</v>
      </c>
      <c r="AQ113" s="2">
        <f>[1]节奏总纲!BC113</f>
        <v>42.109294145892463</v>
      </c>
      <c r="AR113" s="2">
        <f>[1]节奏总纲!BD113</f>
        <v>44.843574549861387</v>
      </c>
      <c r="AS113" s="2">
        <f>[1]节奏总纲!BE113</f>
        <v>49.526167968714425</v>
      </c>
    </row>
    <row r="114" spans="2:45" x14ac:dyDescent="0.15">
      <c r="B114" s="43">
        <f>[1]节奏总纲!N114</f>
        <v>121</v>
      </c>
      <c r="C114" s="43">
        <v>111</v>
      </c>
      <c r="D114" s="43">
        <f>[1]节奏总纲!P114</f>
        <v>2193.9920512743265</v>
      </c>
      <c r="E114" s="43">
        <f>[1]节奏总纲!Q114</f>
        <v>1869.0618284805987</v>
      </c>
      <c r="F114" s="43">
        <f>[1]节奏总纲!R114</f>
        <v>1500.4711638665117</v>
      </c>
      <c r="G114" s="43">
        <f>[1]节奏总纲!S114</f>
        <v>1076.5918995603122</v>
      </c>
      <c r="H114" s="43">
        <f>[1]节奏总纲!T114</f>
        <v>583.16308722871599</v>
      </c>
      <c r="I114" s="43"/>
      <c r="J114" s="43">
        <v>111</v>
      </c>
      <c r="K114" s="43">
        <f>[1]节奏总纲!W114</f>
        <v>146.99205127432651</v>
      </c>
      <c r="L114" s="43">
        <f>[1]节奏总纲!X114</f>
        <v>127.67892848059864</v>
      </c>
      <c r="M114" s="43">
        <f>[1]节奏总纲!Y114</f>
        <v>103.18896386651181</v>
      </c>
      <c r="N114" s="43">
        <f>[1]节奏总纲!Z114</f>
        <v>75.19949956031212</v>
      </c>
      <c r="O114" s="43">
        <f>[1]节奏总纲!AA114</f>
        <v>41.117487228716072</v>
      </c>
      <c r="Q114" s="1">
        <v>111</v>
      </c>
      <c r="R114" s="1">
        <f>[1]节奏总纲!AD114</f>
        <v>68.071211008105138</v>
      </c>
      <c r="S114" s="1">
        <f>[1]节奏总纲!AE114</f>
        <v>70.127815365673797</v>
      </c>
      <c r="T114" s="1">
        <f>[1]节奏总纲!AF114</f>
        <v>73.051543220271398</v>
      </c>
      <c r="U114" s="1">
        <f>[1]节奏总纲!AG114</f>
        <v>77.461998485874332</v>
      </c>
      <c r="V114" s="1">
        <f>[1]节奏总纲!AH114</f>
        <v>86.301784901840136</v>
      </c>
      <c r="AN114" s="2">
        <v>111</v>
      </c>
      <c r="AO114" s="2">
        <f>[1]节奏总纲!BA114</f>
        <v>38.72644921510345</v>
      </c>
      <c r="AP114" s="2">
        <f>[1]节奏总纲!BB114</f>
        <v>40.227268565386687</v>
      </c>
      <c r="AQ114" s="2">
        <f>[1]节奏总纲!BC114</f>
        <v>42.167148737437572</v>
      </c>
      <c r="AR114" s="2">
        <f>[1]节奏总纲!BD114</f>
        <v>44.908213165621142</v>
      </c>
      <c r="AS114" s="2">
        <f>[1]节奏总纲!BE114</f>
        <v>49.588147305704041</v>
      </c>
    </row>
    <row r="115" spans="2:45" x14ac:dyDescent="0.15">
      <c r="B115" s="43">
        <f>[1]节奏总纲!N115</f>
        <v>122</v>
      </c>
      <c r="C115" s="43">
        <v>112</v>
      </c>
      <c r="D115" s="43">
        <f>[1]节奏总纲!P115</f>
        <v>2351.5342310339256</v>
      </c>
      <c r="E115" s="43">
        <f>[1]节奏总纲!Q115</f>
        <v>2004.6829319564217</v>
      </c>
      <c r="F115" s="43">
        <f>[1]节奏总纲!R115</f>
        <v>1609.3900277196187</v>
      </c>
      <c r="G115" s="43">
        <f>[1]节奏总纲!S115</f>
        <v>1155.3087677069677</v>
      </c>
      <c r="H115" s="43">
        <f>[1]节奏总纲!T115</f>
        <v>623.15657122399034</v>
      </c>
      <c r="I115" s="43"/>
      <c r="J115" s="43">
        <v>112</v>
      </c>
      <c r="K115" s="43">
        <f>[1]节奏总纲!W115</f>
        <v>157.54217975959909</v>
      </c>
      <c r="L115" s="43">
        <f>[1]节奏总纲!X115</f>
        <v>135.62110347582302</v>
      </c>
      <c r="M115" s="43">
        <f>[1]节奏总纲!Y115</f>
        <v>108.91886385310704</v>
      </c>
      <c r="N115" s="43">
        <f>[1]节奏总纲!Z115</f>
        <v>78.716868146655543</v>
      </c>
      <c r="O115" s="43">
        <f>[1]节奏总纲!AA115</f>
        <v>39.993483995274346</v>
      </c>
      <c r="Q115" s="1">
        <v>112</v>
      </c>
      <c r="R115" s="1">
        <f>[1]节奏总纲!AD115</f>
        <v>68.196246161507091</v>
      </c>
      <c r="S115" s="1">
        <f>[1]节奏总纲!AE115</f>
        <v>70.251823676214016</v>
      </c>
      <c r="T115" s="1">
        <f>[1]节奏总纲!AF115</f>
        <v>73.174668450093861</v>
      </c>
      <c r="U115" s="1">
        <f>[1]节奏总纲!AG115</f>
        <v>77.591077044244926</v>
      </c>
      <c r="V115" s="1">
        <f>[1]节奏总纲!AH115</f>
        <v>86.448788995190213</v>
      </c>
      <c r="AN115" s="2">
        <v>112</v>
      </c>
      <c r="AO115" s="2">
        <f>[1]节奏总纲!BA115</f>
        <v>38.789079741341368</v>
      </c>
      <c r="AP115" s="2">
        <f>[1]节奏总纲!BB115</f>
        <v>40.28554255651148</v>
      </c>
      <c r="AQ115" s="2">
        <f>[1]节奏总纲!BC115</f>
        <v>42.225003328982673</v>
      </c>
      <c r="AR115" s="2">
        <f>[1]节奏总纲!BD115</f>
        <v>44.972851781380903</v>
      </c>
      <c r="AS115" s="2">
        <f>[1]节奏总纲!BE115</f>
        <v>49.65012664269365</v>
      </c>
    </row>
    <row r="116" spans="2:45" x14ac:dyDescent="0.15">
      <c r="B116" s="43">
        <f>[1]节奏总纲!N116</f>
        <v>123</v>
      </c>
      <c r="C116" s="43">
        <v>113</v>
      </c>
      <c r="D116" s="43">
        <f>[1]节奏总纲!P116</f>
        <v>2520.3837585303886</v>
      </c>
      <c r="E116" s="43">
        <f>[1]节奏总纲!Q116</f>
        <v>2149.6353076505684</v>
      </c>
      <c r="F116" s="43">
        <f>[1]节奏总纲!R116</f>
        <v>1726.7149129691693</v>
      </c>
      <c r="G116" s="43">
        <f>[1]节奏总纲!S116</f>
        <v>1235.7441568074496</v>
      </c>
      <c r="H116" s="43">
        <f>[1]节奏总纲!T116</f>
        <v>665.63335062787564</v>
      </c>
      <c r="I116" s="43"/>
      <c r="J116" s="43">
        <v>113</v>
      </c>
      <c r="K116" s="43">
        <f>[1]节奏总纲!W116</f>
        <v>168.849527496463</v>
      </c>
      <c r="L116" s="43">
        <f>[1]节奏总纲!X116</f>
        <v>144.95237569414667</v>
      </c>
      <c r="M116" s="43">
        <f>[1]节奏总纲!Y116</f>
        <v>117.32488524955056</v>
      </c>
      <c r="N116" s="43">
        <f>[1]节奏总纲!Z116</f>
        <v>80.435389100481871</v>
      </c>
      <c r="O116" s="43">
        <f>[1]节奏总纲!AA116</f>
        <v>42.476779403885303</v>
      </c>
      <c r="Q116" s="1">
        <v>113</v>
      </c>
      <c r="R116" s="1">
        <f>[1]节奏总纲!AD116</f>
        <v>68.321281314909029</v>
      </c>
      <c r="S116" s="1">
        <f>[1]节奏总纲!AE116</f>
        <v>70.375831986754235</v>
      </c>
      <c r="T116" s="1">
        <f>[1]节奏总纲!AF116</f>
        <v>73.297793679916325</v>
      </c>
      <c r="U116" s="1">
        <f>[1]节奏总纲!AG116</f>
        <v>77.720155602615534</v>
      </c>
      <c r="V116" s="1">
        <f>[1]节奏总纲!AH116</f>
        <v>86.595793088540304</v>
      </c>
      <c r="AN116" s="2">
        <v>113</v>
      </c>
      <c r="AO116" s="2">
        <f>[1]节奏总纲!BA116</f>
        <v>38.851710267579293</v>
      </c>
      <c r="AP116" s="2">
        <f>[1]节奏总纲!BB116</f>
        <v>40.343816547636273</v>
      </c>
      <c r="AQ116" s="2">
        <f>[1]节奏总纲!BC116</f>
        <v>42.282857920527782</v>
      </c>
      <c r="AR116" s="2">
        <f>[1]节奏总纲!BD116</f>
        <v>45.032359480672049</v>
      </c>
      <c r="AS116" s="2">
        <f>[1]节奏总纲!BE116</f>
        <v>49.712105979683258</v>
      </c>
    </row>
    <row r="117" spans="2:45" x14ac:dyDescent="0.15">
      <c r="B117" s="43">
        <f>[1]节奏总纲!N117</f>
        <v>124</v>
      </c>
      <c r="C117" s="43">
        <v>114</v>
      </c>
      <c r="D117" s="43">
        <f>[1]节奏总纲!P117</f>
        <v>2701.3522012628878</v>
      </c>
      <c r="E117" s="43">
        <f>[1]节奏总纲!Q117</f>
        <v>2304.5235628973696</v>
      </c>
      <c r="F117" s="43">
        <f>[1]节奏总纲!R117</f>
        <v>1846.3742295631837</v>
      </c>
      <c r="G117" s="43">
        <f>[1]节奏总纲!S117</f>
        <v>1319.3404150967945</v>
      </c>
      <c r="H117" s="43">
        <f>[1]节奏总纲!T117</f>
        <v>710.99589937239205</v>
      </c>
      <c r="I117" s="43"/>
      <c r="J117" s="43">
        <v>114</v>
      </c>
      <c r="K117" s="43">
        <f>[1]节奏总纲!W117</f>
        <v>180.96844273249917</v>
      </c>
      <c r="L117" s="43">
        <f>[1]节奏总纲!X117</f>
        <v>154.88825524680124</v>
      </c>
      <c r="M117" s="43">
        <f>[1]节奏总纲!Y117</f>
        <v>119.6593165940144</v>
      </c>
      <c r="N117" s="43">
        <f>[1]节奏总纲!Z117</f>
        <v>83.59625828934486</v>
      </c>
      <c r="O117" s="43">
        <f>[1]节奏总纲!AA117</f>
        <v>45.362548744516403</v>
      </c>
      <c r="Q117" s="1">
        <v>114</v>
      </c>
      <c r="R117" s="1">
        <f>[1]节奏总纲!AD117</f>
        <v>68.446316468310982</v>
      </c>
      <c r="S117" s="1">
        <f>[1]节奏总纲!AE117</f>
        <v>70.499840297294455</v>
      </c>
      <c r="T117" s="1">
        <f>[1]节奏总纲!AF117</f>
        <v>73.420918909738774</v>
      </c>
      <c r="U117" s="1">
        <f>[1]节奏总纲!AG117</f>
        <v>77.849234160986143</v>
      </c>
      <c r="V117" s="1">
        <f>[1]节奏总纲!AH117</f>
        <v>86.742797181890381</v>
      </c>
      <c r="AN117" s="2">
        <v>114</v>
      </c>
      <c r="AO117" s="2">
        <f>[1]节奏总纲!BA117</f>
        <v>38.91434079381721</v>
      </c>
      <c r="AP117" s="2">
        <f>[1]节奏总纲!BB117</f>
        <v>40.402090538761065</v>
      </c>
      <c r="AQ117" s="2">
        <f>[1]节奏总纲!BC117</f>
        <v>42.340712512072891</v>
      </c>
      <c r="AR117" s="2">
        <f>[1]节奏总纲!BD117</f>
        <v>45.088151688727308</v>
      </c>
      <c r="AS117" s="2">
        <f>[1]节奏总纲!BE117</f>
        <v>49.774085316672867</v>
      </c>
    </row>
    <row r="118" spans="2:45" x14ac:dyDescent="0.15">
      <c r="B118" s="43">
        <f>[1]节奏总纲!N118</f>
        <v>125</v>
      </c>
      <c r="C118" s="43">
        <v>115</v>
      </c>
      <c r="D118" s="43">
        <f>[1]节奏总纲!P118</f>
        <v>2895.3093757400989</v>
      </c>
      <c r="E118" s="43">
        <f>[1]节奏总纲!Q118</f>
        <v>2463.0396859421021</v>
      </c>
      <c r="F118" s="43">
        <f>[1]节奏总纲!R118</f>
        <v>1969.9684992535633</v>
      </c>
      <c r="G118" s="43">
        <f>[1]节奏总纲!S118</f>
        <v>1407.1203566096881</v>
      </c>
      <c r="H118" s="43">
        <f>[1]节奏总纲!T118</f>
        <v>758.86058738147995</v>
      </c>
      <c r="I118" s="43"/>
      <c r="J118" s="43">
        <v>115</v>
      </c>
      <c r="K118" s="43">
        <f>[1]节奏总纲!W118</f>
        <v>193.95717447721108</v>
      </c>
      <c r="L118" s="43">
        <f>[1]节奏总纲!X118</f>
        <v>158.51612304473247</v>
      </c>
      <c r="M118" s="43">
        <f>[1]节奏总纲!Y118</f>
        <v>123.59426969037963</v>
      </c>
      <c r="N118" s="43">
        <f>[1]节奏总纲!Z118</f>
        <v>87.779941512893629</v>
      </c>
      <c r="O118" s="43">
        <f>[1]节奏总纲!AA118</f>
        <v>47.864688009087899</v>
      </c>
      <c r="Q118" s="1">
        <v>115</v>
      </c>
      <c r="R118" s="1">
        <f>[1]节奏总纲!AD118</f>
        <v>68.571351621712935</v>
      </c>
      <c r="S118" s="1">
        <f>[1]节奏总纲!AE118</f>
        <v>70.623848607834674</v>
      </c>
      <c r="T118" s="1">
        <f>[1]节奏总纲!AF118</f>
        <v>73.544044139561237</v>
      </c>
      <c r="U118" s="1">
        <f>[1]节奏总纲!AG118</f>
        <v>77.978312719356751</v>
      </c>
      <c r="V118" s="1">
        <f>[1]节奏总纲!AH118</f>
        <v>86.889801275240458</v>
      </c>
      <c r="AN118" s="2">
        <v>115</v>
      </c>
      <c r="AO118" s="2">
        <f>[1]节奏总纲!BA118</f>
        <v>38.976971320055128</v>
      </c>
      <c r="AP118" s="2">
        <f>[1]节奏总纲!BB118</f>
        <v>40.460364529885858</v>
      </c>
      <c r="AQ118" s="2">
        <f>[1]节奏总纲!BC118</f>
        <v>42.398567103617999</v>
      </c>
      <c r="AR118" s="2">
        <f>[1]节奏总纲!BD118</f>
        <v>45.143943896782567</v>
      </c>
      <c r="AS118" s="2">
        <f>[1]节奏总纲!BE118</f>
        <v>49.836064653662483</v>
      </c>
    </row>
    <row r="119" spans="2:45" x14ac:dyDescent="0.15">
      <c r="B119" s="43">
        <f>[1]节奏总纲!N119</f>
        <v>126</v>
      </c>
      <c r="C119" s="43">
        <v>116</v>
      </c>
      <c r="D119" s="43">
        <f>[1]节奏总纲!P119</f>
        <v>3103.1875282132928</v>
      </c>
      <c r="E119" s="43">
        <f>[1]节奏总纲!Q119</f>
        <v>2636.7784427228348</v>
      </c>
      <c r="F119" s="43">
        <f>[1]节奏总纲!R119</f>
        <v>2108.9262441737537</v>
      </c>
      <c r="G119" s="43">
        <f>[1]节奏总纲!S119</f>
        <v>1509.0800949701243</v>
      </c>
      <c r="H119" s="43">
        <f>[1]节奏总纲!T119</f>
        <v>813.34545114470404</v>
      </c>
      <c r="I119" s="43"/>
      <c r="J119" s="43">
        <v>116</v>
      </c>
      <c r="K119" s="43">
        <f>[1]节奏总纲!W119</f>
        <v>207.87815247319395</v>
      </c>
      <c r="L119" s="43">
        <f>[1]节奏总纲!X119</f>
        <v>173.73875678073273</v>
      </c>
      <c r="M119" s="43">
        <f>[1]节奏总纲!Y119</f>
        <v>138.95774492019041</v>
      </c>
      <c r="N119" s="43">
        <f>[1]节奏总纲!Z119</f>
        <v>101.95973836043618</v>
      </c>
      <c r="O119" s="43">
        <f>[1]节奏总纲!AA119</f>
        <v>54.484863763224098</v>
      </c>
      <c r="Q119" s="1">
        <v>116</v>
      </c>
      <c r="R119" s="1">
        <f>[1]节奏总纲!AD119</f>
        <v>68.696386775114874</v>
      </c>
      <c r="S119" s="1">
        <f>[1]节奏总纲!AE119</f>
        <v>70.747856918374893</v>
      </c>
      <c r="T119" s="1">
        <f>[1]节奏总纲!AF119</f>
        <v>73.667169369383686</v>
      </c>
      <c r="U119" s="1">
        <f>[1]节奏总纲!AG119</f>
        <v>78.10469841238104</v>
      </c>
      <c r="V119" s="1">
        <f>[1]节奏总纲!AH119</f>
        <v>87.033659382136349</v>
      </c>
      <c r="AN119" s="2">
        <v>116</v>
      </c>
      <c r="AO119" s="2">
        <f>[1]节奏总纲!BA119</f>
        <v>39.034165367506482</v>
      </c>
      <c r="AP119" s="2">
        <f>[1]节奏总纲!BB119</f>
        <v>40.518638521010644</v>
      </c>
      <c r="AQ119" s="2">
        <f>[1]节奏总纲!BC119</f>
        <v>42.456421695163108</v>
      </c>
      <c r="AR119" s="2">
        <f>[1]节奏总纲!BD119</f>
        <v>45.199736104837825</v>
      </c>
      <c r="AS119" s="2">
        <f>[1]节奏总纲!BE119</f>
        <v>49.898043990652091</v>
      </c>
    </row>
    <row r="120" spans="2:45" x14ac:dyDescent="0.15">
      <c r="B120" s="43">
        <f>[1]节奏总纲!N120</f>
        <v>127</v>
      </c>
      <c r="C120" s="43">
        <v>117</v>
      </c>
      <c r="D120" s="43">
        <f>[1]节奏总纲!P120</f>
        <v>3325.985815475135</v>
      </c>
      <c r="E120" s="43">
        <f>[1]节奏总纲!Q120</f>
        <v>2826.7553445723174</v>
      </c>
      <c r="F120" s="43">
        <f>[1]节奏总纲!R120</f>
        <v>2262.6681502677343</v>
      </c>
      <c r="G120" s="43">
        <f>[1]节奏总纲!S120</f>
        <v>1618.0920992286531</v>
      </c>
      <c r="H120" s="43">
        <f>[1]节奏总纲!T120</f>
        <v>873.07127656222303</v>
      </c>
      <c r="I120" s="43"/>
      <c r="J120" s="43">
        <v>117</v>
      </c>
      <c r="K120" s="43">
        <f>[1]节奏总纲!W120</f>
        <v>222.79828726184223</v>
      </c>
      <c r="L120" s="43">
        <f>[1]节奏总纲!X120</f>
        <v>189.9769018494826</v>
      </c>
      <c r="M120" s="43">
        <f>[1]节奏总纲!Y120</f>
        <v>153.74190609398056</v>
      </c>
      <c r="N120" s="43">
        <f>[1]节奏总纲!Z120</f>
        <v>109.0120042585288</v>
      </c>
      <c r="O120" s="43">
        <f>[1]节奏总纲!AA120</f>
        <v>59.72582541751899</v>
      </c>
      <c r="Q120" s="1">
        <v>117</v>
      </c>
      <c r="R120" s="1">
        <f>[1]节奏总纲!AD120</f>
        <v>68.821421928516827</v>
      </c>
      <c r="S120" s="1">
        <f>[1]节奏总纲!AE120</f>
        <v>70.871865228915112</v>
      </c>
      <c r="T120" s="1">
        <f>[1]节奏总纲!AF120</f>
        <v>73.790294599206149</v>
      </c>
      <c r="U120" s="1">
        <f>[1]节奏总纲!AG120</f>
        <v>78.230540290975199</v>
      </c>
      <c r="V120" s="1">
        <f>[1]节奏总纲!AH120</f>
        <v>87.168098110592624</v>
      </c>
      <c r="AN120" s="2">
        <v>117</v>
      </c>
      <c r="AO120" s="2">
        <f>[1]节奏总纲!BA120</f>
        <v>39.088198074219406</v>
      </c>
      <c r="AP120" s="2">
        <f>[1]节奏总纲!BB120</f>
        <v>40.576912512135436</v>
      </c>
      <c r="AQ120" s="2">
        <f>[1]节奏总纲!BC120</f>
        <v>42.51427628670821</v>
      </c>
      <c r="AR120" s="2">
        <f>[1]节奏总纲!BD120</f>
        <v>45.255528312893091</v>
      </c>
      <c r="AS120" s="2">
        <f>[1]节奏总纲!BE120</f>
        <v>49.9600233276417</v>
      </c>
    </row>
    <row r="121" spans="2:45" x14ac:dyDescent="0.15">
      <c r="B121" s="43">
        <f>[1]节奏总纲!N121</f>
        <v>128</v>
      </c>
      <c r="C121" s="43">
        <v>118</v>
      </c>
      <c r="D121" s="43">
        <f>[1]节奏总纲!P121</f>
        <v>3564.7751072609281</v>
      </c>
      <c r="E121" s="43">
        <f>[1]节奏总纲!Q121</f>
        <v>3030.4153186825147</v>
      </c>
      <c r="F121" s="43">
        <f>[1]节奏总纲!R121</f>
        <v>2426.1859380017877</v>
      </c>
      <c r="G121" s="43">
        <f>[1]节奏总纲!S121</f>
        <v>1737.4713872789764</v>
      </c>
      <c r="H121" s="43">
        <f>[1]节奏总纲!T121</f>
        <v>936.10994316671975</v>
      </c>
      <c r="I121" s="43"/>
      <c r="J121" s="43">
        <v>118</v>
      </c>
      <c r="K121" s="43">
        <f>[1]节奏总纲!W121</f>
        <v>238.78929178579301</v>
      </c>
      <c r="L121" s="43">
        <f>[1]节奏总纲!X121</f>
        <v>203.65997411019725</v>
      </c>
      <c r="M121" s="43">
        <f>[1]节奏总纲!Y121</f>
        <v>163.5177877340534</v>
      </c>
      <c r="N121" s="43">
        <f>[1]节奏总纲!Z121</f>
        <v>119.37928805032334</v>
      </c>
      <c r="O121" s="43">
        <f>[1]节奏总纲!AA121</f>
        <v>63.038666604496711</v>
      </c>
      <c r="Q121" s="1">
        <v>118</v>
      </c>
      <c r="R121" s="1">
        <f>[1]节奏总纲!AD121</f>
        <v>68.946457081918766</v>
      </c>
      <c r="S121" s="1">
        <f>[1]节奏总纲!AE121</f>
        <v>70.995873539455332</v>
      </c>
      <c r="T121" s="1">
        <f>[1]节奏总纲!AF121</f>
        <v>73.913419829028598</v>
      </c>
      <c r="U121" s="1">
        <f>[1]节奏总纲!AG121</f>
        <v>78.356382169569343</v>
      </c>
      <c r="V121" s="1">
        <f>[1]节奏总纲!AH121</f>
        <v>87.302536839048898</v>
      </c>
      <c r="AN121" s="2">
        <v>118</v>
      </c>
      <c r="AO121" s="2">
        <f>[1]节奏总纲!BA121</f>
        <v>39.14223078093233</v>
      </c>
      <c r="AP121" s="2">
        <f>[1]节奏总纲!BB121</f>
        <v>40.635186503260229</v>
      </c>
      <c r="AQ121" s="2">
        <f>[1]节奏总纲!BC121</f>
        <v>42.572130878253319</v>
      </c>
      <c r="AR121" s="2">
        <f>[1]节奏总纲!BD121</f>
        <v>45.31132052094835</v>
      </c>
      <c r="AS121" s="2">
        <f>[1]节奏总纲!BE121</f>
        <v>50.018998195299922</v>
      </c>
    </row>
    <row r="122" spans="2:45" x14ac:dyDescent="0.15">
      <c r="B122" s="43">
        <f>[1]节奏总纲!N122</f>
        <v>129</v>
      </c>
      <c r="C122" s="43">
        <v>119</v>
      </c>
      <c r="D122" s="43">
        <f>[1]节奏总纲!P122</f>
        <v>3820.7031333347636</v>
      </c>
      <c r="E122" s="43">
        <f>[1]节奏总纲!Q122</f>
        <v>3250.2721555278836</v>
      </c>
      <c r="F122" s="43">
        <f>[1]节奏总纲!R122</f>
        <v>2604.5733259943081</v>
      </c>
      <c r="G122" s="43">
        <f>[1]节奏总纲!S122</f>
        <v>1863.3569181273642</v>
      </c>
      <c r="H122" s="43">
        <f>[1]节奏总纲!T122</f>
        <v>1000.260080307041</v>
      </c>
      <c r="I122" s="43"/>
      <c r="J122" s="43">
        <v>119</v>
      </c>
      <c r="K122" s="43">
        <f>[1]节奏总纲!W122</f>
        <v>255.92802607383555</v>
      </c>
      <c r="L122" s="43">
        <f>[1]节奏总纲!X122</f>
        <v>219.85683684536889</v>
      </c>
      <c r="M122" s="43">
        <f>[1]节奏总纲!Y122</f>
        <v>178.38738799252042</v>
      </c>
      <c r="N122" s="43">
        <f>[1]节奏总纲!Z122</f>
        <v>125.88553084838782</v>
      </c>
      <c r="O122" s="43">
        <f>[1]节奏总纲!AA122</f>
        <v>64.150137140321249</v>
      </c>
      <c r="Q122" s="1">
        <v>119</v>
      </c>
      <c r="R122" s="1">
        <f>[1]节奏总纲!AD122</f>
        <v>69.066704614192943</v>
      </c>
      <c r="S122" s="1">
        <f>[1]节奏总纲!AE122</f>
        <v>71.113087458015798</v>
      </c>
      <c r="T122" s="1">
        <f>[1]节奏总纲!AF122</f>
        <v>74.034200876118248</v>
      </c>
      <c r="U122" s="1">
        <f>[1]节奏总纲!AG122</f>
        <v>78.482224048163502</v>
      </c>
      <c r="V122" s="1">
        <f>[1]节奏总纲!AH122</f>
        <v>87.436975567505186</v>
      </c>
      <c r="AN122" s="2">
        <v>119</v>
      </c>
      <c r="AO122" s="2">
        <f>[1]节奏总纲!BA122</f>
        <v>39.196263487645254</v>
      </c>
      <c r="AP122" s="2">
        <f>[1]节奏总纲!BB122</f>
        <v>40.693460494385022</v>
      </c>
      <c r="AQ122" s="2">
        <f>[1]节奏总纲!BC122</f>
        <v>42.629985469798427</v>
      </c>
      <c r="AR122" s="2">
        <f>[1]节奏总纲!BD122</f>
        <v>45.367112729003608</v>
      </c>
      <c r="AS122" s="2">
        <f>[1]节奏总纲!BE122</f>
        <v>50.072514238398277</v>
      </c>
    </row>
    <row r="123" spans="2:45" x14ac:dyDescent="0.15">
      <c r="B123" s="43">
        <f>[1]节奏总纲!N123</f>
        <v>130</v>
      </c>
      <c r="C123" s="43">
        <v>120</v>
      </c>
      <c r="D123" s="43">
        <f>[1]节奏总纲!P123</f>
        <v>4095</v>
      </c>
      <c r="E123" s="43">
        <f>[1]节奏总纲!Q123</f>
        <v>3486.0735</v>
      </c>
      <c r="F123" s="43">
        <f>[1]节奏总纲!R123</f>
        <v>2791.971</v>
      </c>
      <c r="G123" s="43">
        <f>[1]节奏总纲!S123</f>
        <v>1988.5319999999999</v>
      </c>
      <c r="H123" s="43">
        <f>[1]节奏总纲!T123</f>
        <v>1067.9759999999999</v>
      </c>
      <c r="I123" s="43"/>
      <c r="J123" s="43">
        <v>120</v>
      </c>
      <c r="K123" s="43">
        <f>[1]节奏总纲!W123</f>
        <v>274.29686666523639</v>
      </c>
      <c r="L123" s="43">
        <f>[1]节奏总纲!X123</f>
        <v>235.8013444721164</v>
      </c>
      <c r="M123" s="43">
        <f>[1]节奏总纲!Y123</f>
        <v>187.3976740056919</v>
      </c>
      <c r="N123" s="43">
        <f>[1]节奏总纲!Z123</f>
        <v>125.1750818726357</v>
      </c>
      <c r="O123" s="43">
        <f>[1]节奏总纲!AA123</f>
        <v>67.715919692958892</v>
      </c>
      <c r="Q123" s="1">
        <v>120</v>
      </c>
      <c r="R123" s="1">
        <f>[1]节奏总纲!AD123</f>
        <v>69.18336653741882</v>
      </c>
      <c r="S123" s="1">
        <f>[1]节奏总纲!AE123</f>
        <v>71.230067506391322</v>
      </c>
      <c r="T123" s="1">
        <f>[1]节奏总纲!AF123</f>
        <v>74.149428238300118</v>
      </c>
      <c r="U123" s="1">
        <f>[1]节奏总纲!AG123</f>
        <v>78.608065926757661</v>
      </c>
      <c r="V123" s="1">
        <f>[1]节奏总纲!AH123</f>
        <v>87.571414295961461</v>
      </c>
      <c r="AN123" s="2">
        <v>120</v>
      </c>
      <c r="AO123" s="2">
        <f>[1]节奏总纲!BA123</f>
        <v>39.250296194358178</v>
      </c>
      <c r="AP123" s="2">
        <f>[1]节奏总纲!BB123</f>
        <v>40.751734485509814</v>
      </c>
      <c r="AQ123" s="2">
        <f>[1]节奏总纲!BC123</f>
        <v>42.687840061343536</v>
      </c>
      <c r="AR123" s="2">
        <f>[1]节奏总纲!BD123</f>
        <v>45.422904937058867</v>
      </c>
      <c r="AS123" s="2">
        <f>[1]节奏总纲!BE123</f>
        <v>50.126030281496639</v>
      </c>
    </row>
    <row r="124" spans="2:45" x14ac:dyDescent="0.15">
      <c r="B124" s="43">
        <f>[1]节奏总纲!N124</f>
        <v>131</v>
      </c>
      <c r="C124" s="43">
        <v>121</v>
      </c>
      <c r="D124" s="43">
        <f>[1]节奏总纲!P124</f>
        <v>4388.9841025486576</v>
      </c>
      <c r="E124" s="43">
        <f>[1]节奏总纲!Q124</f>
        <v>3731.5142839868686</v>
      </c>
      <c r="F124" s="43">
        <f>[1]节奏总纲!R124</f>
        <v>2978.8035103997736</v>
      </c>
      <c r="G124" s="43">
        <f>[1]节奏总纲!S124</f>
        <v>2122.0738135822758</v>
      </c>
      <c r="H124" s="43">
        <f>[1]节奏总纲!T124</f>
        <v>1143.3303587139253</v>
      </c>
      <c r="I124" s="43"/>
      <c r="J124" s="43">
        <v>121</v>
      </c>
      <c r="K124" s="43">
        <f>[1]节奏总纲!W124</f>
        <v>293.98410254865757</v>
      </c>
      <c r="L124" s="43">
        <f>[1]节奏总纲!X124</f>
        <v>245.44078398686861</v>
      </c>
      <c r="M124" s="43">
        <f>[1]节奏总纲!Y124</f>
        <v>186.83251039977358</v>
      </c>
      <c r="N124" s="43">
        <f>[1]节奏总纲!Z124</f>
        <v>133.54181358227584</v>
      </c>
      <c r="O124" s="43">
        <f>[1]节奏总纲!AA124</f>
        <v>75.354358713925421</v>
      </c>
      <c r="Q124" s="1">
        <v>121</v>
      </c>
      <c r="R124" s="1">
        <f>[1]节奏总纲!AD124</f>
        <v>69.300028460644711</v>
      </c>
      <c r="S124" s="1">
        <f>[1]节奏总纲!AE124</f>
        <v>71.347047554766846</v>
      </c>
      <c r="T124" s="1">
        <f>[1]节奏总纲!AF124</f>
        <v>74.264655600481987</v>
      </c>
      <c r="U124" s="1">
        <f>[1]节奏总纲!AG124</f>
        <v>78.733907805351805</v>
      </c>
      <c r="V124" s="1">
        <f>[1]节奏总纲!AH124</f>
        <v>87.705853024417735</v>
      </c>
      <c r="AN124" s="2">
        <v>121</v>
      </c>
      <c r="AO124" s="2">
        <f>[1]节奏总纲!BA124</f>
        <v>39.304328901071102</v>
      </c>
      <c r="AP124" s="2">
        <f>[1]节奏总纲!BB124</f>
        <v>40.810008476634607</v>
      </c>
      <c r="AQ124" s="2">
        <f>[1]节奏总纲!BC124</f>
        <v>42.745694652888645</v>
      </c>
      <c r="AR124" s="2">
        <f>[1]节奏总纲!BD124</f>
        <v>45.478697145114126</v>
      </c>
      <c r="AS124" s="2">
        <f>[1]节奏总纲!BE124</f>
        <v>50.179546324595002</v>
      </c>
    </row>
    <row r="125" spans="2:45" x14ac:dyDescent="0.15">
      <c r="B125" s="43">
        <f>[1]节奏总纲!N125</f>
        <v>132</v>
      </c>
      <c r="C125" s="43">
        <v>122</v>
      </c>
      <c r="D125" s="43">
        <f>[1]节奏总纲!P125</f>
        <v>4704.0684620678521</v>
      </c>
      <c r="E125" s="43">
        <f>[1]节奏总纲!Q125</f>
        <v>3989.5204626797454</v>
      </c>
      <c r="F125" s="43">
        <f>[1]节奏总纲!R125</f>
        <v>3183.7135351275219</v>
      </c>
      <c r="G125" s="43">
        <f>[1]节奏总纲!S125</f>
        <v>2271.1242534863591</v>
      </c>
      <c r="H125" s="43">
        <f>[1]节奏总纲!T125</f>
        <v>1223.9986138300551</v>
      </c>
      <c r="I125" s="43"/>
      <c r="J125" s="43">
        <v>122</v>
      </c>
      <c r="K125" s="43">
        <f>[1]节奏总纲!W125</f>
        <v>315.08435951919455</v>
      </c>
      <c r="L125" s="43">
        <f>[1]节奏总纲!X125</f>
        <v>258.0061786928768</v>
      </c>
      <c r="M125" s="43">
        <f>[1]节奏总纲!Y125</f>
        <v>204.91002472774835</v>
      </c>
      <c r="N125" s="43">
        <f>[1]节奏总纲!Z125</f>
        <v>149.05043990408331</v>
      </c>
      <c r="O125" s="43">
        <f>[1]节奏总纲!AA125</f>
        <v>80.668255116129785</v>
      </c>
      <c r="Q125" s="1">
        <v>122</v>
      </c>
      <c r="R125" s="1">
        <f>[1]节奏总纲!AD125</f>
        <v>69.416690383870588</v>
      </c>
      <c r="S125" s="1">
        <f>[1]节奏总纲!AE125</f>
        <v>71.46402760314237</v>
      </c>
      <c r="T125" s="1">
        <f>[1]节奏总纲!AF125</f>
        <v>74.379882962663856</v>
      </c>
      <c r="U125" s="1">
        <f>[1]节奏总纲!AG125</f>
        <v>78.859749683945964</v>
      </c>
      <c r="V125" s="1">
        <f>[1]节奏总纲!AH125</f>
        <v>87.840291752874009</v>
      </c>
      <c r="AN125" s="2">
        <v>122</v>
      </c>
      <c r="AO125" s="2">
        <f>[1]节奏总纲!BA125</f>
        <v>39.358361607784026</v>
      </c>
      <c r="AP125" s="2">
        <f>[1]节奏总纲!BB125</f>
        <v>40.8682824677594</v>
      </c>
      <c r="AQ125" s="2">
        <f>[1]节奏总纲!BC125</f>
        <v>42.803549244433754</v>
      </c>
      <c r="AR125" s="2">
        <f>[1]节奏总纲!BD125</f>
        <v>45.534489353169384</v>
      </c>
      <c r="AS125" s="2">
        <f>[1]节奏总纲!BE125</f>
        <v>50.233062367693357</v>
      </c>
    </row>
    <row r="126" spans="2:45" x14ac:dyDescent="0.15">
      <c r="B126" s="43">
        <f>[1]节奏总纲!N126</f>
        <v>133</v>
      </c>
      <c r="C126" s="43">
        <v>123</v>
      </c>
      <c r="D126" s="43">
        <f>[1]节奏总纲!P126</f>
        <v>5041.7675170607781</v>
      </c>
      <c r="E126" s="43">
        <f>[1]节奏总纲!Q126</f>
        <v>4275.9230312192458</v>
      </c>
      <c r="F126" s="43">
        <f>[1]节奏总纲!R126</f>
        <v>3419.8309068223257</v>
      </c>
      <c r="G126" s="43">
        <f>[1]节奏总纲!S126</f>
        <v>2442.7363620159467</v>
      </c>
      <c r="H126" s="43">
        <f>[1]节奏总纲!T126</f>
        <v>1316.4054987045693</v>
      </c>
      <c r="I126" s="43"/>
      <c r="J126" s="43">
        <v>123</v>
      </c>
      <c r="K126" s="43">
        <f>[1]节奏总纲!W126</f>
        <v>337.69905499292599</v>
      </c>
      <c r="L126" s="43">
        <f>[1]节奏总纲!X126</f>
        <v>286.40256853950041</v>
      </c>
      <c r="M126" s="43">
        <f>[1]节奏总纲!Y126</f>
        <v>236.11737169480375</v>
      </c>
      <c r="N126" s="43">
        <f>[1]节奏总纲!Z126</f>
        <v>171.61210852958766</v>
      </c>
      <c r="O126" s="43">
        <f>[1]节奏总纲!AA126</f>
        <v>92.406884874514162</v>
      </c>
      <c r="Q126" s="1">
        <v>123</v>
      </c>
      <c r="R126" s="1">
        <f>[1]节奏总纲!AD126</f>
        <v>69.533352307096465</v>
      </c>
      <c r="S126" s="1">
        <f>[1]节奏总纲!AE126</f>
        <v>71.581007651517908</v>
      </c>
      <c r="T126" s="1">
        <f>[1]节奏总纲!AF126</f>
        <v>74.495110324845726</v>
      </c>
      <c r="U126" s="1">
        <f>[1]节奏总纲!AG126</f>
        <v>78.985591562540122</v>
      </c>
      <c r="V126" s="1">
        <f>[1]节奏总纲!AH126</f>
        <v>87.974730481330297</v>
      </c>
      <c r="AN126" s="2">
        <v>123</v>
      </c>
      <c r="AO126" s="2">
        <f>[1]节奏总纲!BA126</f>
        <v>39.41239431449695</v>
      </c>
      <c r="AP126" s="2">
        <f>[1]节奏总纲!BB126</f>
        <v>40.926556458884193</v>
      </c>
      <c r="AQ126" s="2">
        <f>[1]节奏总纲!BC126</f>
        <v>42.861403835978855</v>
      </c>
      <c r="AR126" s="2">
        <f>[1]节奏总纲!BD126</f>
        <v>45.590281561224643</v>
      </c>
      <c r="AS126" s="2">
        <f>[1]节奏总纲!BE126</f>
        <v>50.286578410791719</v>
      </c>
    </row>
    <row r="127" spans="2:45" x14ac:dyDescent="0.15">
      <c r="B127" s="43">
        <f>[1]节奏总纲!N127</f>
        <v>134</v>
      </c>
      <c r="C127" s="43">
        <v>124</v>
      </c>
      <c r="D127" s="43">
        <f>[1]节奏总纲!P127</f>
        <v>5403.704402525771</v>
      </c>
      <c r="E127" s="43">
        <f>[1]节奏总纲!Q127</f>
        <v>4591.5276308261473</v>
      </c>
      <c r="F127" s="43">
        <f>[1]节奏总纲!R127</f>
        <v>3671.276771076009</v>
      </c>
      <c r="G127" s="43">
        <f>[1]节奏总纲!S127</f>
        <v>2624.0388578665143</v>
      </c>
      <c r="H127" s="43">
        <f>[1]节奏总纲!T127</f>
        <v>1415.7705534617521</v>
      </c>
      <c r="I127" s="43"/>
      <c r="J127" s="43">
        <v>124</v>
      </c>
      <c r="K127" s="43">
        <f>[1]节奏总纲!W127</f>
        <v>361.93688546499288</v>
      </c>
      <c r="L127" s="43">
        <f>[1]节奏总纲!X127</f>
        <v>315.6045996069015</v>
      </c>
      <c r="M127" s="43">
        <f>[1]节奏总纲!Y127</f>
        <v>251.44586425368334</v>
      </c>
      <c r="N127" s="43">
        <f>[1]节奏总纲!Z127</f>
        <v>181.30249585056754</v>
      </c>
      <c r="O127" s="43">
        <f>[1]节奏总纲!AA127</f>
        <v>99.365054757182861</v>
      </c>
      <c r="Q127" s="1">
        <v>124</v>
      </c>
      <c r="R127" s="1">
        <f>[1]节奏总纲!AD127</f>
        <v>69.650014230322356</v>
      </c>
      <c r="S127" s="1">
        <f>[1]节奏总纲!AE127</f>
        <v>71.697987699893432</v>
      </c>
      <c r="T127" s="1">
        <f>[1]节奏总纲!AF127</f>
        <v>74.610337687027609</v>
      </c>
      <c r="U127" s="1">
        <f>[1]节奏总纲!AG127</f>
        <v>79.104601412347151</v>
      </c>
      <c r="V127" s="1">
        <f>[1]节奏总纲!AH127</f>
        <v>88.109271506528316</v>
      </c>
      <c r="AN127" s="2">
        <v>124</v>
      </c>
      <c r="AO127" s="2">
        <f>[1]节奏总纲!BA127</f>
        <v>39.466427021209874</v>
      </c>
      <c r="AP127" s="2">
        <f>[1]节奏总纲!BB127</f>
        <v>40.984830450008978</v>
      </c>
      <c r="AQ127" s="2">
        <f>[1]节奏总纲!BC127</f>
        <v>42.919258427523964</v>
      </c>
      <c r="AR127" s="2">
        <f>[1]节奏总纲!BD127</f>
        <v>45.646073769279901</v>
      </c>
      <c r="AS127" s="2">
        <f>[1]节奏总纲!BE127</f>
        <v>50.340094453890082</v>
      </c>
    </row>
    <row r="128" spans="2:45" x14ac:dyDescent="0.15">
      <c r="B128" s="43">
        <f>[1]节奏总纲!N128</f>
        <v>135</v>
      </c>
      <c r="C128" s="43">
        <v>125</v>
      </c>
      <c r="D128" s="43">
        <f>[1]节奏总纲!P128</f>
        <v>5791.6187514801986</v>
      </c>
      <c r="E128" s="43">
        <f>[1]节奏总纲!Q128</f>
        <v>4918.821805632133</v>
      </c>
      <c r="F128" s="43">
        <f>[1]节奏总纲!R128</f>
        <v>3940.0382366319791</v>
      </c>
      <c r="G128" s="43">
        <f>[1]节奏总纲!S128</f>
        <v>2816.4641988448207</v>
      </c>
      <c r="H128" s="43">
        <f>[1]节奏总纲!T128</f>
        <v>1509.8750085108877</v>
      </c>
      <c r="I128" s="43"/>
      <c r="J128" s="43">
        <v>125</v>
      </c>
      <c r="K128" s="43">
        <f>[1]节奏总纲!W128</f>
        <v>387.91434895442762</v>
      </c>
      <c r="L128" s="43">
        <f>[1]节奏总纲!X128</f>
        <v>327.29417480598568</v>
      </c>
      <c r="M128" s="43">
        <f>[1]节奏总纲!Y128</f>
        <v>268.76146555597006</v>
      </c>
      <c r="N128" s="43">
        <f>[1]节奏总纲!Z128</f>
        <v>192.42534097830639</v>
      </c>
      <c r="O128" s="43">
        <f>[1]节奏总纲!AA128</f>
        <v>94.104455049135595</v>
      </c>
      <c r="Q128" s="1">
        <v>125</v>
      </c>
      <c r="R128" s="1">
        <f>[1]节奏总纲!AD128</f>
        <v>69.766676153548232</v>
      </c>
      <c r="S128" s="1">
        <f>[1]节奏总纲!AE128</f>
        <v>71.814967748268955</v>
      </c>
      <c r="T128" s="1">
        <f>[1]节奏总纲!AF128</f>
        <v>74.725565049209479</v>
      </c>
      <c r="U128" s="1">
        <f>[1]节奏总纲!AG128</f>
        <v>79.222727875098187</v>
      </c>
      <c r="V128" s="1">
        <f>[1]节奏总纲!AH128</f>
        <v>88.243836210467165</v>
      </c>
      <c r="AN128" s="2">
        <v>125</v>
      </c>
      <c r="AO128" s="2">
        <f>[1]节奏总纲!BA128</f>
        <v>39.520459727922798</v>
      </c>
      <c r="AP128" s="2">
        <f>[1]节奏总纲!BB128</f>
        <v>41.037193447861313</v>
      </c>
      <c r="AQ128" s="2">
        <f>[1]节奏总纲!BC128</f>
        <v>42.977113019069073</v>
      </c>
      <c r="AR128" s="2">
        <f>[1]节奏总纲!BD128</f>
        <v>45.701865977335167</v>
      </c>
      <c r="AS128" s="2">
        <f>[1]节奏总纲!BE128</f>
        <v>50.393610496988437</v>
      </c>
    </row>
    <row r="129" spans="2:45" x14ac:dyDescent="0.15">
      <c r="B129" s="43">
        <f>[1]节奏总纲!N129</f>
        <v>136</v>
      </c>
      <c r="C129" s="43">
        <v>126</v>
      </c>
      <c r="D129" s="43">
        <f>[1]节奏总纲!P129</f>
        <v>6207.3750564265865</v>
      </c>
      <c r="E129" s="43">
        <f>[1]节奏总纲!Q129</f>
        <v>5279.3724854908123</v>
      </c>
      <c r="F129" s="43">
        <f>[1]节奏总纲!R129</f>
        <v>4225.9809384152195</v>
      </c>
      <c r="G129" s="43">
        <f>[1]节奏总纲!S129</f>
        <v>3006.8524773330387</v>
      </c>
      <c r="H129" s="43">
        <f>[1]节奏总纲!T129</f>
        <v>1610.1930896370566</v>
      </c>
      <c r="I129" s="43"/>
      <c r="J129" s="43">
        <v>126</v>
      </c>
      <c r="K129" s="43">
        <f>[1]节奏总纲!W129</f>
        <v>415.7563049463879</v>
      </c>
      <c r="L129" s="43">
        <f>[1]节奏总纲!X129</f>
        <v>360.55067985867936</v>
      </c>
      <c r="M129" s="43">
        <f>[1]节奏总纲!Y129</f>
        <v>285.94270178324041</v>
      </c>
      <c r="N129" s="43">
        <f>[1]节奏总纲!Z129</f>
        <v>190.38827848821802</v>
      </c>
      <c r="O129" s="43">
        <f>[1]节奏总纲!AA129</f>
        <v>100.31808112616886</v>
      </c>
      <c r="Q129" s="1">
        <v>126</v>
      </c>
      <c r="R129" s="1">
        <f>[1]节奏总纲!AD129</f>
        <v>69.883338076774123</v>
      </c>
      <c r="S129" s="1">
        <f>[1]节奏总纲!AE129</f>
        <v>71.931947796644479</v>
      </c>
      <c r="T129" s="1">
        <f>[1]节奏总纲!AF129</f>
        <v>74.840792411391348</v>
      </c>
      <c r="U129" s="1">
        <f>[1]节奏总纲!AG129</f>
        <v>79.340854337849223</v>
      </c>
      <c r="V129" s="1">
        <f>[1]节奏总纲!AH129</f>
        <v>88.378400914406001</v>
      </c>
      <c r="AN129" s="2">
        <v>126</v>
      </c>
      <c r="AO129" s="2">
        <f>[1]节奏总纲!BA129</f>
        <v>39.574492434635722</v>
      </c>
      <c r="AP129" s="2">
        <f>[1]节奏总纲!BB129</f>
        <v>41.087476216725996</v>
      </c>
      <c r="AQ129" s="2">
        <f>[1]节奏总纲!BC129</f>
        <v>43.030177309109042</v>
      </c>
      <c r="AR129" s="2">
        <f>[1]节奏总纲!BD129</f>
        <v>45.757658185390426</v>
      </c>
      <c r="AS129" s="2">
        <f>[1]节奏总纲!BE129</f>
        <v>50.447126540086799</v>
      </c>
    </row>
    <row r="130" spans="2:45" x14ac:dyDescent="0.15">
      <c r="B130" s="43">
        <f>[1]节奏总纲!N130</f>
        <v>137</v>
      </c>
      <c r="C130" s="43">
        <v>127</v>
      </c>
      <c r="D130" s="43">
        <f>[1]节奏总纲!P130</f>
        <v>6652.971630950271</v>
      </c>
      <c r="E130" s="43">
        <f>[1]节奏总纲!Q130</f>
        <v>5658.3523721232059</v>
      </c>
      <c r="F130" s="43">
        <f>[1]节奏总纲!R130</f>
        <v>4508.7188742949984</v>
      </c>
      <c r="G130" s="43">
        <f>[1]节奏总纲!S130</f>
        <v>3203.4058403025556</v>
      </c>
      <c r="H130" s="43">
        <f>[1]节奏总纲!T130</f>
        <v>1719.793166600645</v>
      </c>
      <c r="I130" s="43"/>
      <c r="J130" s="43">
        <v>127</v>
      </c>
      <c r="K130" s="43">
        <f>[1]节奏总纲!W130</f>
        <v>445.59657452368447</v>
      </c>
      <c r="L130" s="43">
        <f>[1]节奏总纲!X130</f>
        <v>378.97988663239357</v>
      </c>
      <c r="M130" s="43">
        <f>[1]节奏总纲!Y130</f>
        <v>282.73793587977889</v>
      </c>
      <c r="N130" s="43">
        <f>[1]节奏总纲!Z130</f>
        <v>196.55336296951691</v>
      </c>
      <c r="O130" s="43">
        <f>[1]节奏总纲!AA130</f>
        <v>109.60007696358844</v>
      </c>
      <c r="Q130" s="1">
        <v>127</v>
      </c>
      <c r="R130" s="1">
        <f>[1]节奏总纲!AD130</f>
        <v>70</v>
      </c>
      <c r="S130" s="1">
        <f>[1]节奏总纲!AE130</f>
        <v>72.047345051940553</v>
      </c>
      <c r="T130" s="1">
        <f>[1]节奏总纲!AF130</f>
        <v>74.956019773573217</v>
      </c>
      <c r="U130" s="1">
        <f>[1]节奏总纲!AG130</f>
        <v>79.458980800600258</v>
      </c>
      <c r="V130" s="1">
        <f>[1]节奏总纲!AH130</f>
        <v>88.51296561834485</v>
      </c>
      <c r="AN130" s="2">
        <v>127</v>
      </c>
      <c r="AO130" s="2">
        <f>[1]节奏总纲!BA130</f>
        <v>39.628525141348646</v>
      </c>
      <c r="AP130" s="2">
        <f>[1]节奏总纲!BB130</f>
        <v>41.137758985590679</v>
      </c>
      <c r="AQ130" s="2">
        <f>[1]节奏总纲!BC130</f>
        <v>43.080106253688569</v>
      </c>
      <c r="AR130" s="2">
        <f>[1]节奏总纲!BD130</f>
        <v>45.813450393445684</v>
      </c>
      <c r="AS130" s="2">
        <f>[1]节奏总纲!BE130</f>
        <v>50.500642583185162</v>
      </c>
    </row>
    <row r="131" spans="2:45" x14ac:dyDescent="0.15">
      <c r="B131" s="43">
        <f>[1]节奏总纲!N131</f>
        <v>138</v>
      </c>
      <c r="C131" s="43">
        <v>128</v>
      </c>
      <c r="D131" s="43">
        <f>[1]节奏总纲!P131</f>
        <v>7130.5502145218443</v>
      </c>
      <c r="E131" s="43">
        <f>[1]节奏总纲!Q131</f>
        <v>6036.010756592741</v>
      </c>
      <c r="F131" s="43">
        <f>[1]节奏总纲!R131</f>
        <v>4805.9908445877236</v>
      </c>
      <c r="G131" s="43">
        <f>[1]节奏总纲!S131</f>
        <v>3419.0988278632244</v>
      </c>
      <c r="H131" s="43">
        <f>[1]节奏总纲!T131</f>
        <v>1838.9689003251838</v>
      </c>
      <c r="I131" s="43"/>
      <c r="J131" s="43">
        <v>128</v>
      </c>
      <c r="K131" s="43">
        <f>[1]节奏总纲!W131</f>
        <v>477.57858357157329</v>
      </c>
      <c r="L131" s="43">
        <f>[1]节奏总纲!X131</f>
        <v>377.65838446953512</v>
      </c>
      <c r="M131" s="43">
        <f>[1]节奏总纲!Y131</f>
        <v>297.2719702927252</v>
      </c>
      <c r="N131" s="43">
        <f>[1]节奏总纲!Z131</f>
        <v>215.69298756066883</v>
      </c>
      <c r="O131" s="43">
        <f>[1]节奏总纲!AA131</f>
        <v>119.17573372453876</v>
      </c>
      <c r="Q131" s="1">
        <v>128</v>
      </c>
      <c r="R131" s="1">
        <f>[1]节奏总纲!AD131</f>
        <v>70.108849423225877</v>
      </c>
      <c r="S131" s="1">
        <f>[1]节奏总纲!AE131</f>
        <v>72.160540850040434</v>
      </c>
      <c r="T131" s="1">
        <f>[1]节奏总纲!AF131</f>
        <v>75.067682921736733</v>
      </c>
      <c r="U131" s="1">
        <f>[1]节奏总纲!AG131</f>
        <v>79.577107263351294</v>
      </c>
      <c r="V131" s="1">
        <f>[1]节奏总纲!AH131</f>
        <v>88.6475303222837</v>
      </c>
      <c r="AN131" s="2">
        <v>128</v>
      </c>
      <c r="AO131" s="2">
        <f>[1]节奏总纲!BA131</f>
        <v>39.68255784806157</v>
      </c>
      <c r="AP131" s="2">
        <f>[1]节奏总纲!BB131</f>
        <v>41.188041754455355</v>
      </c>
      <c r="AQ131" s="2">
        <f>[1]节奏总纲!BC131</f>
        <v>43.130035198268104</v>
      </c>
      <c r="AR131" s="2">
        <f>[1]节奏总纲!BD131</f>
        <v>45.869242601500943</v>
      </c>
      <c r="AS131" s="2">
        <f>[1]节奏总纲!BE131</f>
        <v>50.554158626283517</v>
      </c>
    </row>
    <row r="132" spans="2:45" x14ac:dyDescent="0.15">
      <c r="B132" s="43">
        <f>[1]节奏总纲!N132</f>
        <v>139</v>
      </c>
      <c r="C132" s="43">
        <v>129</v>
      </c>
      <c r="D132" s="43">
        <f>[1]节奏总纲!P132</f>
        <v>7642.4062666695281</v>
      </c>
      <c r="E132" s="43">
        <f>[1]节奏总纲!Q132</f>
        <v>6469.2969047357556</v>
      </c>
      <c r="F132" s="43">
        <f>[1]节奏总纲!R132</f>
        <v>5159.388470628599</v>
      </c>
      <c r="G132" s="43">
        <f>[1]节奏总纲!S132</f>
        <v>3676.7616548947103</v>
      </c>
      <c r="H132" s="43">
        <f>[1]节奏总纲!T132</f>
        <v>1975.5620199340731</v>
      </c>
      <c r="I132" s="43"/>
      <c r="J132" s="43">
        <v>129</v>
      </c>
      <c r="K132" s="43">
        <f>[1]节奏总纲!W132</f>
        <v>511.85605214768384</v>
      </c>
      <c r="L132" s="43">
        <f>[1]节奏总纲!X132</f>
        <v>433.28614814301454</v>
      </c>
      <c r="M132" s="43">
        <f>[1]节奏总纲!Y132</f>
        <v>353.39762604087537</v>
      </c>
      <c r="N132" s="43">
        <f>[1]节奏总纲!Z132</f>
        <v>257.6628270314859</v>
      </c>
      <c r="O132" s="43">
        <f>[1]节奏总纲!AA132</f>
        <v>136.59311960888931</v>
      </c>
      <c r="Q132" s="1">
        <v>129</v>
      </c>
      <c r="R132" s="1">
        <f>[1]节奏总纲!AD132</f>
        <v>70.217698846451768</v>
      </c>
      <c r="S132" s="1">
        <f>[1]节奏总纲!AE132</f>
        <v>72.273736648140314</v>
      </c>
      <c r="T132" s="1">
        <f>[1]节奏总纲!AF132</f>
        <v>75.177145912126889</v>
      </c>
      <c r="U132" s="1">
        <f>[1]节奏总纲!AG132</f>
        <v>79.69523372610233</v>
      </c>
      <c r="V132" s="1">
        <f>[1]节奏总纲!AH132</f>
        <v>88.782095026222549</v>
      </c>
      <c r="AN132" s="2">
        <v>129</v>
      </c>
      <c r="AO132" s="2">
        <f>[1]节奏总纲!BA132</f>
        <v>39.736590554774494</v>
      </c>
      <c r="AP132" s="2">
        <f>[1]节奏总纲!BB132</f>
        <v>41.238324523320038</v>
      </c>
      <c r="AQ132" s="2">
        <f>[1]节奏总纲!BC132</f>
        <v>43.179964142847631</v>
      </c>
      <c r="AR132" s="2">
        <f>[1]节奏总纲!BD132</f>
        <v>45.925034809556202</v>
      </c>
      <c r="AS132" s="2">
        <f>[1]节奏总纲!BE132</f>
        <v>50.607674669381879</v>
      </c>
    </row>
    <row r="133" spans="2:45" x14ac:dyDescent="0.15">
      <c r="B133" s="43">
        <f>[1]节奏总纲!N133</f>
        <v>140</v>
      </c>
      <c r="C133" s="43">
        <v>130</v>
      </c>
      <c r="D133" s="43">
        <f>[1]节奏总纲!P133</f>
        <v>8191</v>
      </c>
      <c r="E133" s="43">
        <f>[1]节奏总纲!Q133</f>
        <v>6941.8725000000004</v>
      </c>
      <c r="F133" s="43">
        <f>[1]节奏总纲!R133</f>
        <v>5542.0306</v>
      </c>
      <c r="G133" s="43">
        <f>[1]节奏总纲!S133</f>
        <v>3951.3384000000001</v>
      </c>
      <c r="H133" s="43">
        <f>[1]节奏总纲!T133</f>
        <v>2124.7454000000002</v>
      </c>
      <c r="I133" s="43"/>
      <c r="J133" s="43">
        <v>130</v>
      </c>
      <c r="K133" s="43">
        <f>[1]节奏总纲!W133</f>
        <v>548.59373333047188</v>
      </c>
      <c r="L133" s="43">
        <f>[1]节奏总纲!X133</f>
        <v>472.57559526424484</v>
      </c>
      <c r="M133" s="43">
        <f>[1]节奏总纲!Y133</f>
        <v>382.6421293714011</v>
      </c>
      <c r="N133" s="43">
        <f>[1]节奏总纲!Z133</f>
        <v>274.57674510528977</v>
      </c>
      <c r="O133" s="43">
        <f>[1]节奏总纲!AA133</f>
        <v>149.18338006592717</v>
      </c>
      <c r="Q133" s="1">
        <v>130</v>
      </c>
      <c r="R133" s="1">
        <f>[1]节奏总纲!AD133</f>
        <v>70.326548269677644</v>
      </c>
      <c r="S133" s="1">
        <f>[1]节奏总纲!AE133</f>
        <v>72.386932446240195</v>
      </c>
      <c r="T133" s="1">
        <f>[1]节奏总纲!AF133</f>
        <v>75.286608902517045</v>
      </c>
      <c r="U133" s="1">
        <f>[1]节奏总纲!AG133</f>
        <v>79.813360188853366</v>
      </c>
      <c r="V133" s="1">
        <f>[1]节奏总纲!AH133</f>
        <v>88.916659730161399</v>
      </c>
      <c r="AN133" s="2">
        <v>130</v>
      </c>
      <c r="AO133" s="2">
        <f>[1]节奏总纲!BA133</f>
        <v>39.790623261487418</v>
      </c>
      <c r="AP133" s="2">
        <f>[1]节奏总纲!BB133</f>
        <v>41.288607292184714</v>
      </c>
      <c r="AQ133" s="2">
        <f>[1]节奏总纲!BC133</f>
        <v>43.229893087427158</v>
      </c>
      <c r="AR133" s="2">
        <f>[1]节奏总纲!BD133</f>
        <v>45.98082701761146</v>
      </c>
      <c r="AS133" s="2">
        <f>[1]节奏总纲!BE133</f>
        <v>50.661190712480241</v>
      </c>
    </row>
    <row r="134" spans="2:45" x14ac:dyDescent="0.15">
      <c r="B134" s="43">
        <f>[1]节奏总纲!N134</f>
        <v>141</v>
      </c>
      <c r="C134" s="43">
        <v>131</v>
      </c>
      <c r="D134" s="43">
        <f>[1]节奏总纲!P134</f>
        <v>8778.9682050973151</v>
      </c>
      <c r="E134" s="43">
        <f>[1]节奏总纲!Q134</f>
        <v>7443.6871411020138</v>
      </c>
      <c r="F134" s="43">
        <f>[1]节奏总纲!R134</f>
        <v>5945.117268491902</v>
      </c>
      <c r="G134" s="43">
        <f>[1]节奏总纲!S134</f>
        <v>4244.6311271645518</v>
      </c>
      <c r="H134" s="43">
        <f>[1]节奏总纲!T134</f>
        <v>2275.5085587612239</v>
      </c>
      <c r="I134" s="43"/>
      <c r="J134" s="43">
        <v>131</v>
      </c>
      <c r="K134" s="43">
        <f>[1]节奏总纲!W134</f>
        <v>587.96820509731515</v>
      </c>
      <c r="L134" s="43">
        <f>[1]节奏总纲!X134</f>
        <v>501.81464110201341</v>
      </c>
      <c r="M134" s="43">
        <f>[1]节奏总纲!Y134</f>
        <v>403.08666849190195</v>
      </c>
      <c r="N134" s="43">
        <f>[1]节奏总纲!Z134</f>
        <v>293.29272716455171</v>
      </c>
      <c r="O134" s="43">
        <f>[1]节奏总纲!AA134</f>
        <v>150.76315876122362</v>
      </c>
      <c r="Q134" s="1">
        <v>131</v>
      </c>
      <c r="R134" s="1">
        <f>[1]节奏总纲!AD134</f>
        <v>70.435397692903535</v>
      </c>
      <c r="S134" s="1">
        <f>[1]节奏总纲!AE134</f>
        <v>72.50012824434009</v>
      </c>
      <c r="T134" s="1">
        <f>[1]节奏总纲!AF134</f>
        <v>75.396071892907202</v>
      </c>
      <c r="U134" s="1">
        <f>[1]节奏总纲!AG134</f>
        <v>79.931486651604402</v>
      </c>
      <c r="V134" s="1">
        <f>[1]节奏总纲!AH134</f>
        <v>89.048420729369383</v>
      </c>
      <c r="AN134" s="2">
        <v>131</v>
      </c>
      <c r="AO134" s="2">
        <f>[1]节奏总纲!BA134</f>
        <v>39.844655968200342</v>
      </c>
      <c r="AP134" s="2">
        <f>[1]节奏总纲!BB134</f>
        <v>41.338890061049398</v>
      </c>
      <c r="AQ134" s="2">
        <f>[1]节奏总纲!BC134</f>
        <v>43.279822032006692</v>
      </c>
      <c r="AR134" s="2">
        <f>[1]节奏总纲!BD134</f>
        <v>46.031609894814238</v>
      </c>
      <c r="AS134" s="2">
        <f>[1]节奏总纲!BE134</f>
        <v>50.714706755578604</v>
      </c>
    </row>
    <row r="135" spans="2:45" x14ac:dyDescent="0.15">
      <c r="B135" s="43">
        <f>[1]节奏总纲!N135</f>
        <v>142</v>
      </c>
      <c r="C135" s="43">
        <v>132</v>
      </c>
      <c r="D135" s="43">
        <f>[1]节奏总纲!P135</f>
        <v>9409.1369241357042</v>
      </c>
      <c r="E135" s="43">
        <f>[1]节奏总纲!Q135</f>
        <v>7983.6526801291457</v>
      </c>
      <c r="F135" s="43">
        <f>[1]节奏总纲!R135</f>
        <v>6385.9812304109018</v>
      </c>
      <c r="G135" s="43">
        <f>[1]节奏总纲!S135</f>
        <v>4544.6131343575453</v>
      </c>
      <c r="H135" s="43">
        <f>[1]节奏总纲!T135</f>
        <v>2431.3209811966663</v>
      </c>
      <c r="I135" s="43"/>
      <c r="J135" s="43">
        <v>132</v>
      </c>
      <c r="K135" s="43">
        <f>[1]节奏总纲!W135</f>
        <v>630.1687190383891</v>
      </c>
      <c r="L135" s="43">
        <f>[1]节奏总纲!X135</f>
        <v>539.96553902713185</v>
      </c>
      <c r="M135" s="43">
        <f>[1]节奏总纲!Y135</f>
        <v>440.86396191899985</v>
      </c>
      <c r="N135" s="43">
        <f>[1]节奏总纲!Z135</f>
        <v>299.98200719299348</v>
      </c>
      <c r="O135" s="43">
        <f>[1]节奏总纲!AA135</f>
        <v>155.81242243544239</v>
      </c>
      <c r="Q135" s="1">
        <v>132</v>
      </c>
      <c r="R135" s="1">
        <f>[1]节奏总纲!AD135</f>
        <v>70.544247116129412</v>
      </c>
      <c r="S135" s="1">
        <f>[1]节奏总纲!AE135</f>
        <v>72.61332404243997</v>
      </c>
      <c r="T135" s="1">
        <f>[1]节奏总纲!AF135</f>
        <v>75.505534883297358</v>
      </c>
      <c r="U135" s="1">
        <f>[1]节奏总纲!AG135</f>
        <v>80.045750258986601</v>
      </c>
      <c r="V135" s="1">
        <f>[1]节奏总纲!AH135</f>
        <v>89.175620204122851</v>
      </c>
      <c r="AN135" s="2">
        <v>132</v>
      </c>
      <c r="AO135" s="2">
        <f>[1]节奏总纲!BA135</f>
        <v>39.898688674913267</v>
      </c>
      <c r="AP135" s="2">
        <f>[1]节奏总纲!BB135</f>
        <v>41.389172829914081</v>
      </c>
      <c r="AQ135" s="2">
        <f>[1]节奏总纲!BC135</f>
        <v>43.329750976586219</v>
      </c>
      <c r="AR135" s="2">
        <f>[1]节奏总纲!BD135</f>
        <v>46.079770001861057</v>
      </c>
      <c r="AS135" s="2">
        <f>[1]节奏总纲!BE135</f>
        <v>50.768222798676959</v>
      </c>
    </row>
    <row r="136" spans="2:45" x14ac:dyDescent="0.15">
      <c r="B136" s="43">
        <f>[1]节奏总纲!N136</f>
        <v>143</v>
      </c>
      <c r="C136" s="43">
        <v>133</v>
      </c>
      <c r="D136" s="43">
        <f>[1]节奏总纲!P136</f>
        <v>10084.535034121556</v>
      </c>
      <c r="E136" s="43">
        <f>[1]节奏总纲!Q136</f>
        <v>8562.7786974726132</v>
      </c>
      <c r="F136" s="43">
        <f>[1]节奏总纲!R136</f>
        <v>6827.2302181002942</v>
      </c>
      <c r="G136" s="43">
        <f>[1]节奏总纲!S136</f>
        <v>4847.6359909022322</v>
      </c>
      <c r="H136" s="43">
        <f>[1]节奏总纲!T136</f>
        <v>2595.759317782889</v>
      </c>
      <c r="I136" s="43"/>
      <c r="J136" s="43">
        <v>133</v>
      </c>
      <c r="K136" s="43">
        <f>[1]节奏总纲!W136</f>
        <v>675.39810998585199</v>
      </c>
      <c r="L136" s="43">
        <f>[1]节奏总纲!X136</f>
        <v>579.12601734346754</v>
      </c>
      <c r="M136" s="43">
        <f>[1]节奏总纲!Y136</f>
        <v>441.24898768939238</v>
      </c>
      <c r="N136" s="43">
        <f>[1]节奏总纲!Z136</f>
        <v>303.02285654468687</v>
      </c>
      <c r="O136" s="43">
        <f>[1]节奏总纲!AA136</f>
        <v>164.4383365862227</v>
      </c>
      <c r="Q136" s="1">
        <v>133</v>
      </c>
      <c r="R136" s="1">
        <f>[1]节奏总纲!AD136</f>
        <v>70.653096539355303</v>
      </c>
      <c r="S136" s="1">
        <f>[1]节奏总纲!AE136</f>
        <v>72.726519840539851</v>
      </c>
      <c r="T136" s="1">
        <f>[1]节奏总纲!AF136</f>
        <v>75.614997873687514</v>
      </c>
      <c r="U136" s="1">
        <f>[1]节奏总纲!AG136</f>
        <v>80.154679447049915</v>
      </c>
      <c r="V136" s="1">
        <f>[1]节奏总纲!AH136</f>
        <v>89.302819678876304</v>
      </c>
      <c r="AN136" s="2">
        <v>133</v>
      </c>
      <c r="AO136" s="2">
        <f>[1]节奏总纲!BA136</f>
        <v>39.952721381626191</v>
      </c>
      <c r="AP136" s="2">
        <f>[1]节奏总纲!BB136</f>
        <v>41.439455598778757</v>
      </c>
      <c r="AQ136" s="2">
        <f>[1]节奏总纲!BC136</f>
        <v>43.379679921165753</v>
      </c>
      <c r="AR136" s="2">
        <f>[1]节奏总纲!BD136</f>
        <v>46.127930108907876</v>
      </c>
      <c r="AS136" s="2">
        <f>[1]节奏总纲!BE136</f>
        <v>50.821738841775321</v>
      </c>
    </row>
    <row r="137" spans="2:45" x14ac:dyDescent="0.15">
      <c r="B137" s="43">
        <f>[1]节奏总纲!N137</f>
        <v>144</v>
      </c>
      <c r="C137" s="43">
        <v>134</v>
      </c>
      <c r="D137" s="43">
        <f>[1]节奏总纲!P137</f>
        <v>10808.408805051544</v>
      </c>
      <c r="E137" s="43">
        <f>[1]节奏总纲!Q137</f>
        <v>9151.4797352371424</v>
      </c>
      <c r="F137" s="43">
        <f>[1]节奏总纲!R137</f>
        <v>7283.7866937242361</v>
      </c>
      <c r="G137" s="43">
        <f>[1]节奏总纲!S137</f>
        <v>5175.0661358586794</v>
      </c>
      <c r="H137" s="43">
        <f>[1]节奏总纲!T137</f>
        <v>2775.5993811372364</v>
      </c>
      <c r="I137" s="43"/>
      <c r="J137" s="43">
        <v>134</v>
      </c>
      <c r="K137" s="43">
        <f>[1]节奏总纲!W137</f>
        <v>723.87377092998759</v>
      </c>
      <c r="L137" s="43">
        <f>[1]节奏总纲!X137</f>
        <v>588.70103776452925</v>
      </c>
      <c r="M137" s="43">
        <f>[1]节奏总纲!Y137</f>
        <v>456.55647562394188</v>
      </c>
      <c r="N137" s="43">
        <f>[1]节奏总纲!Z137</f>
        <v>327.43014495644729</v>
      </c>
      <c r="O137" s="43">
        <f>[1]节奏总纲!AA137</f>
        <v>179.84006335434742</v>
      </c>
      <c r="Q137" s="1">
        <v>134</v>
      </c>
      <c r="R137" s="1">
        <f>[1]节奏总纲!AD137</f>
        <v>70.76194596258118</v>
      </c>
      <c r="S137" s="1">
        <f>[1]节奏总纲!AE137</f>
        <v>72.839715638639731</v>
      </c>
      <c r="T137" s="1">
        <f>[1]节奏总纲!AF137</f>
        <v>75.72446086407767</v>
      </c>
      <c r="U137" s="1">
        <f>[1]节奏总纲!AG137</f>
        <v>80.263608635113243</v>
      </c>
      <c r="V137" s="1">
        <f>[1]节奏总纲!AH137</f>
        <v>89.430019153629758</v>
      </c>
      <c r="AN137" s="2">
        <v>134</v>
      </c>
      <c r="AO137" s="2">
        <f>[1]节奏总纲!BA137</f>
        <v>40.005827399112476</v>
      </c>
      <c r="AP137" s="2">
        <f>[1]节奏总纲!BB137</f>
        <v>41.48973836764344</v>
      </c>
      <c r="AQ137" s="2">
        <f>[1]节奏总纲!BC137</f>
        <v>43.42960886574528</v>
      </c>
      <c r="AR137" s="2">
        <f>[1]节奏总纲!BD137</f>
        <v>46.176090215954694</v>
      </c>
      <c r="AS137" s="2">
        <f>[1]节奏总纲!BE137</f>
        <v>50.875254884873684</v>
      </c>
    </row>
    <row r="138" spans="2:45" x14ac:dyDescent="0.15">
      <c r="B138" s="43">
        <f>[1]节奏总纲!N138</f>
        <v>145</v>
      </c>
      <c r="C138" s="43">
        <v>135</v>
      </c>
      <c r="D138" s="43">
        <f>[1]节奏总纲!P138</f>
        <v>11584.237502960397</v>
      </c>
      <c r="E138" s="43">
        <f>[1]节奏总纲!Q138</f>
        <v>9796.789656253608</v>
      </c>
      <c r="F138" s="43">
        <f>[1]节奏总纲!R138</f>
        <v>7796.1918394923478</v>
      </c>
      <c r="G138" s="43">
        <f>[1]节奏总纲!S138</f>
        <v>5548.8497639180305</v>
      </c>
      <c r="H138" s="43">
        <f>[1]节奏总纲!T138</f>
        <v>2979.465885761414</v>
      </c>
      <c r="I138" s="43"/>
      <c r="J138" s="43">
        <v>135</v>
      </c>
      <c r="K138" s="43">
        <f>[1]节奏总纲!W138</f>
        <v>775.82869790885343</v>
      </c>
      <c r="L138" s="43">
        <f>[1]节奏总纲!X138</f>
        <v>645.30992101646552</v>
      </c>
      <c r="M138" s="43">
        <f>[1]节奏总纲!Y138</f>
        <v>512.40514576811165</v>
      </c>
      <c r="N138" s="43">
        <f>[1]节奏总纲!Z138</f>
        <v>373.78362805935103</v>
      </c>
      <c r="O138" s="43">
        <f>[1]节奏总纲!AA138</f>
        <v>203.86650462417765</v>
      </c>
      <c r="Q138" s="1">
        <v>135</v>
      </c>
      <c r="R138" s="1">
        <f>[1]节奏总纲!AD138</f>
        <v>70.870795385807057</v>
      </c>
      <c r="S138" s="1">
        <f>[1]节奏总纲!AE138</f>
        <v>72.952911436739612</v>
      </c>
      <c r="T138" s="1">
        <f>[1]节奏总纲!AF138</f>
        <v>75.833923854467812</v>
      </c>
      <c r="U138" s="1">
        <f>[1]节奏总纲!AG138</f>
        <v>80.372537823176572</v>
      </c>
      <c r="V138" s="1">
        <f>[1]节奏总纲!AH138</f>
        <v>89.557218628383211</v>
      </c>
      <c r="AN138" s="2">
        <v>135</v>
      </c>
      <c r="AO138" s="2">
        <f>[1]节奏总纲!BA138</f>
        <v>40.052446592012309</v>
      </c>
      <c r="AP138" s="2">
        <f>[1]节奏总纲!BB138</f>
        <v>41.540021136508116</v>
      </c>
      <c r="AQ138" s="2">
        <f>[1]节奏总纲!BC138</f>
        <v>43.479537810324814</v>
      </c>
      <c r="AR138" s="2">
        <f>[1]节奏总纲!BD138</f>
        <v>46.224250323001513</v>
      </c>
      <c r="AS138" s="2">
        <f>[1]节奏总纲!BE138</f>
        <v>50.928770927972039</v>
      </c>
    </row>
    <row r="139" spans="2:45" x14ac:dyDescent="0.15">
      <c r="B139" s="43">
        <f>[1]节奏总纲!N139</f>
        <v>146</v>
      </c>
      <c r="C139" s="43">
        <v>136</v>
      </c>
      <c r="D139" s="43">
        <f>[1]节奏总纲!P139</f>
        <v>12415.750112853173</v>
      </c>
      <c r="E139" s="43">
        <f>[1]节奏总纲!Q139</f>
        <v>10507.449320507641</v>
      </c>
      <c r="F139" s="43">
        <f>[1]节奏总纲!R139</f>
        <v>8384.3560512097483</v>
      </c>
      <c r="G139" s="43">
        <f>[1]节奏总纲!S139</f>
        <v>5967.009504237235</v>
      </c>
      <c r="H139" s="43">
        <f>[1]节奏总纲!T139</f>
        <v>3204.5051041274041</v>
      </c>
      <c r="I139" s="43"/>
      <c r="J139" s="43">
        <v>136</v>
      </c>
      <c r="K139" s="43">
        <f>[1]节奏总纲!W139</f>
        <v>831.5126098927758</v>
      </c>
      <c r="L139" s="43">
        <f>[1]节奏总纲!X139</f>
        <v>710.65966425403349</v>
      </c>
      <c r="M139" s="43">
        <f>[1]节奏总纲!Y139</f>
        <v>588.16421171740058</v>
      </c>
      <c r="N139" s="43">
        <f>[1]节奏总纲!Z139</f>
        <v>418.1597403192045</v>
      </c>
      <c r="O139" s="43">
        <f>[1]节奏总纲!AA139</f>
        <v>225.03921836599011</v>
      </c>
      <c r="Q139" s="1">
        <v>136</v>
      </c>
      <c r="R139" s="1">
        <f>[1]节奏总纲!AD139</f>
        <v>70.979644809032948</v>
      </c>
      <c r="S139" s="1">
        <f>[1]节奏总纲!AE139</f>
        <v>73.059911975288244</v>
      </c>
      <c r="T139" s="1">
        <f>[1]节奏总纲!AF139</f>
        <v>75.943386844857969</v>
      </c>
      <c r="U139" s="1">
        <f>[1]节奏总纲!AG139</f>
        <v>80.4814670112399</v>
      </c>
      <c r="V139" s="1">
        <f>[1]节奏总纲!AH139</f>
        <v>89.684418103136665</v>
      </c>
      <c r="AN139" s="2">
        <v>136</v>
      </c>
      <c r="AO139" s="2">
        <f>[1]节奏总纲!BA139</f>
        <v>40.099065784912149</v>
      </c>
      <c r="AP139" s="2">
        <f>[1]节奏总纲!BB139</f>
        <v>41.590303905372799</v>
      </c>
      <c r="AQ139" s="2">
        <f>[1]节奏总纲!BC139</f>
        <v>43.529466754904341</v>
      </c>
      <c r="AR139" s="2">
        <f>[1]节奏总纲!BD139</f>
        <v>46.272410430048332</v>
      </c>
      <c r="AS139" s="2">
        <f>[1]节奏总纲!BE139</f>
        <v>50.982286971070401</v>
      </c>
    </row>
    <row r="140" spans="2:45" x14ac:dyDescent="0.15">
      <c r="B140" s="43">
        <f>[1]节奏总纲!N140</f>
        <v>147</v>
      </c>
      <c r="C140" s="43">
        <v>137</v>
      </c>
      <c r="D140" s="43">
        <f>[1]节奏总纲!P140</f>
        <v>13306.943261900544</v>
      </c>
      <c r="E140" s="43">
        <f>[1]节奏总纲!Q140</f>
        <v>11274.973025808331</v>
      </c>
      <c r="F140" s="43">
        <f>[1]节奏总纲!R140</f>
        <v>8995.4936450447676</v>
      </c>
      <c r="G140" s="43">
        <f>[1]节奏总纲!S140</f>
        <v>6407.293180605112</v>
      </c>
      <c r="H140" s="43">
        <f>[1]节奏总纲!T140</f>
        <v>3438.5141388751008</v>
      </c>
      <c r="I140" s="43"/>
      <c r="J140" s="43">
        <v>137</v>
      </c>
      <c r="K140" s="43">
        <f>[1]节奏总纲!W140</f>
        <v>891.19314904737075</v>
      </c>
      <c r="L140" s="43">
        <f>[1]节奏总纲!X140</f>
        <v>767.52370530068947</v>
      </c>
      <c r="M140" s="43">
        <f>[1]节奏总纲!Y140</f>
        <v>611.13759383501929</v>
      </c>
      <c r="N140" s="43">
        <f>[1]节奏总纲!Z140</f>
        <v>440.28367636787698</v>
      </c>
      <c r="O140" s="43">
        <f>[1]节奏总纲!AA140</f>
        <v>234.00903474769666</v>
      </c>
      <c r="Q140" s="1">
        <v>137</v>
      </c>
      <c r="R140" s="1">
        <f>[1]节奏总纲!AD140</f>
        <v>71.082568038258202</v>
      </c>
      <c r="S140" s="1">
        <f>[1]节奏总纲!AE140</f>
        <v>73.162499594857536</v>
      </c>
      <c r="T140" s="1">
        <f>[1]节奏总纲!AF140</f>
        <v>76.048210495050611</v>
      </c>
      <c r="U140" s="1">
        <f>[1]节奏总纲!AG140</f>
        <v>80.590396199303228</v>
      </c>
      <c r="V140" s="1">
        <f>[1]节奏总纲!AH140</f>
        <v>89.811617577890132</v>
      </c>
      <c r="AN140" s="2">
        <v>137</v>
      </c>
      <c r="AO140" s="2">
        <f>[1]节奏总纲!BA140</f>
        <v>40.145684977811982</v>
      </c>
      <c r="AP140" s="2">
        <f>[1]节奏总纲!BB140</f>
        <v>41.640586674237483</v>
      </c>
      <c r="AQ140" s="2">
        <f>[1]节奏总纲!BC140</f>
        <v>43.579395699483875</v>
      </c>
      <c r="AR140" s="2">
        <f>[1]节奏总纲!BD140</f>
        <v>46.320570537095151</v>
      </c>
      <c r="AS140" s="2">
        <f>[1]节奏总纲!BE140</f>
        <v>51.030916192165336</v>
      </c>
    </row>
    <row r="141" spans="2:45" x14ac:dyDescent="0.15">
      <c r="B141" s="43">
        <f>[1]节奏总纲!N141</f>
        <v>148</v>
      </c>
      <c r="C141" s="43">
        <v>138</v>
      </c>
      <c r="D141" s="43">
        <f>[1]节奏总纲!P141</f>
        <v>14262.10042904369</v>
      </c>
      <c r="E141" s="43">
        <f>[1]节奏总纲!Q141</f>
        <v>12084.27769352872</v>
      </c>
      <c r="F141" s="43">
        <f>[1]节奏总纲!R141</f>
        <v>9648.3109402480568</v>
      </c>
      <c r="G141" s="43">
        <f>[1]节奏总纲!S141</f>
        <v>6871.4799867132497</v>
      </c>
      <c r="H141" s="43">
        <f>[1]节奏总纲!T141</f>
        <v>3671.064650435846</v>
      </c>
      <c r="I141" s="43"/>
      <c r="J141" s="43">
        <v>138</v>
      </c>
      <c r="K141" s="43">
        <f>[1]节奏总纲!W141</f>
        <v>955.15716714314658</v>
      </c>
      <c r="L141" s="43">
        <f>[1]节奏总纲!X141</f>
        <v>809.30466772038926</v>
      </c>
      <c r="M141" s="43">
        <f>[1]节奏总纲!Y141</f>
        <v>652.81729520328918</v>
      </c>
      <c r="N141" s="43">
        <f>[1]节奏总纲!Z141</f>
        <v>464.18680610813772</v>
      </c>
      <c r="O141" s="43">
        <f>[1]节奏总纲!AA141</f>
        <v>232.55051156074524</v>
      </c>
      <c r="Q141" s="1">
        <v>138</v>
      </c>
      <c r="R141" s="1">
        <f>[1]节奏总纲!AD141</f>
        <v>71.184128141237707</v>
      </c>
      <c r="S141" s="1">
        <f>[1]节奏总纲!AE141</f>
        <v>73.265087214426828</v>
      </c>
      <c r="T141" s="1">
        <f>[1]节奏总纲!AF141</f>
        <v>76.148064447889894</v>
      </c>
      <c r="U141" s="1">
        <f>[1]节奏总纲!AG141</f>
        <v>80.699325387366557</v>
      </c>
      <c r="V141" s="1">
        <f>[1]节奏总纲!AH141</f>
        <v>89.938817052643586</v>
      </c>
      <c r="AN141" s="2">
        <v>138</v>
      </c>
      <c r="AO141" s="2">
        <f>[1]节奏总纲!BA141</f>
        <v>40.192304170711814</v>
      </c>
      <c r="AP141" s="2">
        <f>[1]节奏总纲!BB141</f>
        <v>41.690869443102159</v>
      </c>
      <c r="AQ141" s="2">
        <f>[1]节奏总纲!BC141</f>
        <v>43.629324644063402</v>
      </c>
      <c r="AR141" s="2">
        <f>[1]节奏总纲!BD141</f>
        <v>46.368730644141969</v>
      </c>
      <c r="AS141" s="2">
        <f>[1]节奏总纲!BE141</f>
        <v>51.077127728003028</v>
      </c>
    </row>
    <row r="142" spans="2:45" x14ac:dyDescent="0.15">
      <c r="B142" s="43">
        <f>[1]节奏总纲!N142</f>
        <v>149</v>
      </c>
      <c r="C142" s="43">
        <v>139</v>
      </c>
      <c r="D142" s="43">
        <f>[1]节奏总纲!P142</f>
        <v>15285.812533339058</v>
      </c>
      <c r="E142" s="43">
        <f>[1]节奏总纲!Q142</f>
        <v>12957.783284511519</v>
      </c>
      <c r="F142" s="43">
        <f>[1]节奏总纲!R142</f>
        <v>10342.380760057207</v>
      </c>
      <c r="G142" s="43">
        <f>[1]节奏总纲!S142</f>
        <v>7335.6614347494142</v>
      </c>
      <c r="H142" s="43">
        <f>[1]节奏总纲!T142</f>
        <v>3920.8109148014687</v>
      </c>
      <c r="I142" s="43"/>
      <c r="J142" s="43">
        <v>139</v>
      </c>
      <c r="K142" s="43">
        <f>[1]节奏总纲!W142</f>
        <v>1023.7121042953677</v>
      </c>
      <c r="L142" s="43">
        <f>[1]节奏总纲!X142</f>
        <v>873.50559098279882</v>
      </c>
      <c r="M142" s="43">
        <f>[1]节奏总纲!Y142</f>
        <v>694.06981980915043</v>
      </c>
      <c r="N142" s="43">
        <f>[1]节奏总纲!Z142</f>
        <v>464.18144803616451</v>
      </c>
      <c r="O142" s="43">
        <f>[1]节奏总纲!AA142</f>
        <v>249.74626436562266</v>
      </c>
      <c r="Q142" s="1">
        <v>139</v>
      </c>
      <c r="R142" s="1">
        <f>[1]节奏总纲!AD142</f>
        <v>71.285688244217212</v>
      </c>
      <c r="S142" s="1">
        <f>[1]节奏总纲!AE142</f>
        <v>73.367674833996119</v>
      </c>
      <c r="T142" s="1">
        <f>[1]节奏总纲!AF142</f>
        <v>76.247918400729162</v>
      </c>
      <c r="U142" s="1">
        <f>[1]节奏总纲!AG142</f>
        <v>80.808254575429885</v>
      </c>
      <c r="V142" s="1">
        <f>[1]节奏总纲!AH142</f>
        <v>90.055148444912135</v>
      </c>
      <c r="AN142" s="2">
        <v>139</v>
      </c>
      <c r="AO142" s="2">
        <f>[1]节奏总纲!BA142</f>
        <v>40.238923363611647</v>
      </c>
      <c r="AP142" s="2">
        <f>[1]节奏总纲!BB142</f>
        <v>41.741152211966842</v>
      </c>
      <c r="AQ142" s="2">
        <f>[1]节奏总纲!BC142</f>
        <v>43.679253588642929</v>
      </c>
      <c r="AR142" s="2">
        <f>[1]节奏总纲!BD142</f>
        <v>46.416890751188788</v>
      </c>
      <c r="AS142" s="2">
        <f>[1]节奏总纲!BE142</f>
        <v>51.12333926384072</v>
      </c>
    </row>
    <row r="143" spans="2:45" x14ac:dyDescent="0.15">
      <c r="B143" s="43">
        <f>[1]节奏总纲!N143</f>
        <v>150</v>
      </c>
      <c r="C143" s="43">
        <v>140</v>
      </c>
      <c r="D143" s="43">
        <f>[1]节奏总纲!P143</f>
        <v>16383</v>
      </c>
      <c r="E143" s="43">
        <f>[1]节奏总纲!Q143</f>
        <v>13881.315900000001</v>
      </c>
      <c r="F143" s="43">
        <f>[1]节奏总纲!R143</f>
        <v>11037.2271</v>
      </c>
      <c r="G143" s="43">
        <f>[1]节奏总纲!S143</f>
        <v>7827.7974000000004</v>
      </c>
      <c r="H143" s="43">
        <f>[1]节奏总纲!T143</f>
        <v>4192.4097000000002</v>
      </c>
      <c r="I143" s="43"/>
      <c r="J143" s="43">
        <v>140</v>
      </c>
      <c r="K143" s="43">
        <f>[1]节奏总纲!W143</f>
        <v>1097.1874666609419</v>
      </c>
      <c r="L143" s="43">
        <f>[1]节奏总纲!X143</f>
        <v>923.53261548848241</v>
      </c>
      <c r="M143" s="43">
        <f>[1]节奏总纲!Y143</f>
        <v>694.84633994279284</v>
      </c>
      <c r="N143" s="43">
        <f>[1]节奏总纲!Z143</f>
        <v>492.1359652505862</v>
      </c>
      <c r="O143" s="43">
        <f>[1]节奏总纲!AA143</f>
        <v>271.59878519853146</v>
      </c>
      <c r="Q143" s="1">
        <v>140</v>
      </c>
      <c r="R143" s="1">
        <f>[1]节奏总纲!AD143</f>
        <v>71.387248347196717</v>
      </c>
      <c r="S143" s="1">
        <f>[1]节奏总纲!AE143</f>
        <v>73.470262453565411</v>
      </c>
      <c r="T143" s="1">
        <f>[1]节奏总纲!AF143</f>
        <v>76.347772353568445</v>
      </c>
      <c r="U143" s="1">
        <f>[1]节奏总纲!AG143</f>
        <v>80.917183763493213</v>
      </c>
      <c r="V143" s="1">
        <f>[1]节奏总纲!AH143</f>
        <v>90.16140749098561</v>
      </c>
      <c r="AN143" s="2">
        <v>140</v>
      </c>
      <c r="AO143" s="2">
        <f>[1]节奏总纲!BA143</f>
        <v>40.28554255651148</v>
      </c>
      <c r="AP143" s="2">
        <f>[1]节奏总纲!BB143</f>
        <v>41.791434980831518</v>
      </c>
      <c r="AQ143" s="2">
        <f>[1]节奏总纲!BC143</f>
        <v>43.729182533222463</v>
      </c>
      <c r="AR143" s="2">
        <f>[1]节奏总纲!BD143</f>
        <v>46.465050858235607</v>
      </c>
      <c r="AS143" s="2">
        <f>[1]节奏总纲!BE143</f>
        <v>51.169550799678412</v>
      </c>
    </row>
    <row r="144" spans="2:45" x14ac:dyDescent="0.15">
      <c r="B144" s="43">
        <f>[1]节奏总纲!N144</f>
        <v>151</v>
      </c>
      <c r="C144" s="43">
        <v>141</v>
      </c>
      <c r="D144" s="43">
        <f>[1]节奏总纲!P144</f>
        <v>17558.936410194601</v>
      </c>
      <c r="E144" s="43">
        <f>[1]节奏总纲!Q144</f>
        <v>14839.057160255457</v>
      </c>
      <c r="F144" s="43">
        <f>[1]节奏总纲!R144</f>
        <v>11789.069905804656</v>
      </c>
      <c r="G144" s="43">
        <f>[1]节奏总纲!S144</f>
        <v>8380.8803485858825</v>
      </c>
      <c r="H144" s="43">
        <f>[1]节奏总纲!T144</f>
        <v>4489.820040086759</v>
      </c>
      <c r="I144" s="43"/>
      <c r="J144" s="43">
        <v>141</v>
      </c>
      <c r="K144" s="43">
        <f>[1]节奏总纲!W144</f>
        <v>1175.9364101946012</v>
      </c>
      <c r="L144" s="43">
        <f>[1]节奏总纲!X144</f>
        <v>957.74126025545593</v>
      </c>
      <c r="M144" s="43">
        <f>[1]节奏总纲!Y144</f>
        <v>751.84280580465565</v>
      </c>
      <c r="N144" s="43">
        <f>[1]节奏总纲!Z144</f>
        <v>553.08294858588215</v>
      </c>
      <c r="O144" s="43">
        <f>[1]节奏总纲!AA144</f>
        <v>297.41034008675888</v>
      </c>
      <c r="Q144" s="1">
        <v>141</v>
      </c>
      <c r="R144" s="1">
        <f>[1]节奏总纲!AD144</f>
        <v>71.488808450176208</v>
      </c>
      <c r="S144" s="1">
        <f>[1]节奏总纲!AE144</f>
        <v>73.572850073134703</v>
      </c>
      <c r="T144" s="1">
        <f>[1]节奏总纲!AF144</f>
        <v>76.447626306407713</v>
      </c>
      <c r="U144" s="1">
        <f>[1]节奏总纲!AG144</f>
        <v>81.023848662825003</v>
      </c>
      <c r="V144" s="1">
        <f>[1]节奏总纲!AH144</f>
        <v>90.267666537059071</v>
      </c>
      <c r="AN144" s="2">
        <v>141</v>
      </c>
      <c r="AO144" s="2">
        <f>[1]节奏总纲!BA144</f>
        <v>40.332161749411313</v>
      </c>
      <c r="AP144" s="2">
        <f>[1]节奏总纲!BB144</f>
        <v>41.841717749696201</v>
      </c>
      <c r="AQ144" s="2">
        <f>[1]节奏总纲!BC144</f>
        <v>43.77911147780199</v>
      </c>
      <c r="AR144" s="2">
        <f>[1]节奏总纲!BD144</f>
        <v>46.513210965282425</v>
      </c>
      <c r="AS144" s="2">
        <f>[1]节奏总纲!BE144</f>
        <v>51.215762335516104</v>
      </c>
    </row>
    <row r="145" spans="2:45" x14ac:dyDescent="0.15">
      <c r="B145" s="43">
        <f>[1]节奏总纲!N145</f>
        <v>152</v>
      </c>
      <c r="C145" s="43">
        <v>142</v>
      </c>
      <c r="D145" s="43">
        <f>[1]节奏总纲!P145</f>
        <v>18819.273848271412</v>
      </c>
      <c r="E145" s="43">
        <f>[1]节奏总纲!Q145</f>
        <v>15904.16832917417</v>
      </c>
      <c r="F145" s="43">
        <f>[1]节奏总纲!R145</f>
        <v>12667.253227271489</v>
      </c>
      <c r="G145" s="43">
        <f>[1]节奏总纲!S145</f>
        <v>9003.140609013044</v>
      </c>
      <c r="H145" s="43">
        <f>[1]节奏总纲!T145</f>
        <v>4823.3798873119622</v>
      </c>
      <c r="I145" s="43"/>
      <c r="J145" s="43">
        <v>142</v>
      </c>
      <c r="K145" s="43">
        <f>[1]节奏总纲!W145</f>
        <v>1260.3374380768109</v>
      </c>
      <c r="L145" s="43">
        <f>[1]节奏总纲!X145</f>
        <v>1065.1111689187128</v>
      </c>
      <c r="M145" s="43">
        <f>[1]节奏总纲!Y145</f>
        <v>878.18332146683315</v>
      </c>
      <c r="N145" s="43">
        <f>[1]节奏总纲!Z145</f>
        <v>622.26026042716148</v>
      </c>
      <c r="O145" s="43">
        <f>[1]节奏总纲!AA145</f>
        <v>333.55984722520316</v>
      </c>
      <c r="Q145" s="1">
        <v>142</v>
      </c>
      <c r="R145" s="1">
        <f>[1]节奏总纲!AD145</f>
        <v>71.590368553155713</v>
      </c>
      <c r="S145" s="1">
        <f>[1]节奏总纲!AE145</f>
        <v>73.675437692703994</v>
      </c>
      <c r="T145" s="1">
        <f>[1]节奏总纲!AF145</f>
        <v>76.547480259246996</v>
      </c>
      <c r="U145" s="1">
        <f>[1]节奏总纲!AG145</f>
        <v>81.123332456233015</v>
      </c>
      <c r="V145" s="1">
        <f>[1]节奏总纲!AH145</f>
        <v>90.373925583132547</v>
      </c>
      <c r="AN145" s="2">
        <v>142</v>
      </c>
      <c r="AO145" s="2">
        <f>[1]节奏总纲!BA145</f>
        <v>40.378780942311145</v>
      </c>
      <c r="AP145" s="2">
        <f>[1]节奏总纲!BB145</f>
        <v>41.892000518560877</v>
      </c>
      <c r="AQ145" s="2">
        <f>[1]节奏总纲!BC145</f>
        <v>43.829040422381524</v>
      </c>
      <c r="AR145" s="2">
        <f>[1]节奏总纲!BD145</f>
        <v>46.561371072329244</v>
      </c>
      <c r="AS145" s="2">
        <f>[1]节奏总纲!BE145</f>
        <v>51.261973871353796</v>
      </c>
    </row>
    <row r="146" spans="2:45" x14ac:dyDescent="0.15">
      <c r="B146" s="43">
        <f>[1]节奏总纲!N146</f>
        <v>153</v>
      </c>
      <c r="C146" s="43">
        <v>143</v>
      </c>
      <c r="D146" s="43">
        <f>[1]节奏总纲!P146</f>
        <v>20170.070068243116</v>
      </c>
      <c r="E146" s="43">
        <f>[1]节奏总纲!Q146</f>
        <v>17065.896284740498</v>
      </c>
      <c r="F146" s="43">
        <f>[1]节奏总纲!R146</f>
        <v>13594.62722599586</v>
      </c>
      <c r="G146" s="43">
        <f>[1]节奏总纲!S146</f>
        <v>9669.5315907157492</v>
      </c>
      <c r="H146" s="43">
        <f>[1]节奏总纲!T146</f>
        <v>5185.7250145453054</v>
      </c>
      <c r="I146" s="43"/>
      <c r="J146" s="43">
        <v>143</v>
      </c>
      <c r="K146" s="43">
        <f>[1]节奏总纲!W146</f>
        <v>1350.796219971704</v>
      </c>
      <c r="L146" s="43">
        <f>[1]节奏总纲!X146</f>
        <v>1161.7279555663281</v>
      </c>
      <c r="M146" s="43">
        <f>[1]节奏总纲!Y146</f>
        <v>927.37399872437163</v>
      </c>
      <c r="N146" s="43">
        <f>[1]节奏总纲!Z146</f>
        <v>666.39098170270518</v>
      </c>
      <c r="O146" s="43">
        <f>[1]节奏总纲!AA146</f>
        <v>362.34512723334319</v>
      </c>
      <c r="Q146" s="1">
        <v>143</v>
      </c>
      <c r="R146" s="1">
        <f>[1]节奏总纲!AD146</f>
        <v>71.691928656135218</v>
      </c>
      <c r="S146" s="1">
        <f>[1]节奏总纲!AE146</f>
        <v>73.778025312273286</v>
      </c>
      <c r="T146" s="1">
        <f>[1]节奏总纲!AF146</f>
        <v>76.647334212086264</v>
      </c>
      <c r="U146" s="1">
        <f>[1]节奏总纲!AG146</f>
        <v>81.222816249641028</v>
      </c>
      <c r="V146" s="1">
        <f>[1]节奏总纲!AH146</f>
        <v>90.480184629206022</v>
      </c>
      <c r="AN146" s="2">
        <v>143</v>
      </c>
      <c r="AO146" s="2">
        <f>[1]节奏总纲!BA146</f>
        <v>40.425400135210978</v>
      </c>
      <c r="AP146" s="2">
        <f>[1]节奏总纲!BB146</f>
        <v>41.94228328742556</v>
      </c>
      <c r="AQ146" s="2">
        <f>[1]节奏总纲!BC146</f>
        <v>43.878969366961051</v>
      </c>
      <c r="AR146" s="2">
        <f>[1]节奏总纲!BD146</f>
        <v>46.609531179376063</v>
      </c>
      <c r="AS146" s="2">
        <f>[1]节奏总纲!BE146</f>
        <v>51.308185407191495</v>
      </c>
    </row>
    <row r="147" spans="2:45" x14ac:dyDescent="0.15">
      <c r="B147" s="43">
        <f>[1]节奏总纲!N147</f>
        <v>154</v>
      </c>
      <c r="C147" s="43">
        <v>144</v>
      </c>
      <c r="D147" s="43">
        <f>[1]节奏总纲!P147</f>
        <v>21617.817610103088</v>
      </c>
      <c r="E147" s="43">
        <f>[1]节奏总纲!Q147</f>
        <v>18290.835479908223</v>
      </c>
      <c r="F147" s="43">
        <f>[1]节奏总纲!R147</f>
        <v>14585.541541536553</v>
      </c>
      <c r="G147" s="43">
        <f>[1]节奏总纲!S147</f>
        <v>10380.876016371503</v>
      </c>
      <c r="H147" s="43">
        <f>[1]节奏总纲!T147</f>
        <v>5547.1319987524521</v>
      </c>
      <c r="I147" s="43"/>
      <c r="J147" s="43">
        <v>144</v>
      </c>
      <c r="K147" s="43">
        <f>[1]节奏总纲!W147</f>
        <v>1447.7475418599715</v>
      </c>
      <c r="L147" s="43">
        <f>[1]节奏总纲!X147</f>
        <v>1224.9391951677244</v>
      </c>
      <c r="M147" s="43">
        <f>[1]节奏总纲!Y147</f>
        <v>990.91431554069277</v>
      </c>
      <c r="N147" s="43">
        <f>[1]节奏总纲!Z147</f>
        <v>711.34442565575409</v>
      </c>
      <c r="O147" s="43">
        <f>[1]节奏总纲!AA147</f>
        <v>361.40698420714671</v>
      </c>
      <c r="Q147" s="1">
        <v>144</v>
      </c>
      <c r="R147" s="1">
        <f>[1]节奏总纲!AD147</f>
        <v>71.793488759114723</v>
      </c>
      <c r="S147" s="1">
        <f>[1]节奏总纲!AE147</f>
        <v>73.880612931842577</v>
      </c>
      <c r="T147" s="1">
        <f>[1]节奏总纲!AF147</f>
        <v>76.747188164925547</v>
      </c>
      <c r="U147" s="1">
        <f>[1]节奏总纲!AG147</f>
        <v>81.322300043049054</v>
      </c>
      <c r="V147" s="1">
        <f>[1]节奏总纲!AH147</f>
        <v>90.586443675279497</v>
      </c>
      <c r="AN147" s="2">
        <v>144</v>
      </c>
      <c r="AO147" s="2">
        <f>[1]节奏总纲!BA147</f>
        <v>40.472019328110811</v>
      </c>
      <c r="AP147" s="2">
        <f>[1]节奏总纲!BB147</f>
        <v>41.992566056290244</v>
      </c>
      <c r="AQ147" s="2">
        <f>[1]节奏总纲!BC147</f>
        <v>43.928898311540586</v>
      </c>
      <c r="AR147" s="2">
        <f>[1]节奏总纲!BD147</f>
        <v>46.657691286422882</v>
      </c>
      <c r="AS147" s="2">
        <f>[1]节奏总纲!BE147</f>
        <v>51.354396943029187</v>
      </c>
    </row>
    <row r="148" spans="2:45" x14ac:dyDescent="0.15">
      <c r="B148" s="43">
        <f>[1]节奏总纲!N148</f>
        <v>155</v>
      </c>
      <c r="C148" s="43">
        <v>145</v>
      </c>
      <c r="D148" s="43">
        <f>[1]节奏总纲!P148</f>
        <v>23169.475005920798</v>
      </c>
      <c r="E148" s="43">
        <f>[1]节奏总纲!Q148</f>
        <v>19631.496172516694</v>
      </c>
      <c r="F148" s="43">
        <f>[1]节奏总纲!R148</f>
        <v>15650.9803664995</v>
      </c>
      <c r="G148" s="43">
        <f>[1]节奏总纲!S148</f>
        <v>11105.129370337838</v>
      </c>
      <c r="H148" s="43">
        <f>[1]节奏总纲!T148</f>
        <v>5926.7517065145412</v>
      </c>
      <c r="I148" s="43"/>
      <c r="J148" s="43">
        <v>145</v>
      </c>
      <c r="K148" s="43">
        <f>[1]节奏总纲!W148</f>
        <v>1551.6573958177105</v>
      </c>
      <c r="L148" s="43">
        <f>[1]节奏总纲!X148</f>
        <v>1340.6606926084714</v>
      </c>
      <c r="M148" s="43">
        <f>[1]节奏总纲!Y148</f>
        <v>1065.4388249629465</v>
      </c>
      <c r="N148" s="43">
        <f>[1]节奏总纲!Z148</f>
        <v>724.25335396633454</v>
      </c>
      <c r="O148" s="43">
        <f>[1]节奏总纲!AA148</f>
        <v>379.61970776208909</v>
      </c>
      <c r="Q148" s="1">
        <v>145</v>
      </c>
      <c r="R148" s="1">
        <f>[1]节奏总纲!AD148</f>
        <v>71.895048862094214</v>
      </c>
      <c r="S148" s="1">
        <f>[1]节奏总纲!AE148</f>
        <v>73.983200551411869</v>
      </c>
      <c r="T148" s="1">
        <f>[1]节奏总纲!AF148</f>
        <v>76.847042117764815</v>
      </c>
      <c r="U148" s="1">
        <f>[1]节奏总纲!AG148</f>
        <v>81.421783836457067</v>
      </c>
      <c r="V148" s="1">
        <f>[1]节奏总纲!AH148</f>
        <v>90.692702721352973</v>
      </c>
      <c r="AN148" s="2">
        <v>145</v>
      </c>
      <c r="AO148" s="2">
        <f>[1]节奏总纲!BA148</f>
        <v>40.518638521010651</v>
      </c>
      <c r="AP148" s="2">
        <f>[1]节奏总纲!BB148</f>
        <v>42.036975906461073</v>
      </c>
      <c r="AQ148" s="2">
        <f>[1]节奏总纲!BC148</f>
        <v>43.978827256120113</v>
      </c>
      <c r="AR148" s="2">
        <f>[1]节奏总纲!BD148</f>
        <v>46.7058513934697</v>
      </c>
      <c r="AS148" s="2">
        <f>[1]节奏总纲!BE148</f>
        <v>51.400608478866879</v>
      </c>
    </row>
    <row r="149" spans="2:45" x14ac:dyDescent="0.15">
      <c r="B149" s="43">
        <f>[1]节奏总纲!N149</f>
        <v>156</v>
      </c>
      <c r="C149" s="43">
        <v>146</v>
      </c>
      <c r="D149" s="43">
        <f>[1]节奏总纲!P149</f>
        <v>24832.50022570635</v>
      </c>
      <c r="E149" s="43">
        <f>[1]节奏总纲!Q149</f>
        <v>21035.61094119585</v>
      </c>
      <c r="F149" s="43">
        <f>[1]节奏总纲!R149</f>
        <v>16719.722401968087</v>
      </c>
      <c r="G149" s="43">
        <f>[1]节奏总纲!S149</f>
        <v>11847.5858576845</v>
      </c>
      <c r="H149" s="43">
        <f>[1]节奏总纲!T149</f>
        <v>6324.8378074874072</v>
      </c>
      <c r="I149" s="43"/>
      <c r="J149" s="43">
        <v>146</v>
      </c>
      <c r="K149" s="43">
        <f>[1]节奏总纲!W149</f>
        <v>1663.0252197855516</v>
      </c>
      <c r="L149" s="43">
        <f>[1]节奏总纲!X149</f>
        <v>1404.1147686791555</v>
      </c>
      <c r="M149" s="43">
        <f>[1]节奏总纲!Y149</f>
        <v>1068.7420354685873</v>
      </c>
      <c r="N149" s="43">
        <f>[1]节奏总纲!Z149</f>
        <v>742.45648734666247</v>
      </c>
      <c r="O149" s="43">
        <f>[1]节奏总纲!AA149</f>
        <v>398.08610097286601</v>
      </c>
      <c r="Q149" s="1">
        <v>146</v>
      </c>
      <c r="R149" s="1">
        <f>[1]节奏总纲!AD149</f>
        <v>71.996608965073719</v>
      </c>
      <c r="S149" s="1">
        <f>[1]节奏总纲!AE149</f>
        <v>74.078973000522922</v>
      </c>
      <c r="T149" s="1">
        <f>[1]节奏总纲!AF149</f>
        <v>76.946896070604097</v>
      </c>
      <c r="U149" s="1">
        <f>[1]节奏总纲!AG149</f>
        <v>81.521267629865079</v>
      </c>
      <c r="V149" s="1">
        <f>[1]节奏总纲!AH149</f>
        <v>90.798961767426448</v>
      </c>
      <c r="AN149" s="2">
        <v>146</v>
      </c>
      <c r="AO149" s="2">
        <f>[1]节奏总纲!BA149</f>
        <v>40.565257713910484</v>
      </c>
      <c r="AP149" s="2">
        <f>[1]节奏总纲!BB149</f>
        <v>42.080366850119908</v>
      </c>
      <c r="AQ149" s="2">
        <f>[1]节奏总纲!BC149</f>
        <v>44.024818750237806</v>
      </c>
      <c r="AR149" s="2">
        <f>[1]节奏总纲!BD149</f>
        <v>46.754011500516519</v>
      </c>
      <c r="AS149" s="2">
        <f>[1]节奏总纲!BE149</f>
        <v>51.446820014704571</v>
      </c>
    </row>
    <row r="150" spans="2:45" x14ac:dyDescent="0.15">
      <c r="B150" s="43">
        <f>[1]节奏总纲!N150</f>
        <v>157</v>
      </c>
      <c r="C150" s="43">
        <v>147</v>
      </c>
      <c r="D150" s="43">
        <f>[1]节奏总纲!P150</f>
        <v>26614.886523801088</v>
      </c>
      <c r="E150" s="43">
        <f>[1]节奏总纲!Q150</f>
        <v>22470.948692045258</v>
      </c>
      <c r="F150" s="43">
        <f>[1]节奏总纲!R150</f>
        <v>17837.296948251489</v>
      </c>
      <c r="G150" s="43">
        <f>[1]节奏总纲!S150</f>
        <v>12631.425144195997</v>
      </c>
      <c r="H150" s="43">
        <f>[1]节奏总纲!T150</f>
        <v>6754.8581997407164</v>
      </c>
      <c r="I150" s="43"/>
      <c r="J150" s="43">
        <v>147</v>
      </c>
      <c r="K150" s="43">
        <f>[1]节奏总纲!W150</f>
        <v>1782.3862980947379</v>
      </c>
      <c r="L150" s="43">
        <f>[1]节奏总纲!X150</f>
        <v>1435.3377508494086</v>
      </c>
      <c r="M150" s="43">
        <f>[1]节奏总纲!Y150</f>
        <v>1117.574546283402</v>
      </c>
      <c r="N150" s="43">
        <f>[1]节奏总纲!Z150</f>
        <v>783.83928651149654</v>
      </c>
      <c r="O150" s="43">
        <f>[1]节奏总纲!AA150</f>
        <v>430.02039225330918</v>
      </c>
      <c r="Q150" s="1">
        <v>147</v>
      </c>
      <c r="R150" s="1">
        <f>[1]节奏总纲!AD150</f>
        <v>72.091594979242075</v>
      </c>
      <c r="S150" s="1">
        <f>[1]节奏总纲!AE150</f>
        <v>74.173410870467364</v>
      </c>
      <c r="T150" s="1">
        <f>[1]节奏总纲!AF150</f>
        <v>77.043751281705866</v>
      </c>
      <c r="U150" s="1">
        <f>[1]节奏总纲!AG150</f>
        <v>81.620751423273092</v>
      </c>
      <c r="V150" s="1">
        <f>[1]节奏总纲!AH150</f>
        <v>90.905220813499923</v>
      </c>
      <c r="AN150" s="2">
        <v>147</v>
      </c>
      <c r="AO150" s="2">
        <f>[1]节奏总纲!BA150</f>
        <v>40.611876906810316</v>
      </c>
      <c r="AP150" s="2">
        <f>[1]节奏总纲!BB150</f>
        <v>42.123757793778736</v>
      </c>
      <c r="AQ150" s="2">
        <f>[1]节奏总纲!BC150</f>
        <v>44.067911160744309</v>
      </c>
      <c r="AR150" s="2">
        <f>[1]节奏总纲!BD150</f>
        <v>46.802171607563338</v>
      </c>
      <c r="AS150" s="2">
        <f>[1]节奏总纲!BE150</f>
        <v>51.493031550542263</v>
      </c>
    </row>
    <row r="151" spans="2:45" x14ac:dyDescent="0.15">
      <c r="B151" s="43">
        <f>[1]节奏总纲!N151</f>
        <v>158</v>
      </c>
      <c r="C151" s="43">
        <v>148</v>
      </c>
      <c r="D151" s="43">
        <f>[1]节奏总纲!P151</f>
        <v>28525.200858087381</v>
      </c>
      <c r="E151" s="43">
        <f>[1]节奏总纲!Q151</f>
        <v>24083.827084483179</v>
      </c>
      <c r="F151" s="43">
        <f>[1]节奏总纲!R151</f>
        <v>19128.999695433398</v>
      </c>
      <c r="G151" s="43">
        <f>[1]节奏总纲!S151</f>
        <v>13566.58552810636</v>
      </c>
      <c r="H151" s="43">
        <f>[1]节奏总纲!T151</f>
        <v>7242.5484978683862</v>
      </c>
      <c r="I151" s="43"/>
      <c r="J151" s="43">
        <v>148</v>
      </c>
      <c r="K151" s="43">
        <f>[1]节奏总纲!W151</f>
        <v>1910.3143342862932</v>
      </c>
      <c r="L151" s="43">
        <f>[1]节奏总纲!X151</f>
        <v>1612.8783924379204</v>
      </c>
      <c r="M151" s="43">
        <f>[1]节奏总纲!Y151</f>
        <v>1291.7027471819092</v>
      </c>
      <c r="N151" s="43">
        <f>[1]节奏总纲!Z151</f>
        <v>935.16038391036273</v>
      </c>
      <c r="O151" s="43">
        <f>[1]节奏总纲!AA151</f>
        <v>487.69029812766985</v>
      </c>
      <c r="Q151" s="1">
        <v>148</v>
      </c>
      <c r="R151" s="1">
        <f>[1]节奏总纲!AD151</f>
        <v>72.186353905945822</v>
      </c>
      <c r="S151" s="1">
        <f>[1]节奏总纲!AE151</f>
        <v>74.267848740411821</v>
      </c>
      <c r="T151" s="1">
        <f>[1]节奏总纲!AF151</f>
        <v>77.137200185007629</v>
      </c>
      <c r="U151" s="1">
        <f>[1]节奏总纲!AG151</f>
        <v>81.720235216681118</v>
      </c>
      <c r="V151" s="1">
        <f>[1]节奏总纲!AH151</f>
        <v>91.011076811620597</v>
      </c>
      <c r="AN151" s="2">
        <v>148</v>
      </c>
      <c r="AO151" s="2">
        <f>[1]节奏总纲!BA151</f>
        <v>40.658496099710149</v>
      </c>
      <c r="AP151" s="2">
        <f>[1]节奏总纲!BB151</f>
        <v>42.167148737437564</v>
      </c>
      <c r="AQ151" s="2">
        <f>[1]节奏总纲!BC151</f>
        <v>44.111003571250812</v>
      </c>
      <c r="AR151" s="2">
        <f>[1]节奏总纲!BD151</f>
        <v>46.850331714610157</v>
      </c>
      <c r="AS151" s="2">
        <f>[1]节奏总纲!BE151</f>
        <v>51.539243086379955</v>
      </c>
    </row>
    <row r="152" spans="2:45" x14ac:dyDescent="0.15">
      <c r="B152" s="43">
        <f>[1]节奏总纲!N152</f>
        <v>159</v>
      </c>
      <c r="C152" s="43">
        <v>149</v>
      </c>
      <c r="D152" s="43">
        <f>[1]节奏总纲!P152</f>
        <v>30572.62506667812</v>
      </c>
      <c r="E152" s="43">
        <f>[1]节奏总纲!Q152</f>
        <v>25818.581868809673</v>
      </c>
      <c r="F152" s="43">
        <f>[1]节奏总纲!R152</f>
        <v>20520.345944754354</v>
      </c>
      <c r="G152" s="43">
        <f>[1]节奏总纲!S152</f>
        <v>14549.512269232117</v>
      </c>
      <c r="H152" s="43">
        <f>[1]节奏总纲!T152</f>
        <v>7768.50402944291</v>
      </c>
      <c r="I152" s="43"/>
      <c r="J152" s="43">
        <v>149</v>
      </c>
      <c r="K152" s="43">
        <f>[1]节奏总纲!W152</f>
        <v>2047.424208590739</v>
      </c>
      <c r="L152" s="43">
        <f>[1]节奏总纲!X152</f>
        <v>1734.7547843264947</v>
      </c>
      <c r="M152" s="43">
        <f>[1]节奏总纲!Y152</f>
        <v>1391.3462493209554</v>
      </c>
      <c r="N152" s="43">
        <f>[1]节奏总纲!Z152</f>
        <v>982.92674112575696</v>
      </c>
      <c r="O152" s="43">
        <f>[1]节奏总纲!AA152</f>
        <v>525.95553157452377</v>
      </c>
      <c r="Q152" s="1">
        <v>149</v>
      </c>
      <c r="R152" s="1">
        <f>[1]节奏总纲!AD152</f>
        <v>72.281112832649583</v>
      </c>
      <c r="S152" s="1">
        <f>[1]节奏总纲!AE152</f>
        <v>74.362286610356264</v>
      </c>
      <c r="T152" s="1">
        <f>[1]节奏总纲!AF152</f>
        <v>77.230649088309391</v>
      </c>
      <c r="U152" s="1">
        <f>[1]节奏总纲!AG152</f>
        <v>81.819719010089131</v>
      </c>
      <c r="V152" s="1">
        <f>[1]节奏总纲!AH152</f>
        <v>91.113605194377854</v>
      </c>
      <c r="AN152" s="2">
        <v>149</v>
      </c>
      <c r="AO152" s="2">
        <f>[1]节奏总纲!BA152</f>
        <v>40.705115292609982</v>
      </c>
      <c r="AP152" s="2">
        <f>[1]节奏总纲!BB152</f>
        <v>42.2105396810964</v>
      </c>
      <c r="AQ152" s="2">
        <f>[1]节奏总纲!BC152</f>
        <v>44.154095981757315</v>
      </c>
      <c r="AR152" s="2">
        <f>[1]节奏总纲!BD152</f>
        <v>46.898491821656968</v>
      </c>
      <c r="AS152" s="2">
        <f>[1]节奏总纲!BE152</f>
        <v>51.585454622217647</v>
      </c>
    </row>
    <row r="153" spans="2:45" x14ac:dyDescent="0.15">
      <c r="B153" s="43">
        <f>[1]节奏总纲!N153</f>
        <v>160</v>
      </c>
      <c r="C153" s="43">
        <v>150</v>
      </c>
      <c r="D153" s="43">
        <f>[1]节奏总纲!P153</f>
        <v>32767</v>
      </c>
      <c r="E153" s="43">
        <f>[1]节奏总纲!Q153</f>
        <v>27671.731500000002</v>
      </c>
      <c r="F153" s="43">
        <f>[1]节奏总纲!R153</f>
        <v>21996.487099999998</v>
      </c>
      <c r="G153" s="43">
        <f>[1]节奏总纲!S153</f>
        <v>15603.645400000001</v>
      </c>
      <c r="H153" s="43">
        <f>[1]节奏总纲!T153</f>
        <v>8355.5850000000009</v>
      </c>
      <c r="I153" s="43"/>
      <c r="J153" s="43">
        <v>150</v>
      </c>
      <c r="K153" s="43">
        <f>[1]节奏总纲!W153</f>
        <v>2194.3749333218802</v>
      </c>
      <c r="L153" s="43">
        <f>[1]节奏总纲!X153</f>
        <v>1853.1496311903284</v>
      </c>
      <c r="M153" s="43">
        <f>[1]节奏总纲!Y153</f>
        <v>1476.1411552456448</v>
      </c>
      <c r="N153" s="43">
        <f>[1]节奏总纲!Z153</f>
        <v>1054.1331307678847</v>
      </c>
      <c r="O153" s="43">
        <f>[1]节奏总纲!AA153</f>
        <v>587.08097055709095</v>
      </c>
      <c r="Q153" s="1">
        <v>150</v>
      </c>
      <c r="R153" s="1">
        <f>[1]节奏总纲!AD153</f>
        <v>72.375871759353331</v>
      </c>
      <c r="S153" s="1">
        <f>[1]节奏总纲!AE153</f>
        <v>74.456724480300707</v>
      </c>
      <c r="T153" s="1">
        <f>[1]节奏总纲!AF153</f>
        <v>77.324097991611154</v>
      </c>
      <c r="U153" s="1">
        <f>[1]节奏总纲!AG153</f>
        <v>81.919202803497143</v>
      </c>
      <c r="V153" s="1">
        <f>[1]节奏总纲!AH153</f>
        <v>91.216133577135096</v>
      </c>
      <c r="AN153" s="2">
        <v>150</v>
      </c>
      <c r="AO153" s="2">
        <f>[1]节奏总纲!BA153</f>
        <v>40.751734485509814</v>
      </c>
      <c r="AP153" s="2">
        <f>[1]节奏总纲!BB153</f>
        <v>42.253930624755228</v>
      </c>
      <c r="AQ153" s="2">
        <f>[1]节奏总纲!BC153</f>
        <v>44.197188392263818</v>
      </c>
      <c r="AR153" s="2">
        <f>[1]节奏总纲!BD153</f>
        <v>46.946651928703787</v>
      </c>
      <c r="AS153" s="2">
        <f>[1]节奏总纲!BE153</f>
        <v>51.631666158055346</v>
      </c>
    </row>
    <row r="154" spans="2:45" x14ac:dyDescent="0.15">
      <c r="B154" s="43">
        <f>[1]节奏总纲!N154</f>
        <v>161</v>
      </c>
      <c r="C154" s="43">
        <v>151</v>
      </c>
      <c r="D154" s="43">
        <f>[1]节奏总纲!P154</f>
        <v>35118.87282038921</v>
      </c>
      <c r="E154" s="43">
        <f>[1]节奏总纲!Q154</f>
        <v>29671.935645946844</v>
      </c>
      <c r="F154" s="43">
        <f>[1]节奏总纲!R154</f>
        <v>23592.858760737468</v>
      </c>
      <c r="G154" s="43">
        <f>[1]节奏总纲!S154</f>
        <v>16804.380644556237</v>
      </c>
      <c r="H154" s="43">
        <f>[1]节奏总纲!T154</f>
        <v>9095.7880604808051</v>
      </c>
      <c r="I154" s="43"/>
      <c r="J154" s="43">
        <v>151</v>
      </c>
      <c r="K154" s="43">
        <f>[1]节奏总纲!W154</f>
        <v>2351.8728203892097</v>
      </c>
      <c r="L154" s="43">
        <f>[1]节奏总纲!X154</f>
        <v>2000.2041459468419</v>
      </c>
      <c r="M154" s="43">
        <f>[1]节奏总纲!Y154</f>
        <v>1596.3716607374699</v>
      </c>
      <c r="N154" s="43">
        <f>[1]节奏总纲!Z154</f>
        <v>1200.7352445562356</v>
      </c>
      <c r="O154" s="43">
        <f>[1]节奏总纲!AA154</f>
        <v>740.2030604808042</v>
      </c>
      <c r="Q154" s="1">
        <v>151</v>
      </c>
      <c r="R154" s="1">
        <f>[1]节奏总纲!AD154</f>
        <v>72.470630686057078</v>
      </c>
      <c r="S154" s="1">
        <f>[1]节奏总纲!AE154</f>
        <v>74.551162350245164</v>
      </c>
      <c r="T154" s="1">
        <f>[1]节奏总纲!AF154</f>
        <v>77.417546894912917</v>
      </c>
      <c r="U154" s="1">
        <f>[1]节奏总纲!AG154</f>
        <v>82.01744549958407</v>
      </c>
      <c r="V154" s="1">
        <f>[1]节奏总纲!AH154</f>
        <v>91.318661959892353</v>
      </c>
      <c r="AN154" s="2">
        <v>151</v>
      </c>
      <c r="AO154" s="2">
        <f>[1]节奏总纲!BA154</f>
        <v>40.798353678409647</v>
      </c>
      <c r="AP154" s="2">
        <f>[1]节奏总纲!BB154</f>
        <v>42.297321568414056</v>
      </c>
      <c r="AQ154" s="2">
        <f>[1]节奏总纲!BC154</f>
        <v>44.240280802770329</v>
      </c>
      <c r="AR154" s="2">
        <f>[1]节奏总纲!BD154</f>
        <v>46.994812035750606</v>
      </c>
      <c r="AS154" s="2">
        <f>[1]节奏总纲!BE154</f>
        <v>51.677877693893038</v>
      </c>
    </row>
    <row r="155" spans="2:45" x14ac:dyDescent="0.15">
      <c r="B155" s="43">
        <f>[1]节奏总纲!N155</f>
        <v>162</v>
      </c>
      <c r="C155" s="43">
        <v>152</v>
      </c>
      <c r="D155" s="43">
        <f>[1]节奏总纲!P155</f>
        <v>37639.547696542824</v>
      </c>
      <c r="E155" s="43">
        <f>[1]节奏总纲!Q155</f>
        <v>31794.125939269725</v>
      </c>
      <c r="F155" s="43">
        <f>[1]节奏总纲!R155</f>
        <v>25425.514469014677</v>
      </c>
      <c r="G155" s="43">
        <f>[1]节奏总纲!S155</f>
        <v>18255.180632823271</v>
      </c>
      <c r="H155" s="43">
        <f>[1]节奏总纲!T155</f>
        <v>14114.830386203559</v>
      </c>
      <c r="I155" s="43"/>
      <c r="J155" s="43">
        <v>152</v>
      </c>
      <c r="K155" s="43">
        <f>[1]节奏总纲!W155</f>
        <v>2520.6748761536146</v>
      </c>
      <c r="L155" s="43">
        <f>[1]节奏总纲!X155</f>
        <v>2122.1902933228812</v>
      </c>
      <c r="M155" s="43">
        <f>[1]节奏总纲!Y155</f>
        <v>1832.6557082772088</v>
      </c>
      <c r="N155" s="43">
        <f>[1]节奏总纲!Z155</f>
        <v>1450.7999882670338</v>
      </c>
      <c r="O155" s="43">
        <f>[1]节奏总纲!AA155</f>
        <v>5019.042325722754</v>
      </c>
      <c r="Q155" s="1">
        <v>152</v>
      </c>
      <c r="R155" s="1">
        <f>[1]节奏总纲!AD155</f>
        <v>72.565389612760825</v>
      </c>
      <c r="S155" s="1">
        <f>[1]节奏总纲!AE155</f>
        <v>74.645600220189607</v>
      </c>
      <c r="T155" s="1">
        <f>[1]节奏总纲!AF155</f>
        <v>77.51099579821468</v>
      </c>
      <c r="U155" s="1">
        <f>[1]节奏总纲!AG155</f>
        <v>82.110321933176039</v>
      </c>
      <c r="V155" s="1">
        <f>[1]节奏总纲!AH155</f>
        <v>91.421190342649595</v>
      </c>
      <c r="AN155" s="2">
        <v>152</v>
      </c>
      <c r="AO155" s="2">
        <f>[1]节奏总纲!BA155</f>
        <v>40.84497287130948</v>
      </c>
      <c r="AP155" s="2">
        <f>[1]节奏总纲!BB155</f>
        <v>42.340712512072891</v>
      </c>
      <c r="AQ155" s="2">
        <f>[1]节奏总纲!BC155</f>
        <v>44.283373213276832</v>
      </c>
      <c r="AR155" s="2">
        <f>[1]节奏总纲!BD155</f>
        <v>47.037096473408994</v>
      </c>
      <c r="AS155" s="2">
        <f>[1]节奏总纲!BE155</f>
        <v>51.72408922973073</v>
      </c>
    </row>
    <row r="156" spans="2:45" x14ac:dyDescent="0.15">
      <c r="B156" s="43">
        <f>[1]节奏总纲!N156</f>
        <v>163</v>
      </c>
      <c r="C156" s="43">
        <v>153</v>
      </c>
      <c r="D156" s="43">
        <f>[1]节奏总纲!P156</f>
        <v>40341.140136486232</v>
      </c>
      <c r="E156" s="43">
        <f>[1]节奏总纲!Q156</f>
        <v>34330.31025614978</v>
      </c>
      <c r="F156" s="43">
        <f>[1]节奏总纲!R156</f>
        <v>27552.998713220099</v>
      </c>
      <c r="G156" s="43">
        <f>[1]节奏总纲!S156</f>
        <v>24204.684081891737</v>
      </c>
      <c r="H156" s="43">
        <f>[1]节奏总纲!T156</f>
        <v>24204.684081891737</v>
      </c>
      <c r="I156" s="43"/>
      <c r="J156" s="43">
        <v>153</v>
      </c>
      <c r="K156" s="43">
        <f>[1]节奏总纲!W156</f>
        <v>2701.592439943408</v>
      </c>
      <c r="L156" s="43">
        <f>[1]节奏总纲!X156</f>
        <v>2536.1843168800551</v>
      </c>
      <c r="M156" s="43">
        <f>[1]节奏总纲!Y156</f>
        <v>2127.4842442054214</v>
      </c>
      <c r="N156" s="43">
        <f>[1]节奏总纲!Z156</f>
        <v>5949.5034490684666</v>
      </c>
      <c r="O156" s="43">
        <f>[1]节奏总纲!AA156</f>
        <v>10089.853695688178</v>
      </c>
      <c r="Q156" s="1">
        <v>153</v>
      </c>
      <c r="R156" s="1">
        <f>[1]节奏总纲!AD156</f>
        <v>72.660148539464572</v>
      </c>
      <c r="S156" s="1">
        <f>[1]节奏总纲!AE156</f>
        <v>74.74003809013405</v>
      </c>
      <c r="T156" s="1">
        <f>[1]节奏总纲!AF156</f>
        <v>77.604444701516456</v>
      </c>
      <c r="U156" s="1">
        <f>[1]节奏总纲!AG156</f>
        <v>82.203198366767992</v>
      </c>
      <c r="V156" s="1">
        <f>[1]节奏总纲!AH156</f>
        <v>91.523718725406852</v>
      </c>
      <c r="AN156" s="2">
        <v>153</v>
      </c>
      <c r="AO156" s="2">
        <f>[1]节奏总纲!BA156</f>
        <v>40.891592064209313</v>
      </c>
      <c r="AP156" s="2">
        <f>[1]节奏总纲!BB156</f>
        <v>42.384103455731719</v>
      </c>
      <c r="AQ156" s="2">
        <f>[1]节奏总纲!BC156</f>
        <v>44.326465623783335</v>
      </c>
      <c r="AR156" s="2">
        <f>[1]节奏总纲!BD156</f>
        <v>47.078671550054786</v>
      </c>
      <c r="AS156" s="2">
        <f>[1]节奏总纲!BE156</f>
        <v>51.770300765568422</v>
      </c>
    </row>
    <row r="157" spans="2:45" x14ac:dyDescent="0.15">
      <c r="B157" s="43">
        <f>[1]节奏总纲!N157</f>
        <v>164</v>
      </c>
      <c r="C157" s="43">
        <v>154</v>
      </c>
      <c r="D157" s="43">
        <f>[1]节奏总纲!P157</f>
        <v>43236.635220206183</v>
      </c>
      <c r="E157" s="43">
        <f>[1]节奏总纲!Q157</f>
        <v>36967.323113276288</v>
      </c>
      <c r="F157" s="43">
        <f>[1]节奏总纲!R157</f>
        <v>33940.758647861854</v>
      </c>
      <c r="G157" s="43">
        <f>[1]节奏总纲!S157</f>
        <v>34156.941823962887</v>
      </c>
      <c r="H157" s="43">
        <f>[1]节奏总纲!T157</f>
        <v>34156.941823962887</v>
      </c>
      <c r="I157" s="43"/>
      <c r="J157" s="43">
        <v>154</v>
      </c>
      <c r="K157" s="43">
        <f>[1]节奏总纲!W157</f>
        <v>2895.4950837199503</v>
      </c>
      <c r="L157" s="43">
        <f>[1]节奏总纲!X157</f>
        <v>2637.0128571265086</v>
      </c>
      <c r="M157" s="43">
        <f>[1]节奏总纲!Y157</f>
        <v>6387.7599346417555</v>
      </c>
      <c r="N157" s="43">
        <f>[1]节奏总纲!Z157</f>
        <v>9952.2577420711496</v>
      </c>
      <c r="O157" s="43">
        <f>[1]节奏总纲!AA157</f>
        <v>9952.2577420711496</v>
      </c>
      <c r="Q157" s="1">
        <v>154</v>
      </c>
      <c r="R157" s="1">
        <f>[1]节奏总纲!AD157</f>
        <v>72.754907466168333</v>
      </c>
      <c r="S157" s="1">
        <f>[1]节奏总纲!AE157</f>
        <v>74.834475960078507</v>
      </c>
      <c r="T157" s="1">
        <f>[1]节奏总纲!AF157</f>
        <v>77.697893604818219</v>
      </c>
      <c r="U157" s="1">
        <f>[1]节奏总纲!AG157</f>
        <v>82.29607480035996</v>
      </c>
      <c r="V157" s="1">
        <f>[1]节奏总纲!AH157</f>
        <v>91.626247108164094</v>
      </c>
      <c r="AN157" s="2">
        <v>154</v>
      </c>
      <c r="AO157" s="2">
        <f>[1]节奏总纲!BA157</f>
        <v>40.938211257109145</v>
      </c>
      <c r="AP157" s="2">
        <f>[1]节奏总纲!BB157</f>
        <v>42.427494399390554</v>
      </c>
      <c r="AQ157" s="2">
        <f>[1]节奏总纲!BC157</f>
        <v>44.369558034289838</v>
      </c>
      <c r="AR157" s="2">
        <f>[1]节奏总纲!BD157</f>
        <v>47.12024662670057</v>
      </c>
      <c r="AS157" s="2">
        <f>[1]节奏总纲!BE157</f>
        <v>51.816512301406114</v>
      </c>
    </row>
    <row r="158" spans="2:45" x14ac:dyDescent="0.15">
      <c r="B158" s="43">
        <f>[1]节奏总纲!N158</f>
        <v>165</v>
      </c>
      <c r="C158" s="43">
        <v>155</v>
      </c>
      <c r="D158" s="43">
        <f>[1]节奏总纲!P158</f>
        <v>46339.950011841604</v>
      </c>
      <c r="E158" s="43">
        <f>[1]节奏总纲!Q158</f>
        <v>44078.560451263736</v>
      </c>
      <c r="F158" s="43">
        <f>[1]节奏总纲!R158</f>
        <v>44402.940101346627</v>
      </c>
      <c r="G158" s="43">
        <f>[1]节奏总纲!S158</f>
        <v>44402.940101346627</v>
      </c>
      <c r="H158" s="43">
        <f>[1]节奏总纲!T158</f>
        <v>44541.959951382152</v>
      </c>
      <c r="I158" s="43"/>
      <c r="J158" s="43">
        <v>155</v>
      </c>
      <c r="K158" s="43">
        <f>[1]节奏总纲!W158</f>
        <v>3103.314791635421</v>
      </c>
      <c r="L158" s="43">
        <f>[1]节奏总纲!X158</f>
        <v>7111.237337987448</v>
      </c>
      <c r="M158" s="43">
        <f>[1]节奏总纲!Y158</f>
        <v>10462.181453484773</v>
      </c>
      <c r="N158" s="43">
        <f>[1]节奏总纲!Z158</f>
        <v>10245.99827738374</v>
      </c>
      <c r="O158" s="43">
        <f>[1]节奏总纲!AA158</f>
        <v>10385.018127419266</v>
      </c>
      <c r="Q158" s="1">
        <v>155</v>
      </c>
      <c r="R158" s="1">
        <f>[1]节奏总纲!AD158</f>
        <v>72.849666392872081</v>
      </c>
      <c r="S158" s="1">
        <f>[1]节奏总纲!AE158</f>
        <v>74.92891383002295</v>
      </c>
      <c r="T158" s="1">
        <f>[1]节奏总纲!AF158</f>
        <v>77.791342508119982</v>
      </c>
      <c r="U158" s="1">
        <f>[1]节奏总纲!AG158</f>
        <v>82.388951233951914</v>
      </c>
      <c r="V158" s="1">
        <f>[1]节奏总纲!AH158</f>
        <v>91.72877549092135</v>
      </c>
      <c r="AN158" s="2">
        <v>155</v>
      </c>
      <c r="AO158" s="2">
        <f>[1]节奏总纲!BA158</f>
        <v>40.984830450008985</v>
      </c>
      <c r="AP158" s="2">
        <f>[1]节奏总纲!BB158</f>
        <v>42.470885343049382</v>
      </c>
      <c r="AQ158" s="2">
        <f>[1]节奏总纲!BC158</f>
        <v>44.412650444796341</v>
      </c>
      <c r="AR158" s="2">
        <f>[1]节奏总纲!BD158</f>
        <v>47.161821703346362</v>
      </c>
      <c r="AS158" s="2">
        <f>[1]节奏总纲!BE158</f>
        <v>51.862723837243806</v>
      </c>
    </row>
    <row r="159" spans="2:45" x14ac:dyDescent="0.15">
      <c r="B159" s="43">
        <f>[1]节奏总纲!N159</f>
        <v>166</v>
      </c>
      <c r="C159" s="43">
        <v>156</v>
      </c>
      <c r="D159" s="43">
        <f>[1]节奏总纲!P159</f>
        <v>49666.000451412707</v>
      </c>
      <c r="E159" s="43">
        <f>[1]节奏总纲!Q159</f>
        <v>49666.000451412707</v>
      </c>
      <c r="F159" s="43">
        <f>[1]节奏总纲!R159</f>
        <v>50162.660455926831</v>
      </c>
      <c r="G159" s="43">
        <f>[1]节奏总纲!S159</f>
        <v>50162.660455926831</v>
      </c>
      <c r="H159" s="43">
        <f>[1]节奏总纲!T159</f>
        <v>50311.658457281068</v>
      </c>
      <c r="I159" s="43"/>
      <c r="J159" s="43">
        <v>156</v>
      </c>
      <c r="K159" s="43">
        <f>[1]节奏总纲!W159</f>
        <v>3326.0504395711032</v>
      </c>
      <c r="L159" s="43">
        <f>[1]节奏总纲!X159</f>
        <v>5587.4400001489703</v>
      </c>
      <c r="M159" s="43">
        <f>[1]节奏总纲!Y159</f>
        <v>5759.720354580204</v>
      </c>
      <c r="N159" s="43">
        <f>[1]节奏总纲!Z159</f>
        <v>5759.720354580204</v>
      </c>
      <c r="O159" s="43">
        <f>[1]节奏总纲!AA159</f>
        <v>5769.6985058989158</v>
      </c>
      <c r="Q159" s="1">
        <v>156</v>
      </c>
      <c r="R159" s="1">
        <f>[1]节奏总纲!AD159</f>
        <v>72.944425319575828</v>
      </c>
      <c r="S159" s="1">
        <f>[1]节奏总纲!AE159</f>
        <v>75.022035011469043</v>
      </c>
      <c r="T159" s="1">
        <f>[1]节奏总纲!AF159</f>
        <v>77.884791411421745</v>
      </c>
      <c r="U159" s="1">
        <f>[1]节奏总纲!AG159</f>
        <v>82.481827667543882</v>
      </c>
      <c r="V159" s="1">
        <f>[1]节奏总纲!AH159</f>
        <v>91.831303873678593</v>
      </c>
      <c r="AN159" s="2">
        <v>156</v>
      </c>
      <c r="AO159" s="2">
        <f>[1]节奏总纲!BA159</f>
        <v>41.027136894088379</v>
      </c>
      <c r="AP159" s="2">
        <f>[1]节奏总纲!BB159</f>
        <v>42.51427628670821</v>
      </c>
      <c r="AQ159" s="2">
        <f>[1]节奏总纲!BC159</f>
        <v>44.455742855302844</v>
      </c>
      <c r="AR159" s="2">
        <f>[1]节奏总纲!BD159</f>
        <v>47.203396779992147</v>
      </c>
      <c r="AS159" s="2">
        <f>[1]节奏总纲!BE159</f>
        <v>51.908935373081505</v>
      </c>
    </row>
    <row r="160" spans="2:45" x14ac:dyDescent="0.15">
      <c r="B160" s="43">
        <f>[1]节奏总纲!N160</f>
        <v>167</v>
      </c>
      <c r="C160" s="43">
        <v>157</v>
      </c>
      <c r="D160" s="43">
        <f>[1]节奏总纲!P160</f>
        <v>53230.773047602182</v>
      </c>
      <c r="E160" s="43">
        <f>[1]节奏总纲!Q160</f>
        <v>53230.773047602182</v>
      </c>
      <c r="F160" s="43">
        <f>[1]节奏总纲!R160</f>
        <v>53763.080778078205</v>
      </c>
      <c r="G160" s="43">
        <f>[1]节奏总纲!S160</f>
        <v>53763.080778078205</v>
      </c>
      <c r="H160" s="43">
        <f>[1]节奏总纲!T160</f>
        <v>53763.080778078205</v>
      </c>
      <c r="I160" s="43"/>
      <c r="J160" s="43">
        <v>157</v>
      </c>
      <c r="K160" s="43">
        <f>[1]节奏总纲!W160</f>
        <v>3564.7725961894757</v>
      </c>
      <c r="L160" s="43">
        <f>[1]节奏总纲!X160</f>
        <v>3564.7725961894757</v>
      </c>
      <c r="M160" s="43">
        <f>[1]节奏总纲!Y160</f>
        <v>3600.4203221513744</v>
      </c>
      <c r="N160" s="43">
        <f>[1]节奏总纲!Z160</f>
        <v>3600.4203221513744</v>
      </c>
      <c r="O160" s="43">
        <f>[1]节奏总纲!AA160</f>
        <v>3451.4223207971372</v>
      </c>
      <c r="Q160" s="1">
        <v>157</v>
      </c>
      <c r="R160" s="1">
        <f>[1]节奏总纲!AD160</f>
        <v>73.036560194527354</v>
      </c>
      <c r="S160" s="1">
        <f>[1]节奏总纲!AE160</f>
        <v>75.111147990406067</v>
      </c>
      <c r="T160" s="1">
        <f>[1]节奏总纲!AF160</f>
        <v>77.978240314723507</v>
      </c>
      <c r="U160" s="1">
        <f>[1]节奏总纲!AG160</f>
        <v>82.574704101135836</v>
      </c>
      <c r="V160" s="1">
        <f>[1]节奏总纲!AH160</f>
        <v>91.933832256435849</v>
      </c>
      <c r="AN160" s="2">
        <v>157</v>
      </c>
      <c r="AO160" s="2">
        <f>[1]节奏总纲!BA160</f>
        <v>41.067363109180121</v>
      </c>
      <c r="AP160" s="2">
        <f>[1]节奏总纲!BB160</f>
        <v>42.557667230367045</v>
      </c>
      <c r="AQ160" s="2">
        <f>[1]节奏总纲!BC160</f>
        <v>44.498835265809355</v>
      </c>
      <c r="AR160" s="2">
        <f>[1]节奏总纲!BD160</f>
        <v>47.244971856637939</v>
      </c>
      <c r="AS160" s="2">
        <f>[1]节奏总纲!BE160</f>
        <v>51.955146908919197</v>
      </c>
    </row>
    <row r="161" spans="2:45" x14ac:dyDescent="0.15">
      <c r="B161" s="43">
        <f>[1]节奏总纲!N161</f>
        <v>168</v>
      </c>
      <c r="C161" s="43">
        <v>158</v>
      </c>
      <c r="D161" s="43">
        <f>[1]节奏总纲!P161</f>
        <v>57051.401716174769</v>
      </c>
      <c r="E161" s="43">
        <f>[1]节奏总纲!Q161</f>
        <v>57051.401716174769</v>
      </c>
      <c r="F161" s="43">
        <f>[1]节奏总纲!R161</f>
        <v>57621.915733336515</v>
      </c>
      <c r="G161" s="43">
        <f>[1]节奏总纲!S161</f>
        <v>57621.915733336515</v>
      </c>
      <c r="H161" s="43">
        <f>[1]节奏总纲!T161</f>
        <v>57621.915733336515</v>
      </c>
      <c r="I161" s="43"/>
      <c r="J161" s="43">
        <v>158</v>
      </c>
      <c r="K161" s="43">
        <f>[1]节奏总纲!W161</f>
        <v>3820.6286685725863</v>
      </c>
      <c r="L161" s="43">
        <f>[1]节奏总纲!X161</f>
        <v>3820.6286685725863</v>
      </c>
      <c r="M161" s="43">
        <f>[1]节奏总纲!Y161</f>
        <v>3858.8349552583095</v>
      </c>
      <c r="N161" s="43">
        <f>[1]节奏总纲!Z161</f>
        <v>3858.8349552583095</v>
      </c>
      <c r="O161" s="43">
        <f>[1]节奏总纲!AA161</f>
        <v>3858.8349552583095</v>
      </c>
      <c r="Q161" s="1">
        <v>158</v>
      </c>
      <c r="R161" s="1">
        <f>[1]节奏总纲!AD161</f>
        <v>73.124973399384572</v>
      </c>
      <c r="S161" s="1">
        <f>[1]节奏总纲!AE161</f>
        <v>75.200260969343077</v>
      </c>
      <c r="T161" s="1">
        <f>[1]节奏总纲!AF161</f>
        <v>78.066694029528094</v>
      </c>
      <c r="U161" s="1">
        <f>[1]节奏总纲!AG161</f>
        <v>82.667580534727804</v>
      </c>
      <c r="V161" s="1">
        <f>[1]节奏总纲!AH161</f>
        <v>92.033129415212969</v>
      </c>
      <c r="AN161" s="2">
        <v>158</v>
      </c>
      <c r="AO161" s="2">
        <f>[1]节奏总纲!BA161</f>
        <v>41.107589324271871</v>
      </c>
      <c r="AP161" s="2">
        <f>[1]节奏总纲!BB161</f>
        <v>42.601058174025873</v>
      </c>
      <c r="AQ161" s="2">
        <f>[1]节奏总纲!BC161</f>
        <v>44.541927676315858</v>
      </c>
      <c r="AR161" s="2">
        <f>[1]节奏总纲!BD161</f>
        <v>47.286546933283724</v>
      </c>
      <c r="AS161" s="2">
        <f>[1]节奏总纲!BE161</f>
        <v>52.001173105835825</v>
      </c>
    </row>
    <row r="162" spans="2:45" x14ac:dyDescent="0.15">
      <c r="B162" s="43">
        <f>[1]节奏总纲!N162</f>
        <v>169</v>
      </c>
      <c r="C162" s="43">
        <v>159</v>
      </c>
      <c r="D162" s="43">
        <f>[1]节奏总纲!P162</f>
        <v>61146.25013335624</v>
      </c>
      <c r="E162" s="43">
        <f>[1]节奏总纲!Q162</f>
        <v>61146.25013335624</v>
      </c>
      <c r="F162" s="43">
        <f>[1]节奏总纲!R162</f>
        <v>61757.7126346898</v>
      </c>
      <c r="G162" s="43">
        <f>[1]节奏总纲!S162</f>
        <v>61757.7126346898</v>
      </c>
      <c r="H162" s="43">
        <f>[1]节奏总纲!T162</f>
        <v>61757.7126346898</v>
      </c>
      <c r="I162" s="43"/>
      <c r="J162" s="43">
        <v>159</v>
      </c>
      <c r="K162" s="43">
        <f>[1]节奏总纲!W162</f>
        <v>4094.8484171814707</v>
      </c>
      <c r="L162" s="43">
        <f>[1]节奏总纲!X162</f>
        <v>4094.8484171814707</v>
      </c>
      <c r="M162" s="43">
        <f>[1]节奏总纲!Y162</f>
        <v>4135.7969013532856</v>
      </c>
      <c r="N162" s="43">
        <f>[1]节奏总纲!Z162</f>
        <v>4135.7969013532856</v>
      </c>
      <c r="O162" s="43">
        <f>[1]节奏总纲!AA162</f>
        <v>4135.7969013532856</v>
      </c>
      <c r="Q162" s="1">
        <v>159</v>
      </c>
      <c r="R162" s="1">
        <f>[1]节奏总纲!AD162</f>
        <v>73.213386604241791</v>
      </c>
      <c r="S162" s="1">
        <f>[1]节奏总纲!AE162</f>
        <v>75.289373948280101</v>
      </c>
      <c r="T162" s="1">
        <f>[1]节奏总纲!AF162</f>
        <v>78.153631564737054</v>
      </c>
      <c r="U162" s="1">
        <f>[1]节奏总纲!AG162</f>
        <v>82.760456968319758</v>
      </c>
      <c r="V162" s="1">
        <f>[1]节奏总纲!AH162</f>
        <v>92.126546512350387</v>
      </c>
      <c r="AN162" s="2">
        <v>159</v>
      </c>
      <c r="AO162" s="2">
        <f>[1]节奏总纲!BA162</f>
        <v>41.147815539363613</v>
      </c>
      <c r="AP162" s="2">
        <f>[1]节奏总纲!BB162</f>
        <v>42.644449117684701</v>
      </c>
      <c r="AQ162" s="2">
        <f>[1]节奏总纲!BC162</f>
        <v>44.585020086822361</v>
      </c>
      <c r="AR162" s="2">
        <f>[1]节奏总纲!BD162</f>
        <v>47.328122009929508</v>
      </c>
      <c r="AS162" s="2">
        <f>[1]节奏总纲!BE162</f>
        <v>52.041079787427918</v>
      </c>
    </row>
    <row r="163" spans="2:45" x14ac:dyDescent="0.15">
      <c r="B163" s="43">
        <f>[1]节奏总纲!N163</f>
        <v>170</v>
      </c>
      <c r="C163" s="43">
        <v>160</v>
      </c>
      <c r="D163" s="43">
        <f>[1]节奏总纲!P163</f>
        <v>65535</v>
      </c>
      <c r="E163" s="43">
        <f>[1]节奏总纲!Q163</f>
        <v>65535</v>
      </c>
      <c r="F163" s="43">
        <f>[1]节奏总纲!R163</f>
        <v>66190.350000000006</v>
      </c>
      <c r="G163" s="43">
        <f>[1]节奏总纲!S163</f>
        <v>66190.350000000006</v>
      </c>
      <c r="H163" s="43">
        <f>[1]节奏总纲!T163</f>
        <v>66190.350000000006</v>
      </c>
      <c r="I163" s="43"/>
      <c r="J163" s="43">
        <v>160</v>
      </c>
      <c r="K163" s="43">
        <f>[1]节奏总纲!W163</f>
        <v>4388.7498666437605</v>
      </c>
      <c r="L163" s="43">
        <f>[1]节奏总纲!X163</f>
        <v>4388.7498666437605</v>
      </c>
      <c r="M163" s="43">
        <f>[1]节奏总纲!Y163</f>
        <v>4432.6373653102055</v>
      </c>
      <c r="N163" s="43">
        <f>[1]节奏总纲!Z163</f>
        <v>4432.6373653102055</v>
      </c>
      <c r="O163" s="43">
        <f>[1]节奏总纲!AA163</f>
        <v>4432.6373653102055</v>
      </c>
      <c r="Q163" s="1">
        <v>160</v>
      </c>
      <c r="R163" s="1">
        <f>[1]节奏总纲!AD163</f>
        <v>73.301799809099009</v>
      </c>
      <c r="S163" s="1">
        <f>[1]节奏总纲!AE163</f>
        <v>75.378486927217125</v>
      </c>
      <c r="T163" s="1">
        <f>[1]节奏总纲!AF163</f>
        <v>78.240569099946029</v>
      </c>
      <c r="U163" s="1">
        <f>[1]节奏总纲!AG163</f>
        <v>82.853333401911726</v>
      </c>
      <c r="V163" s="1">
        <f>[1]节奏总纲!AH163</f>
        <v>92.219963609487792</v>
      </c>
      <c r="AN163" s="2">
        <v>160</v>
      </c>
      <c r="AO163" s="2">
        <f>[1]节奏总纲!BA163</f>
        <v>41.188041754455355</v>
      </c>
      <c r="AP163" s="2">
        <f>[1]节奏总纲!BB163</f>
        <v>42.687840061343536</v>
      </c>
      <c r="AQ163" s="2">
        <f>[1]节奏总纲!BC163</f>
        <v>44.628112497328864</v>
      </c>
      <c r="AR163" s="2">
        <f>[1]节奏总纲!BD163</f>
        <v>47.3696970865753</v>
      </c>
      <c r="AS163" s="2">
        <f>[1]节奏总纲!BE163</f>
        <v>52.080986469020011</v>
      </c>
    </row>
    <row r="164" spans="2:45" x14ac:dyDescent="0.15"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Q164" s="1">
        <v>161</v>
      </c>
      <c r="R164" s="1">
        <f>[1]节奏总纲!AD164</f>
        <v>73.390213013956213</v>
      </c>
      <c r="S164" s="1">
        <f>[1]节奏总纲!AE164</f>
        <v>75.467599906154135</v>
      </c>
      <c r="T164" s="1">
        <f>[1]节奏总纲!AF164</f>
        <v>78.32750663515499</v>
      </c>
      <c r="U164" s="1">
        <f>[1]节奏总纲!AG164</f>
        <v>82.94620983550368</v>
      </c>
      <c r="V164" s="1">
        <f>[1]节奏总纲!AH164</f>
        <v>92.313380706625196</v>
      </c>
      <c r="AN164" s="2">
        <v>161</v>
      </c>
      <c r="AO164" s="2">
        <f>[1]节奏总纲!BA164</f>
        <v>41.228267969547105</v>
      </c>
      <c r="AP164" s="2">
        <f>[1]节奏总纲!BB164</f>
        <v>42.731231005002364</v>
      </c>
      <c r="AQ164" s="2">
        <f>[1]节奏总纲!BC164</f>
        <v>44.671204907835367</v>
      </c>
      <c r="AR164" s="2">
        <f>[1]节奏总纲!BD164</f>
        <v>47.411272163221085</v>
      </c>
      <c r="AS164" s="2">
        <f>[1]节奏总纲!BE164</f>
        <v>52.120893150612112</v>
      </c>
    </row>
    <row r="165" spans="2:45" x14ac:dyDescent="0.15">
      <c r="Q165" s="1">
        <v>162</v>
      </c>
      <c r="R165" s="1">
        <f>[1]节奏总纲!AD165</f>
        <v>73.478626218813432</v>
      </c>
      <c r="S165" s="1">
        <f>[1]节奏总纲!AE165</f>
        <v>75.556712885091159</v>
      </c>
      <c r="T165" s="1">
        <f>[1]节奏总纲!AF165</f>
        <v>78.414444170363964</v>
      </c>
      <c r="U165" s="1">
        <f>[1]节奏总纲!AG165</f>
        <v>83.036921590135321</v>
      </c>
      <c r="V165" s="1">
        <f>[1]节奏总纲!AH165</f>
        <v>92.406797803762601</v>
      </c>
      <c r="AN165" s="2">
        <v>162</v>
      </c>
      <c r="AO165" s="2">
        <f>[1]节奏总纲!BA165</f>
        <v>41.268494184638847</v>
      </c>
      <c r="AP165" s="2">
        <f>[1]节奏总纲!BB165</f>
        <v>42.774621948661192</v>
      </c>
      <c r="AQ165" s="2">
        <f>[1]节奏总纲!BC165</f>
        <v>44.714297318341877</v>
      </c>
      <c r="AR165" s="2">
        <f>[1]节奏总纲!BD165</f>
        <v>47.452847239866877</v>
      </c>
      <c r="AS165" s="2">
        <f>[1]节奏总纲!BE165</f>
        <v>52.160799832204205</v>
      </c>
    </row>
    <row r="166" spans="2:45" x14ac:dyDescent="0.15">
      <c r="Q166" s="1">
        <v>163</v>
      </c>
      <c r="R166" s="1">
        <f>[1]节奏总纲!AD166</f>
        <v>73.56703942367065</v>
      </c>
      <c r="S166" s="1">
        <f>[1]节奏总纲!AE166</f>
        <v>75.645825864028183</v>
      </c>
      <c r="T166" s="1">
        <f>[1]节奏总纲!AF166</f>
        <v>78.501381705572925</v>
      </c>
      <c r="U166" s="1">
        <f>[1]节奏总纲!AG166</f>
        <v>83.124654333465756</v>
      </c>
      <c r="V166" s="1">
        <f>[1]节奏总纲!AH166</f>
        <v>92.500214900900005</v>
      </c>
      <c r="AN166" s="2">
        <v>163</v>
      </c>
      <c r="AO166" s="2">
        <f>[1]节奏总纲!BA166</f>
        <v>41.308720399730589</v>
      </c>
      <c r="AP166" s="2">
        <f>[1]节奏总纲!BB166</f>
        <v>42.818012892320027</v>
      </c>
      <c r="AQ166" s="2">
        <f>[1]节奏总纲!BC166</f>
        <v>44.757389728848381</v>
      </c>
      <c r="AR166" s="2">
        <f>[1]节奏总纲!BD166</f>
        <v>47.494422316512662</v>
      </c>
      <c r="AS166" s="2">
        <f>[1]节奏总纲!BE166</f>
        <v>52.200706513796298</v>
      </c>
    </row>
    <row r="167" spans="2:45" x14ac:dyDescent="0.15">
      <c r="Q167" s="1">
        <v>164</v>
      </c>
      <c r="R167" s="1">
        <f>[1]节奏总纲!AD167</f>
        <v>73.655452628527868</v>
      </c>
      <c r="S167" s="1">
        <f>[1]节奏总纲!AE167</f>
        <v>75.734938842965192</v>
      </c>
      <c r="T167" s="1">
        <f>[1]节奏总纲!AF167</f>
        <v>78.5883192407819</v>
      </c>
      <c r="U167" s="1">
        <f>[1]节奏总纲!AG167</f>
        <v>83.21238707679619</v>
      </c>
      <c r="V167" s="1">
        <f>[1]节奏总纲!AH167</f>
        <v>92.593631998037409</v>
      </c>
      <c r="AN167" s="2">
        <v>164</v>
      </c>
      <c r="AO167" s="2">
        <f>[1]节奏总纲!BA167</f>
        <v>41.348946614822331</v>
      </c>
      <c r="AP167" s="2">
        <f>[1]节奏总纲!BB167</f>
        <v>42.861403835978855</v>
      </c>
      <c r="AQ167" s="2">
        <f>[1]节奏总纲!BC167</f>
        <v>44.800482139354884</v>
      </c>
      <c r="AR167" s="2">
        <f>[1]节奏总纲!BD167</f>
        <v>47.535997393158453</v>
      </c>
      <c r="AS167" s="2">
        <f>[1]节奏总纲!BE167</f>
        <v>52.240613195388391</v>
      </c>
    </row>
    <row r="168" spans="2:45" x14ac:dyDescent="0.15">
      <c r="Q168" s="1">
        <v>165</v>
      </c>
      <c r="R168" s="1">
        <f>[1]节奏总纲!AD168</f>
        <v>73.743865833385087</v>
      </c>
      <c r="S168" s="1">
        <f>[1]节奏总纲!AE168</f>
        <v>75.824051821902216</v>
      </c>
      <c r="T168" s="1">
        <f>[1]节奏总纲!AF168</f>
        <v>78.67525677599086</v>
      </c>
      <c r="U168" s="1">
        <f>[1]节奏总纲!AG168</f>
        <v>83.300119820126625</v>
      </c>
      <c r="V168" s="1">
        <f>[1]节奏总纲!AH168</f>
        <v>92.687049095174814</v>
      </c>
      <c r="AN168" s="2">
        <v>165</v>
      </c>
      <c r="AO168" s="2">
        <f>[1]节奏总纲!BA168</f>
        <v>41.389172829914081</v>
      </c>
      <c r="AP168" s="2">
        <f>[1]节奏总纲!BB168</f>
        <v>42.904794779637683</v>
      </c>
      <c r="AQ168" s="2">
        <f>[1]节奏总纲!BC168</f>
        <v>44.843574549861387</v>
      </c>
      <c r="AR168" s="2">
        <f>[1]节奏总纲!BD168</f>
        <v>47.577572469804238</v>
      </c>
      <c r="AS168" s="2">
        <f>[1]节奏总纲!BE168</f>
        <v>52.280519876980485</v>
      </c>
    </row>
    <row r="169" spans="2:45" x14ac:dyDescent="0.15">
      <c r="Q169" s="1">
        <v>166</v>
      </c>
      <c r="R169" s="1">
        <f>[1]节奏总纲!AD169</f>
        <v>73.832279038242305</v>
      </c>
      <c r="S169" s="1">
        <f>[1]节奏总纲!AE169</f>
        <v>75.91316480083924</v>
      </c>
      <c r="T169" s="1">
        <f>[1]节奏总纲!AF169</f>
        <v>78.762194311199835</v>
      </c>
      <c r="U169" s="1">
        <f>[1]节奏总纲!AG169</f>
        <v>83.387852563457059</v>
      </c>
      <c r="V169" s="1">
        <f>[1]节奏总纲!AH169</f>
        <v>92.780466192312218</v>
      </c>
      <c r="AN169" s="2">
        <v>166</v>
      </c>
      <c r="AO169" s="2">
        <f>[1]节奏总纲!BA169</f>
        <v>41.429399045005823</v>
      </c>
      <c r="AP169" s="2">
        <f>[1]节奏总纲!BB169</f>
        <v>42.948185723296518</v>
      </c>
      <c r="AQ169" s="2">
        <f>[1]节奏总纲!BC169</f>
        <v>44.88666696036789</v>
      </c>
      <c r="AR169" s="2">
        <f>[1]节奏总纲!BD169</f>
        <v>47.619147546450023</v>
      </c>
      <c r="AS169" s="2">
        <f>[1]节奏总纲!BE169</f>
        <v>52.320426558572585</v>
      </c>
    </row>
    <row r="170" spans="2:45" x14ac:dyDescent="0.15">
      <c r="Q170" s="1">
        <v>167</v>
      </c>
      <c r="R170" s="1">
        <f>[1]节奏总纲!AD170</f>
        <v>73.920692243099523</v>
      </c>
      <c r="S170" s="1">
        <f>[1]节奏总纲!AE170</f>
        <v>76.002103770254962</v>
      </c>
      <c r="T170" s="1">
        <f>[1]节奏总纲!AF170</f>
        <v>78.849131846408795</v>
      </c>
      <c r="U170" s="1">
        <f>[1]节奏总纲!AG170</f>
        <v>83.475585306787494</v>
      </c>
      <c r="V170" s="1">
        <f>[1]节奏总纲!AH170</f>
        <v>92.873883289449623</v>
      </c>
      <c r="AN170" s="2">
        <v>167</v>
      </c>
      <c r="AO170" s="2">
        <f>[1]节奏总纲!BA170</f>
        <v>41.469625260097565</v>
      </c>
      <c r="AP170" s="2">
        <f>[1]节奏总纲!BB170</f>
        <v>42.991576666955346</v>
      </c>
      <c r="AQ170" s="2">
        <f>[1]节奏总纲!BC170</f>
        <v>44.9297593708744</v>
      </c>
      <c r="AR170" s="2">
        <f>[1]节奏总纲!BD170</f>
        <v>47.660722623095815</v>
      </c>
      <c r="AS170" s="2">
        <f>[1]节奏总纲!BE170</f>
        <v>52.360333240164678</v>
      </c>
    </row>
    <row r="171" spans="2:45" x14ac:dyDescent="0.15">
      <c r="Q171" s="1">
        <v>168</v>
      </c>
      <c r="R171" s="1">
        <f>[1]节奏总纲!AD171</f>
        <v>74.008495683346354</v>
      </c>
      <c r="S171" s="1">
        <f>[1]节奏总纲!AE171</f>
        <v>76.084409020469636</v>
      </c>
      <c r="T171" s="1">
        <f>[1]节奏总纲!AF171</f>
        <v>78.93606938161777</v>
      </c>
      <c r="U171" s="1">
        <f>[1]节奏总纲!AG171</f>
        <v>83.563318050117928</v>
      </c>
      <c r="V171" s="1">
        <f>[1]节奏总纲!AH171</f>
        <v>92.967300386587027</v>
      </c>
      <c r="AN171" s="2">
        <v>168</v>
      </c>
      <c r="AO171" s="2">
        <f>[1]节奏总纲!BA171</f>
        <v>41.509851475189308</v>
      </c>
      <c r="AP171" s="2">
        <f>[1]节奏总纲!BB171</f>
        <v>43.030177309109042</v>
      </c>
      <c r="AQ171" s="2">
        <f>[1]节奏总纲!BC171</f>
        <v>44.972851781380903</v>
      </c>
      <c r="AR171" s="2">
        <f>[1]节奏总纲!BD171</f>
        <v>47.7022976997416</v>
      </c>
      <c r="AS171" s="2">
        <f>[1]节奏总纲!BE171</f>
        <v>52.400239921756771</v>
      </c>
    </row>
    <row r="172" spans="2:45" x14ac:dyDescent="0.15">
      <c r="Q172" s="1">
        <v>169</v>
      </c>
      <c r="R172" s="1">
        <f>[1]节奏总纲!AD172</f>
        <v>74.090988120365651</v>
      </c>
      <c r="S172" s="1">
        <f>[1]节奏总纲!AE172</f>
        <v>76.166714270684309</v>
      </c>
      <c r="T172" s="1">
        <f>[1]节奏总纲!AF172</f>
        <v>79.022812309215297</v>
      </c>
      <c r="U172" s="1">
        <f>[1]节奏总纲!AG172</f>
        <v>83.651050793448363</v>
      </c>
      <c r="V172" s="1">
        <f>[1]节奏总纲!AH172</f>
        <v>93.057555567360481</v>
      </c>
      <c r="AN172" s="2">
        <v>169</v>
      </c>
      <c r="AO172" s="2">
        <f>[1]节奏总纲!BA172</f>
        <v>41.550077690281057</v>
      </c>
      <c r="AP172" s="2">
        <f>[1]节奏总纲!BB172</f>
        <v>43.067624017543686</v>
      </c>
      <c r="AQ172" s="2">
        <f>[1]节奏总纲!BC172</f>
        <v>45.013762077986961</v>
      </c>
      <c r="AR172" s="2">
        <f>[1]节奏总纲!BD172</f>
        <v>47.743872776387391</v>
      </c>
      <c r="AS172" s="2">
        <f>[1]节奏总纲!BE172</f>
        <v>52.440146603348865</v>
      </c>
    </row>
    <row r="173" spans="2:45" x14ac:dyDescent="0.15">
      <c r="Q173" s="1">
        <v>170</v>
      </c>
      <c r="R173" s="1">
        <f>[1]节奏总纲!AD173</f>
        <v>74.173480557384934</v>
      </c>
      <c r="S173" s="1">
        <f>[1]节奏总纲!AE173</f>
        <v>76.249019520898997</v>
      </c>
      <c r="T173" s="1">
        <f>[1]节奏总纲!AF173</f>
        <v>79.109014469658547</v>
      </c>
      <c r="U173" s="1">
        <f>[1]节奏总纲!AG173</f>
        <v>83.738783536778797</v>
      </c>
      <c r="V173" s="1">
        <f>[1]节奏总纲!AH173</f>
        <v>93.146107887007233</v>
      </c>
      <c r="AN173" s="2">
        <v>170</v>
      </c>
      <c r="AO173" s="2">
        <f>[1]节奏总纲!BA173</f>
        <v>41.590303905372799</v>
      </c>
      <c r="AP173" s="2">
        <f>[1]节奏总纲!BB173</f>
        <v>43.105070725978337</v>
      </c>
      <c r="AQ173" s="2">
        <f>[1]节奏总纲!BC173</f>
        <v>45.050956883357138</v>
      </c>
      <c r="AR173" s="2">
        <f>[1]节奏总纲!BD173</f>
        <v>47.785447853033176</v>
      </c>
      <c r="AS173" s="2">
        <f>[1]节奏总纲!BE173</f>
        <v>52.480053284940965</v>
      </c>
    </row>
    <row r="174" spans="2:45" x14ac:dyDescent="0.15">
      <c r="Q174" s="1">
        <v>171</v>
      </c>
      <c r="R174" s="1">
        <f>[1]节奏总纲!AD174</f>
        <v>74.255972994404218</v>
      </c>
      <c r="S174" s="1">
        <f>[1]节奏总纲!AE174</f>
        <v>76.331324771113671</v>
      </c>
      <c r="T174" s="1">
        <f>[1]节奏总纲!AF174</f>
        <v>79.195216630101797</v>
      </c>
      <c r="U174" s="1">
        <f>[1]节奏总纲!AG174</f>
        <v>83.826516280109232</v>
      </c>
      <c r="V174" s="1">
        <f>[1]节奏总纲!AH174</f>
        <v>93.23466020665397</v>
      </c>
      <c r="AN174" s="2">
        <v>171</v>
      </c>
      <c r="AO174" s="2">
        <f>[1]节奏总纲!BA174</f>
        <v>41.630530120464542</v>
      </c>
      <c r="AP174" s="2">
        <f>[1]节奏总纲!BB174</f>
        <v>43.14251743441298</v>
      </c>
      <c r="AQ174" s="2">
        <f>[1]节奏总纲!BC174</f>
        <v>45.088151688727308</v>
      </c>
      <c r="AR174" s="2">
        <f>[1]节奏总纲!BD174</f>
        <v>47.827022929678968</v>
      </c>
      <c r="AS174" s="2">
        <f>[1]节奏总纲!BE174</f>
        <v>52.519959966533058</v>
      </c>
    </row>
    <row r="175" spans="2:45" x14ac:dyDescent="0.15">
      <c r="Q175" s="1">
        <v>172</v>
      </c>
      <c r="R175" s="1">
        <f>[1]节奏总纲!AD175</f>
        <v>74.338465431423501</v>
      </c>
      <c r="S175" s="1">
        <f>[1]节奏总纲!AE175</f>
        <v>76.413630021328345</v>
      </c>
      <c r="T175" s="1">
        <f>[1]节奏总纲!AF175</f>
        <v>79.281418790545047</v>
      </c>
      <c r="U175" s="1">
        <f>[1]节奏总纲!AG175</f>
        <v>83.914249023439666</v>
      </c>
      <c r="V175" s="1">
        <f>[1]节奏总纲!AH175</f>
        <v>93.323212526300722</v>
      </c>
      <c r="AN175" s="2">
        <v>172</v>
      </c>
      <c r="AO175" s="2">
        <f>[1]节奏总纲!BA175</f>
        <v>41.670756335556291</v>
      </c>
      <c r="AP175" s="2">
        <f>[1]节奏总纲!BB175</f>
        <v>43.179964142847631</v>
      </c>
      <c r="AQ175" s="2">
        <f>[1]节奏总纲!BC175</f>
        <v>45.125346494097485</v>
      </c>
      <c r="AR175" s="2">
        <f>[1]节奏总纲!BD175</f>
        <v>47.868598006324753</v>
      </c>
      <c r="AS175" s="2">
        <f>[1]节奏总纲!BE175</f>
        <v>52.559866648125151</v>
      </c>
    </row>
    <row r="176" spans="2:45" x14ac:dyDescent="0.15">
      <c r="Q176" s="1">
        <v>173</v>
      </c>
      <c r="R176" s="1">
        <f>[1]节奏总纲!AD176</f>
        <v>74.420957868442784</v>
      </c>
      <c r="S176" s="1">
        <f>[1]节奏总纲!AE176</f>
        <v>76.495935271543019</v>
      </c>
      <c r="T176" s="1">
        <f>[1]节奏总纲!AF176</f>
        <v>79.367620950988297</v>
      </c>
      <c r="U176" s="1">
        <f>[1]节奏总纲!AG176</f>
        <v>84.00179325525086</v>
      </c>
      <c r="V176" s="1">
        <f>[1]节奏总纲!AH176</f>
        <v>93.411764845947459</v>
      </c>
      <c r="AN176" s="2">
        <v>173</v>
      </c>
      <c r="AO176" s="2">
        <f>[1]节奏总纲!BA176</f>
        <v>41.710982550648033</v>
      </c>
      <c r="AP176" s="2">
        <f>[1]节奏总纲!BB176</f>
        <v>43.217410851282274</v>
      </c>
      <c r="AQ176" s="2">
        <f>[1]节奏总纲!BC176</f>
        <v>45.162541299467655</v>
      </c>
      <c r="AR176" s="2">
        <f>[1]节奏总纲!BD176</f>
        <v>47.910173082970537</v>
      </c>
      <c r="AS176" s="2">
        <f>[1]节奏总纲!BE176</f>
        <v>52.599773329717245</v>
      </c>
    </row>
    <row r="177" spans="17:45" x14ac:dyDescent="0.15">
      <c r="Q177" s="1">
        <v>174</v>
      </c>
      <c r="R177" s="1">
        <f>[1]节奏总纲!AD177</f>
        <v>74.503450305462081</v>
      </c>
      <c r="S177" s="1">
        <f>[1]节奏总纲!AE177</f>
        <v>76.578240521757706</v>
      </c>
      <c r="T177" s="1">
        <f>[1]节奏总纲!AF177</f>
        <v>79.453823111431561</v>
      </c>
      <c r="U177" s="1">
        <f>[1]节奏总纲!AG177</f>
        <v>84.08118060043364</v>
      </c>
      <c r="V177" s="1">
        <f>[1]节奏总纲!AH177</f>
        <v>93.500317165594211</v>
      </c>
      <c r="AN177" s="2">
        <v>174</v>
      </c>
      <c r="AO177" s="2">
        <f>[1]节奏总纲!BA177</f>
        <v>41.751208765739776</v>
      </c>
      <c r="AP177" s="2">
        <f>[1]节奏总纲!BB177</f>
        <v>43.254857559716925</v>
      </c>
      <c r="AQ177" s="2">
        <f>[1]节奏总纲!BC177</f>
        <v>45.199736104837832</v>
      </c>
      <c r="AR177" s="2">
        <f>[1]节奏总纲!BD177</f>
        <v>47.951748159616329</v>
      </c>
      <c r="AS177" s="2">
        <f>[1]节奏总纲!BE177</f>
        <v>52.639680011309345</v>
      </c>
    </row>
    <row r="178" spans="17:45" x14ac:dyDescent="0.15">
      <c r="Q178" s="1">
        <v>175</v>
      </c>
      <c r="R178" s="1">
        <f>[1]节奏总纲!AD178</f>
        <v>74.585942742481365</v>
      </c>
      <c r="S178" s="1">
        <f>[1]节奏总纲!AE178</f>
        <v>76.66054577197238</v>
      </c>
      <c r="T178" s="1">
        <f>[1]节奏总纲!AF178</f>
        <v>79.540025271874811</v>
      </c>
      <c r="U178" s="1">
        <f>[1]节奏总纲!AG178</f>
        <v>84.160567945616407</v>
      </c>
      <c r="V178" s="1">
        <f>[1]节奏总纲!AH178</f>
        <v>93.588869485240949</v>
      </c>
      <c r="AN178" s="2">
        <v>175</v>
      </c>
      <c r="AO178" s="2">
        <f>[1]节奏总纲!BA178</f>
        <v>41.791434980831518</v>
      </c>
      <c r="AP178" s="2">
        <f>[1]节奏总纲!BB178</f>
        <v>43.292304268151575</v>
      </c>
      <c r="AQ178" s="2">
        <f>[1]节奏总纲!BC178</f>
        <v>45.236930910208002</v>
      </c>
      <c r="AR178" s="2">
        <f>[1]节奏总纲!BD178</f>
        <v>47.993323236262114</v>
      </c>
      <c r="AS178" s="2">
        <f>[1]节奏总纲!BE178</f>
        <v>52.679586692901438</v>
      </c>
    </row>
    <row r="179" spans="17:45" x14ac:dyDescent="0.15">
      <c r="Q179" s="1">
        <v>176</v>
      </c>
      <c r="R179" s="1">
        <f>[1]节奏总纲!AD179</f>
        <v>74.668435179500648</v>
      </c>
      <c r="S179" s="1">
        <f>[1]节奏总纲!AE179</f>
        <v>76.742851022187054</v>
      </c>
      <c r="T179" s="1">
        <f>[1]节奏总纲!AF179</f>
        <v>79.626227432318061</v>
      </c>
      <c r="U179" s="1">
        <f>[1]节奏总纲!AG179</f>
        <v>84.239955290799188</v>
      </c>
      <c r="V179" s="1">
        <f>[1]节奏总纲!AH179</f>
        <v>93.6774218048877</v>
      </c>
      <c r="AN179" s="2">
        <v>176</v>
      </c>
      <c r="AO179" s="2">
        <f>[1]节奏总纲!BA179</f>
        <v>41.831661195923267</v>
      </c>
      <c r="AP179" s="2">
        <f>[1]节奏总纲!BB179</f>
        <v>43.329750976586219</v>
      </c>
      <c r="AQ179" s="2">
        <f>[1]节奏总纲!BC179</f>
        <v>45.274125715578172</v>
      </c>
      <c r="AR179" s="2">
        <f>[1]节奏总纲!BD179</f>
        <v>48.030128751164234</v>
      </c>
      <c r="AS179" s="2">
        <f>[1]节奏总纲!BE179</f>
        <v>52.719493374493531</v>
      </c>
    </row>
    <row r="180" spans="17:45" x14ac:dyDescent="0.15">
      <c r="Q180" s="1">
        <v>177</v>
      </c>
      <c r="R180" s="1">
        <f>[1]节奏总纲!AD180</f>
        <v>74.750927616519931</v>
      </c>
      <c r="S180" s="1">
        <f>[1]节奏总纲!AE180</f>
        <v>76.825156272401728</v>
      </c>
      <c r="T180" s="1">
        <f>[1]节奏总纲!AF180</f>
        <v>79.71242959276131</v>
      </c>
      <c r="U180" s="1">
        <f>[1]节奏总纲!AG180</f>
        <v>84.319342635981968</v>
      </c>
      <c r="V180" s="1">
        <f>[1]节奏总纲!AH180</f>
        <v>93.765974124534438</v>
      </c>
      <c r="AN180" s="2">
        <v>177</v>
      </c>
      <c r="AO180" s="2">
        <f>[1]节奏总纲!BA180</f>
        <v>41.87188741101501</v>
      </c>
      <c r="AP180" s="2">
        <f>[1]节奏总纲!BB180</f>
        <v>43.367197685020869</v>
      </c>
      <c r="AQ180" s="2">
        <f>[1]节奏总纲!BC180</f>
        <v>45.31132052094835</v>
      </c>
      <c r="AR180" s="2">
        <f>[1]节奏总纲!BD180</f>
        <v>48.066021750983474</v>
      </c>
      <c r="AS180" s="2">
        <f>[1]节奏总纲!BE180</f>
        <v>52.759400056085624</v>
      </c>
    </row>
    <row r="181" spans="17:45" x14ac:dyDescent="0.15">
      <c r="Q181" s="1">
        <v>178</v>
      </c>
      <c r="R181" s="1">
        <f>[1]节奏总纲!AD181</f>
        <v>74.833420053539214</v>
      </c>
      <c r="S181" s="1">
        <f>[1]节奏总纲!AE181</f>
        <v>76.907461522616416</v>
      </c>
      <c r="T181" s="1">
        <f>[1]节奏总纲!AF181</f>
        <v>79.79863175320456</v>
      </c>
      <c r="U181" s="1">
        <f>[1]节奏总纲!AG181</f>
        <v>84.398729981164735</v>
      </c>
      <c r="V181" s="1">
        <f>[1]节奏总纲!AH181</f>
        <v>93.85452644418119</v>
      </c>
      <c r="AN181" s="2">
        <v>178</v>
      </c>
      <c r="AO181" s="2">
        <f>[1]节奏总纲!BA181</f>
        <v>41.912113626106752</v>
      </c>
      <c r="AP181" s="2">
        <f>[1]节奏总纲!BB181</f>
        <v>43.404644393455513</v>
      </c>
      <c r="AQ181" s="2">
        <f>[1]节奏总纲!BC181</f>
        <v>45.34851532631852</v>
      </c>
      <c r="AR181" s="2">
        <f>[1]节奏总纲!BD181</f>
        <v>48.101914750802706</v>
      </c>
      <c r="AS181" s="2">
        <f>[1]节奏总纲!BE181</f>
        <v>52.799306737677718</v>
      </c>
    </row>
    <row r="182" spans="17:45" x14ac:dyDescent="0.15">
      <c r="Q182" s="1">
        <v>179</v>
      </c>
      <c r="R182" s="1">
        <f>[1]节奏总纲!AD182</f>
        <v>74.915912490558512</v>
      </c>
      <c r="S182" s="1">
        <f>[1]节奏总纲!AE182</f>
        <v>76.989766772831089</v>
      </c>
      <c r="T182" s="1">
        <f>[1]节奏总纲!AF182</f>
        <v>79.88483391364781</v>
      </c>
      <c r="U182" s="1">
        <f>[1]节奏总纲!AG182</f>
        <v>84.478117326347515</v>
      </c>
      <c r="V182" s="1">
        <f>[1]节奏总纲!AH182</f>
        <v>93.943078763827941</v>
      </c>
      <c r="AN182" s="2">
        <v>179</v>
      </c>
      <c r="AO182" s="2">
        <f>[1]节奏总纲!BA182</f>
        <v>41.952339841198494</v>
      </c>
      <c r="AP182" s="2">
        <f>[1]节奏总纲!BB182</f>
        <v>43.442091101890163</v>
      </c>
      <c r="AQ182" s="2">
        <f>[1]节奏总纲!BC182</f>
        <v>45.385710131688697</v>
      </c>
      <c r="AR182" s="2">
        <f>[1]节奏总纲!BD182</f>
        <v>48.137807750621946</v>
      </c>
      <c r="AS182" s="2">
        <f>[1]节奏总纲!BE182</f>
        <v>52.839213419269818</v>
      </c>
    </row>
    <row r="183" spans="17:45" x14ac:dyDescent="0.15">
      <c r="Q183" s="1">
        <v>180</v>
      </c>
      <c r="R183" s="1">
        <f>[1]节奏总纲!AD183</f>
        <v>74.998404927577795</v>
      </c>
      <c r="S183" s="1">
        <f>[1]节奏总纲!AE183</f>
        <v>77.06778397927944</v>
      </c>
      <c r="T183" s="1">
        <f>[1]节奏总纲!AF183</f>
        <v>79.97103607409106</v>
      </c>
      <c r="U183" s="1">
        <f>[1]节奏总纲!AG183</f>
        <v>84.557504671530296</v>
      </c>
      <c r="V183" s="1">
        <f>[1]节奏总纲!AH183</f>
        <v>94.027056817114342</v>
      </c>
      <c r="AN183" s="2">
        <v>180</v>
      </c>
      <c r="AO183" s="2">
        <f>[1]节奏总纲!BA183</f>
        <v>41.992566056290244</v>
      </c>
      <c r="AP183" s="2">
        <f>[1]节奏总纲!BB183</f>
        <v>43.479537810324807</v>
      </c>
      <c r="AQ183" s="2">
        <f>[1]节奏总纲!BC183</f>
        <v>45.422904937058867</v>
      </c>
      <c r="AR183" s="2">
        <f>[1]节奏总纲!BD183</f>
        <v>48.173700750441178</v>
      </c>
      <c r="AS183" s="2">
        <f>[1]节奏总纲!BE183</f>
        <v>52.879120100861911</v>
      </c>
    </row>
    <row r="184" spans="17:45" x14ac:dyDescent="0.15">
      <c r="Q184" s="1">
        <v>181</v>
      </c>
      <c r="R184" s="1">
        <f>[1]节奏总纲!AD184</f>
        <v>75.075479910097457</v>
      </c>
      <c r="S184" s="1">
        <f>[1]节奏总纲!AE184</f>
        <v>77.145192343015793</v>
      </c>
      <c r="T184" s="1">
        <f>[1]节奏总纲!AF184</f>
        <v>80.053817475702374</v>
      </c>
      <c r="U184" s="1">
        <f>[1]节奏总纲!AG184</f>
        <v>84.636892016713063</v>
      </c>
      <c r="V184" s="1">
        <f>[1]节奏总纲!AH184</f>
        <v>94.102803318799971</v>
      </c>
      <c r="AN184" s="2">
        <v>181</v>
      </c>
      <c r="AO184" s="2">
        <f>[1]节奏总纲!BA184</f>
        <v>42.028297717729309</v>
      </c>
      <c r="AP184" s="2">
        <f>[1]节奏总纲!BB184</f>
        <v>43.516984518759458</v>
      </c>
      <c r="AQ184" s="2">
        <f>[1]节奏总纲!BC184</f>
        <v>45.460099742429037</v>
      </c>
      <c r="AR184" s="2">
        <f>[1]节奏总纲!BD184</f>
        <v>48.209593750260417</v>
      </c>
      <c r="AS184" s="2">
        <f>[1]节奏总纲!BE184</f>
        <v>52.919026782454004</v>
      </c>
    </row>
    <row r="185" spans="17:45" x14ac:dyDescent="0.15">
      <c r="Q185" s="1">
        <v>182</v>
      </c>
      <c r="R185" s="1">
        <f>[1]节奏总纲!AD185</f>
        <v>75.152448075388719</v>
      </c>
      <c r="S185" s="1">
        <f>[1]节奏总纲!AE185</f>
        <v>77.222600706752132</v>
      </c>
      <c r="T185" s="1">
        <f>[1]节奏总纲!AF185</f>
        <v>80.134867890916794</v>
      </c>
      <c r="U185" s="1">
        <f>[1]节奏总纲!AG185</f>
        <v>84.716279361895843</v>
      </c>
      <c r="V185" s="1">
        <f>[1]节奏总纲!AH185</f>
        <v>94.1785498204856</v>
      </c>
      <c r="AN185" s="2">
        <v>182</v>
      </c>
      <c r="AO185" s="2">
        <f>[1]节奏总纲!BA185</f>
        <v>42.063010472656373</v>
      </c>
      <c r="AP185" s="2">
        <f>[1]节奏总纲!BB185</f>
        <v>43.554431227194108</v>
      </c>
      <c r="AQ185" s="2">
        <f>[1]节奏总纲!BC185</f>
        <v>45.497294547799214</v>
      </c>
      <c r="AR185" s="2">
        <f>[1]节奏总纲!BD185</f>
        <v>48.24548675007965</v>
      </c>
      <c r="AS185" s="2">
        <f>[1]节奏总纲!BE185</f>
        <v>52.958933464046098</v>
      </c>
    </row>
    <row r="186" spans="17:45" x14ac:dyDescent="0.15">
      <c r="Q186" s="1">
        <v>183</v>
      </c>
      <c r="R186" s="1">
        <f>[1]节奏总纲!AD186</f>
        <v>75.229416240679981</v>
      </c>
      <c r="S186" s="1">
        <f>[1]节奏总纲!AE186</f>
        <v>77.300009070488485</v>
      </c>
      <c r="T186" s="1">
        <f>[1]节奏总纲!AF186</f>
        <v>80.215918306131215</v>
      </c>
      <c r="U186" s="1">
        <f>[1]节奏总纲!AG186</f>
        <v>84.795666707078624</v>
      </c>
      <c r="V186" s="1">
        <f>[1]节奏总纲!AH186</f>
        <v>94.254296322171228</v>
      </c>
      <c r="AN186" s="2">
        <v>183</v>
      </c>
      <c r="AO186" s="2">
        <f>[1]节奏总纲!BA186</f>
        <v>42.097723227583437</v>
      </c>
      <c r="AP186" s="2">
        <f>[1]节奏总纲!BB186</f>
        <v>43.591877935628752</v>
      </c>
      <c r="AQ186" s="2">
        <f>[1]节奏总纲!BC186</f>
        <v>45.534489353169384</v>
      </c>
      <c r="AR186" s="2">
        <f>[1]节奏总纲!BD186</f>
        <v>48.281379749898889</v>
      </c>
      <c r="AS186" s="2">
        <f>[1]节奏总纲!BE186</f>
        <v>52.998840145638198</v>
      </c>
    </row>
    <row r="187" spans="17:45" x14ac:dyDescent="0.15">
      <c r="Q187" s="1">
        <v>184</v>
      </c>
      <c r="R187" s="1">
        <f>[1]节奏总纲!AD187</f>
        <v>75.306384405971258</v>
      </c>
      <c r="S187" s="1">
        <f>[1]节奏总纲!AE187</f>
        <v>77.377417434224824</v>
      </c>
      <c r="T187" s="1">
        <f>[1]节奏总纲!AF187</f>
        <v>80.296968721345635</v>
      </c>
      <c r="U187" s="1">
        <f>[1]节奏总纲!AG187</f>
        <v>84.87505405226139</v>
      </c>
      <c r="V187" s="1">
        <f>[1]节奏总纲!AH187</f>
        <v>94.330042823856857</v>
      </c>
      <c r="AN187" s="2">
        <v>184</v>
      </c>
      <c r="AO187" s="2">
        <f>[1]节奏总纲!BA187</f>
        <v>42.132435982510501</v>
      </c>
      <c r="AP187" s="2">
        <f>[1]节奏总纲!BB187</f>
        <v>43.629324644063402</v>
      </c>
      <c r="AQ187" s="2">
        <f>[1]节奏总纲!BC187</f>
        <v>45.571684158539561</v>
      </c>
      <c r="AR187" s="2">
        <f>[1]节奏总纲!BD187</f>
        <v>48.317272749718121</v>
      </c>
      <c r="AS187" s="2">
        <f>[1]节奏总纲!BE187</f>
        <v>53.033462597729766</v>
      </c>
    </row>
    <row r="188" spans="17:45" x14ac:dyDescent="0.15">
      <c r="Q188" s="1">
        <v>185</v>
      </c>
      <c r="R188" s="1">
        <f>[1]节奏总纲!AD188</f>
        <v>75.38335257126252</v>
      </c>
      <c r="S188" s="1">
        <f>[1]节奏总纲!AE188</f>
        <v>77.454825797961163</v>
      </c>
      <c r="T188" s="1">
        <f>[1]节奏总纲!AF188</f>
        <v>80.378019136560056</v>
      </c>
      <c r="U188" s="1">
        <f>[1]节奏总纲!AG188</f>
        <v>84.954441397444171</v>
      </c>
      <c r="V188" s="1">
        <f>[1]节奏总纲!AH188</f>
        <v>94.405789325542486</v>
      </c>
      <c r="AN188" s="2">
        <v>185</v>
      </c>
      <c r="AO188" s="2">
        <f>[1]节奏总纲!BA188</f>
        <v>42.167148737437564</v>
      </c>
      <c r="AP188" s="2">
        <f>[1]节奏总纲!BB188</f>
        <v>43.666771352498046</v>
      </c>
      <c r="AQ188" s="2">
        <f>[1]节奏总纲!BC188</f>
        <v>45.608878963909731</v>
      </c>
      <c r="AR188" s="2">
        <f>[1]节奏总纲!BD188</f>
        <v>48.353165749537354</v>
      </c>
      <c r="AS188" s="2">
        <f>[1]节奏总纲!BE188</f>
        <v>53.067926870763252</v>
      </c>
    </row>
    <row r="189" spans="17:45" x14ac:dyDescent="0.15">
      <c r="Q189" s="1">
        <v>186</v>
      </c>
      <c r="R189" s="1">
        <f>[1]节奏总纲!AD189</f>
        <v>75.460320736553783</v>
      </c>
      <c r="S189" s="1">
        <f>[1]节奏总纲!AE189</f>
        <v>77.532234161697517</v>
      </c>
      <c r="T189" s="1">
        <f>[1]节奏总纲!AF189</f>
        <v>80.459069551774476</v>
      </c>
      <c r="U189" s="1">
        <f>[1]节奏总纲!AG189</f>
        <v>85.030832425973387</v>
      </c>
      <c r="V189" s="1">
        <f>[1]节奏总纲!AH189</f>
        <v>94.4815358272281</v>
      </c>
      <c r="AN189" s="2">
        <v>186</v>
      </c>
      <c r="AO189" s="2">
        <f>[1]节奏总纲!BA189</f>
        <v>42.201861492364635</v>
      </c>
      <c r="AP189" s="2">
        <f>[1]节奏总纲!BB189</f>
        <v>43.704218060932696</v>
      </c>
      <c r="AQ189" s="2">
        <f>[1]节奏总纲!BC189</f>
        <v>45.646073769279901</v>
      </c>
      <c r="AR189" s="2">
        <f>[1]节奏总纲!BD189</f>
        <v>48.389058749356593</v>
      </c>
      <c r="AS189" s="2">
        <f>[1]节奏总纲!BE189</f>
        <v>53.102391143796744</v>
      </c>
    </row>
    <row r="190" spans="17:45" x14ac:dyDescent="0.15">
      <c r="Q190" s="1">
        <v>187</v>
      </c>
      <c r="R190" s="1">
        <f>[1]节奏总纲!AD190</f>
        <v>75.537288901845045</v>
      </c>
      <c r="S190" s="1">
        <f>[1]节奏总纲!AE190</f>
        <v>77.609642525433856</v>
      </c>
      <c r="T190" s="1">
        <f>[1]节奏总纲!AF190</f>
        <v>80.540119966988897</v>
      </c>
      <c r="U190" s="1">
        <f>[1]节奏总纲!AG190</f>
        <v>85.103188187775231</v>
      </c>
      <c r="V190" s="1">
        <f>[1]节奏总纲!AH190</f>
        <v>94.557282328913729</v>
      </c>
      <c r="AN190" s="2">
        <v>187</v>
      </c>
      <c r="AO190" s="2">
        <f>[1]节奏总纲!BA190</f>
        <v>42.236574247291699</v>
      </c>
      <c r="AP190" s="2">
        <f>[1]节奏总纲!BB190</f>
        <v>43.741664769367347</v>
      </c>
      <c r="AQ190" s="2">
        <f>[1]节奏总纲!BC190</f>
        <v>45.683268574650079</v>
      </c>
      <c r="AR190" s="2">
        <f>[1]节奏总纲!BD190</f>
        <v>48.424951749175825</v>
      </c>
      <c r="AS190" s="2">
        <f>[1]节奏总纲!BE190</f>
        <v>53.13685541683023</v>
      </c>
    </row>
    <row r="191" spans="17:45" x14ac:dyDescent="0.15">
      <c r="Q191" s="1">
        <v>188</v>
      </c>
      <c r="R191" s="1">
        <f>[1]节奏总纲!AD191</f>
        <v>75.614257067136322</v>
      </c>
      <c r="S191" s="1">
        <f>[1]节奏总纲!AE191</f>
        <v>77.687050889170209</v>
      </c>
      <c r="T191" s="1">
        <f>[1]节奏总纲!AF191</f>
        <v>80.621170382203317</v>
      </c>
      <c r="U191" s="1">
        <f>[1]节奏总纲!AG191</f>
        <v>85.175543949577076</v>
      </c>
      <c r="V191" s="1">
        <f>[1]节奏总纲!AH191</f>
        <v>94.633028830599358</v>
      </c>
      <c r="AN191" s="2">
        <v>188</v>
      </c>
      <c r="AO191" s="2">
        <f>[1]节奏总纲!BA191</f>
        <v>42.271287002218763</v>
      </c>
      <c r="AP191" s="2">
        <f>[1]节奏总纲!BB191</f>
        <v>43.77911147780199</v>
      </c>
      <c r="AQ191" s="2">
        <f>[1]节奏总纲!BC191</f>
        <v>45.720463380020249</v>
      </c>
      <c r="AR191" s="2">
        <f>[1]节奏总纲!BD191</f>
        <v>48.460844748995065</v>
      </c>
      <c r="AS191" s="2">
        <f>[1]节奏总纲!BE191</f>
        <v>53.171319689863722</v>
      </c>
    </row>
    <row r="192" spans="17:45" x14ac:dyDescent="0.15">
      <c r="Q192" s="1">
        <v>189</v>
      </c>
      <c r="R192" s="1">
        <f>[1]节奏总纲!AD192</f>
        <v>75.691225232427584</v>
      </c>
      <c r="S192" s="1">
        <f>[1]节奏总纲!AE192</f>
        <v>77.764459252906548</v>
      </c>
      <c r="T192" s="1">
        <f>[1]节奏总纲!AF192</f>
        <v>80.702220797417738</v>
      </c>
      <c r="U192" s="1">
        <f>[1]节奏总纲!AG192</f>
        <v>85.247899711378935</v>
      </c>
      <c r="V192" s="1">
        <f>[1]节奏总纲!AH192</f>
        <v>94.708775332284986</v>
      </c>
      <c r="AN192" s="2">
        <v>189</v>
      </c>
      <c r="AO192" s="2">
        <f>[1]节奏总纲!BA192</f>
        <v>42.305999757145827</v>
      </c>
      <c r="AP192" s="2">
        <f>[1]节奏总纲!BB192</f>
        <v>43.816558186236641</v>
      </c>
      <c r="AQ192" s="2">
        <f>[1]节奏总纲!BC192</f>
        <v>45.757658185390426</v>
      </c>
      <c r="AR192" s="2">
        <f>[1]节奏总纲!BD192</f>
        <v>48.496737748814297</v>
      </c>
      <c r="AS192" s="2">
        <f>[1]节奏总纲!BE192</f>
        <v>53.205783962897208</v>
      </c>
    </row>
    <row r="193" spans="17:45" x14ac:dyDescent="0.15">
      <c r="Q193" s="1">
        <v>190</v>
      </c>
      <c r="R193" s="1">
        <f>[1]节奏总纲!AD193</f>
        <v>75.768193397718846</v>
      </c>
      <c r="S193" s="1">
        <f>[1]节奏总纲!AE193</f>
        <v>77.841867616642901</v>
      </c>
      <c r="T193" s="1">
        <f>[1]节奏总纲!AF193</f>
        <v>80.783271212632158</v>
      </c>
      <c r="U193" s="1">
        <f>[1]节奏总纲!AG193</f>
        <v>85.320255473180779</v>
      </c>
      <c r="V193" s="1">
        <f>[1]节奏总纲!AH193</f>
        <v>94.784521833970615</v>
      </c>
      <c r="AN193" s="2">
        <v>190</v>
      </c>
      <c r="AO193" s="2">
        <f>[1]节奏总纲!BA193</f>
        <v>42.340712512072891</v>
      </c>
      <c r="AP193" s="2">
        <f>[1]节奏总纲!BB193</f>
        <v>43.854004894671284</v>
      </c>
      <c r="AQ193" s="2">
        <f>[1]节奏总纲!BC193</f>
        <v>45.794852990760596</v>
      </c>
      <c r="AR193" s="2">
        <f>[1]节奏总纲!BD193</f>
        <v>48.532630748633537</v>
      </c>
      <c r="AS193" s="2">
        <f>[1]节奏总纲!BE193</f>
        <v>53.240248235930693</v>
      </c>
    </row>
    <row r="194" spans="17:45" x14ac:dyDescent="0.15">
      <c r="Q194" s="1">
        <v>191</v>
      </c>
      <c r="R194" s="1">
        <f>[1]节奏总纲!AD194</f>
        <v>75.845161563010109</v>
      </c>
      <c r="S194" s="1">
        <f>[1]节奏总纲!AE194</f>
        <v>77.91927598037924</v>
      </c>
      <c r="T194" s="1">
        <f>[1]节奏总纲!AF194</f>
        <v>80.864321627846579</v>
      </c>
      <c r="U194" s="1">
        <f>[1]节奏总纲!AG194</f>
        <v>85.392611234982624</v>
      </c>
      <c r="V194" s="1">
        <f>[1]节奏总纲!AH194</f>
        <v>94.860268335656244</v>
      </c>
      <c r="AN194" s="2">
        <v>191</v>
      </c>
      <c r="AO194" s="2">
        <f>[1]节奏总纲!BA194</f>
        <v>42.375425266999954</v>
      </c>
      <c r="AP194" s="2">
        <f>[1]节奏总纲!BB194</f>
        <v>43.891451603105935</v>
      </c>
      <c r="AQ194" s="2">
        <f>[1]节奏总纲!BC194</f>
        <v>45.832047796130773</v>
      </c>
      <c r="AR194" s="2">
        <f>[1]节奏总纲!BD194</f>
        <v>48.568523748452769</v>
      </c>
      <c r="AS194" s="2">
        <f>[1]节奏总纲!BE194</f>
        <v>53.274712508964186</v>
      </c>
    </row>
    <row r="195" spans="17:45" x14ac:dyDescent="0.15">
      <c r="Q195" s="1">
        <v>192</v>
      </c>
      <c r="R195" s="1">
        <f>[1]节奏总纲!AD195</f>
        <v>75.922129728301385</v>
      </c>
      <c r="S195" s="1">
        <f>[1]节奏总纲!AE195</f>
        <v>77.996684344115593</v>
      </c>
      <c r="T195" s="1">
        <f>[1]节奏总纲!AF195</f>
        <v>80.945372043060999</v>
      </c>
      <c r="U195" s="1">
        <f>[1]节奏总纲!AG195</f>
        <v>85.464966996784469</v>
      </c>
      <c r="V195" s="1">
        <f>[1]节奏总纲!AH195</f>
        <v>94.936014837341872</v>
      </c>
      <c r="AN195" s="2">
        <v>192</v>
      </c>
      <c r="AO195" s="2">
        <f>[1]节奏总纲!BA195</f>
        <v>42.410138021927018</v>
      </c>
      <c r="AP195" s="2">
        <f>[1]节奏总纲!BB195</f>
        <v>43.928898311540578</v>
      </c>
      <c r="AQ195" s="2">
        <f>[1]节奏总纲!BC195</f>
        <v>45.869242601500943</v>
      </c>
      <c r="AR195" s="2">
        <f>[1]节奏总纲!BD195</f>
        <v>48.604416748272008</v>
      </c>
      <c r="AS195" s="2">
        <f>[1]节奏总纲!BE195</f>
        <v>53.309176781997671</v>
      </c>
    </row>
    <row r="196" spans="17:45" x14ac:dyDescent="0.15">
      <c r="Q196" s="1">
        <v>193</v>
      </c>
      <c r="R196" s="1">
        <f>[1]节奏总纲!AD196</f>
        <v>75.999097893592648</v>
      </c>
      <c r="S196" s="1">
        <f>[1]节奏总纲!AE196</f>
        <v>78.068193736526268</v>
      </c>
      <c r="T196" s="1">
        <f>[1]节奏总纲!AF196</f>
        <v>81.02378934476593</v>
      </c>
      <c r="U196" s="1">
        <f>[1]节奏总纲!AG196</f>
        <v>85.537322758586328</v>
      </c>
      <c r="V196" s="1">
        <f>[1]节奏总纲!AH196</f>
        <v>95.011078787937279</v>
      </c>
      <c r="AN196" s="2">
        <v>193</v>
      </c>
      <c r="AO196" s="2">
        <f>[1]节奏总纲!BA196</f>
        <v>42.444850776854082</v>
      </c>
      <c r="AP196" s="2">
        <f>[1]节奏总纲!BB196</f>
        <v>43.966345019975229</v>
      </c>
      <c r="AQ196" s="2">
        <f>[1]节奏总纲!BC196</f>
        <v>45.906437406871113</v>
      </c>
      <c r="AR196" s="2">
        <f>[1]节奏总纲!BD196</f>
        <v>48.640309748091241</v>
      </c>
      <c r="AS196" s="2">
        <f>[1]节奏总纲!BE196</f>
        <v>53.343641055031163</v>
      </c>
    </row>
    <row r="197" spans="17:45" x14ac:dyDescent="0.15">
      <c r="Q197" s="1">
        <v>194</v>
      </c>
      <c r="R197" s="1">
        <f>[1]节奏总纲!AD197</f>
        <v>76.070972142474872</v>
      </c>
      <c r="S197" s="1">
        <f>[1]节奏总纲!AE197</f>
        <v>78.139439149396253</v>
      </c>
      <c r="T197" s="1">
        <f>[1]节奏总纲!AF197</f>
        <v>81.096762731680187</v>
      </c>
      <c r="U197" s="1">
        <f>[1]节奏总纲!AG197</f>
        <v>85.609678520388172</v>
      </c>
      <c r="V197" s="1">
        <f>[1]节奏总纲!AH197</f>
        <v>95.082429458741387</v>
      </c>
      <c r="AN197" s="2">
        <v>194</v>
      </c>
      <c r="AO197" s="2">
        <f>[1]节奏总纲!BA197</f>
        <v>42.479563531781146</v>
      </c>
      <c r="AP197" s="2">
        <f>[1]节奏总纲!BB197</f>
        <v>44.003272544984547</v>
      </c>
      <c r="AQ197" s="2">
        <f>[1]节奏总纲!BC197</f>
        <v>45.94363221224129</v>
      </c>
      <c r="AR197" s="2">
        <f>[1]节奏总纲!BD197</f>
        <v>48.67620274791048</v>
      </c>
      <c r="AS197" s="2">
        <f>[1]节奏总纲!BE197</f>
        <v>53.378105328064649</v>
      </c>
    </row>
    <row r="198" spans="17:45" x14ac:dyDescent="0.15">
      <c r="Q198" s="1">
        <v>195</v>
      </c>
      <c r="R198" s="1">
        <f>[1]节奏总纲!AD198</f>
        <v>76.142785979989682</v>
      </c>
      <c r="S198" s="1">
        <f>[1]节奏总纲!AE198</f>
        <v>78.210684562266223</v>
      </c>
      <c r="T198" s="1">
        <f>[1]节奏总纲!AF198</f>
        <v>81.169736118594443</v>
      </c>
      <c r="U198" s="1">
        <f>[1]节奏总纲!AG198</f>
        <v>85.682034282190017</v>
      </c>
      <c r="V198" s="1">
        <f>[1]节奏总纲!AH198</f>
        <v>95.153780129545481</v>
      </c>
      <c r="AN198" s="2">
        <v>195</v>
      </c>
      <c r="AO198" s="2">
        <f>[1]节奏总纲!BA198</f>
        <v>42.51427628670821</v>
      </c>
      <c r="AP198" s="2">
        <f>[1]节奏总纲!BB198</f>
        <v>44.035591852864428</v>
      </c>
      <c r="AQ198" s="2">
        <f>[1]节奏总纲!BC198</f>
        <v>45.98082701761146</v>
      </c>
      <c r="AR198" s="2">
        <f>[1]节奏总纲!BD198</f>
        <v>48.712095747729713</v>
      </c>
      <c r="AS198" s="2">
        <f>[1]节奏总纲!BE198</f>
        <v>53.412569601098134</v>
      </c>
    </row>
    <row r="199" spans="17:45" x14ac:dyDescent="0.15">
      <c r="Q199" s="1">
        <v>196</v>
      </c>
      <c r="R199" s="1">
        <f>[1]节奏总纲!AD199</f>
        <v>76.214599817504492</v>
      </c>
      <c r="S199" s="1">
        <f>[1]节奏总纲!AE199</f>
        <v>78.281929975136208</v>
      </c>
      <c r="T199" s="1">
        <f>[1]节奏总纲!AF199</f>
        <v>81.242709505508685</v>
      </c>
      <c r="U199" s="1">
        <f>[1]节奏总纲!AG199</f>
        <v>85.754390043991862</v>
      </c>
      <c r="V199" s="1">
        <f>[1]节奏总纲!AH199</f>
        <v>95.225130800349589</v>
      </c>
      <c r="AN199" s="2">
        <v>196</v>
      </c>
      <c r="AO199" s="2">
        <f>[1]节奏总纲!BA199</f>
        <v>42.548989041635274</v>
      </c>
      <c r="AP199" s="2">
        <f>[1]节奏总纲!BB199</f>
        <v>44.067911160744309</v>
      </c>
      <c r="AQ199" s="2">
        <f>[1]节奏总纲!BC199</f>
        <v>46.01555652579863</v>
      </c>
      <c r="AR199" s="2">
        <f>[1]节奏总纲!BD199</f>
        <v>48.747988747548945</v>
      </c>
      <c r="AS199" s="2">
        <f>[1]节奏总纲!BE199</f>
        <v>53.447033874131627</v>
      </c>
    </row>
    <row r="200" spans="17:45" x14ac:dyDescent="0.15">
      <c r="Q200" s="1">
        <v>197</v>
      </c>
      <c r="R200" s="1">
        <f>[1]节奏总纲!AD200</f>
        <v>76.286413655019302</v>
      </c>
      <c r="S200" s="1">
        <f>[1]节奏总纲!AE200</f>
        <v>78.353175388006179</v>
      </c>
      <c r="T200" s="1">
        <f>[1]节奏总纲!AF200</f>
        <v>81.315682892422942</v>
      </c>
      <c r="U200" s="1">
        <f>[1]节奏总纲!AG200</f>
        <v>85.82674580579372</v>
      </c>
      <c r="V200" s="1">
        <f>[1]节奏总纲!AH200</f>
        <v>95.296481471153683</v>
      </c>
      <c r="AN200" s="2">
        <v>197</v>
      </c>
      <c r="AO200" s="2">
        <f>[1]节奏总纲!BA200</f>
        <v>42.583701796562345</v>
      </c>
      <c r="AP200" s="2">
        <f>[1]节奏总纲!BB200</f>
        <v>44.100230468624183</v>
      </c>
      <c r="AQ200" s="2">
        <f>[1]节奏总纲!BC200</f>
        <v>46.047663263829847</v>
      </c>
      <c r="AR200" s="2">
        <f>[1]节奏总纲!BD200</f>
        <v>48.783881747368184</v>
      </c>
      <c r="AS200" s="2">
        <f>[1]节奏总纲!BE200</f>
        <v>53.481498147165112</v>
      </c>
    </row>
    <row r="201" spans="17:45" x14ac:dyDescent="0.15">
      <c r="Q201" s="1">
        <v>198</v>
      </c>
      <c r="R201" s="1">
        <f>[1]节奏总纲!AD201</f>
        <v>76.358227492534112</v>
      </c>
      <c r="S201" s="1">
        <f>[1]节奏总纲!AE201</f>
        <v>78.424420800876163</v>
      </c>
      <c r="T201" s="1">
        <f>[1]节奏总纲!AF201</f>
        <v>81.388656279337198</v>
      </c>
      <c r="U201" s="1">
        <f>[1]节奏总纲!AG201</f>
        <v>85.899101567595565</v>
      </c>
      <c r="V201" s="1">
        <f>[1]节奏总纲!AH201</f>
        <v>95.367832141957777</v>
      </c>
      <c r="AN201" s="2">
        <v>198</v>
      </c>
      <c r="AO201" s="2">
        <f>[1]节奏总纲!BA201</f>
        <v>42.618414551489408</v>
      </c>
      <c r="AP201" s="2">
        <f>[1]节奏总纲!BB201</f>
        <v>44.132549776504064</v>
      </c>
      <c r="AQ201" s="2">
        <f>[1]节奏总纲!BC201</f>
        <v>46.079770001861057</v>
      </c>
      <c r="AR201" s="2">
        <f>[1]节奏总纲!BD201</f>
        <v>48.819774747187417</v>
      </c>
      <c r="AS201" s="2">
        <f>[1]节奏总纲!BE201</f>
        <v>53.515962420198605</v>
      </c>
    </row>
    <row r="202" spans="17:45" x14ac:dyDescent="0.15">
      <c r="Q202" s="1">
        <v>199</v>
      </c>
      <c r="R202" s="1">
        <f>[1]节奏总纲!AD202</f>
        <v>76.430041330048923</v>
      </c>
      <c r="S202" s="1">
        <f>[1]节奏总纲!AE202</f>
        <v>78.495666213746148</v>
      </c>
      <c r="T202" s="1">
        <f>[1]节奏总纲!AF202</f>
        <v>81.461629666251454</v>
      </c>
      <c r="U202" s="1">
        <f>[1]节奏总纲!AG202</f>
        <v>85.97145732939741</v>
      </c>
      <c r="V202" s="1">
        <f>[1]节奏总纲!AH202</f>
        <v>95.439182812761885</v>
      </c>
      <c r="AN202" s="2">
        <v>199</v>
      </c>
      <c r="AO202" s="2">
        <f>[1]节奏总纲!BA202</f>
        <v>42.653127306416472</v>
      </c>
      <c r="AP202" s="2">
        <f>[1]节奏总纲!BB202</f>
        <v>44.164869084383938</v>
      </c>
      <c r="AQ202" s="2">
        <f>[1]节奏总纲!BC202</f>
        <v>46.111876739892267</v>
      </c>
      <c r="AR202" s="2">
        <f>[1]节奏总纲!BD202</f>
        <v>48.855667747006656</v>
      </c>
      <c r="AS202" s="2">
        <f>[1]节奏总纲!BE202</f>
        <v>53.55042669323209</v>
      </c>
    </row>
    <row r="203" spans="17:45" x14ac:dyDescent="0.15">
      <c r="Q203" s="1">
        <v>200</v>
      </c>
      <c r="R203" s="1">
        <f>[1]节奏总纲!AD203</f>
        <v>76.501855167563733</v>
      </c>
      <c r="S203" s="1">
        <f>[1]节奏总纲!AE203</f>
        <v>78.566911626616118</v>
      </c>
      <c r="T203" s="1">
        <f>[1]节奏总纲!AF203</f>
        <v>81.534603053165696</v>
      </c>
      <c r="U203" s="1">
        <f>[1]节奏总纲!AG203</f>
        <v>86.045919706798657</v>
      </c>
      <c r="V203" s="1">
        <f>[1]节奏总纲!AH203</f>
        <v>95.510533483565979</v>
      </c>
      <c r="AN203" s="2">
        <v>200</v>
      </c>
      <c r="AO203" s="2">
        <f>[1]节奏总纲!BA203</f>
        <v>42.687840061343536</v>
      </c>
      <c r="AP203" s="2">
        <f>[1]节奏总纲!BB203</f>
        <v>44.197188392263818</v>
      </c>
      <c r="AQ203" s="2">
        <f>[1]节奏总纲!BC203</f>
        <v>46.143983477923484</v>
      </c>
      <c r="AR203" s="2">
        <f>[1]节奏总纲!BD203</f>
        <v>48.891560746825888</v>
      </c>
      <c r="AS203" s="2">
        <f>[1]节奏总纲!BE203</f>
        <v>53.584890966265583</v>
      </c>
    </row>
    <row r="204" spans="17:45" x14ac:dyDescent="0.15">
      <c r="Q204" s="1">
        <v>201</v>
      </c>
      <c r="R204" s="1">
        <f>[1]节奏总纲!AD204</f>
        <v>76.573669005078543</v>
      </c>
      <c r="S204" s="1">
        <f>[1]节奏总纲!AE204</f>
        <v>78.638157039486103</v>
      </c>
      <c r="T204" s="1">
        <f>[1]节奏总纲!AF204</f>
        <v>81.607576440079953</v>
      </c>
      <c r="U204" s="1">
        <f>[1]节奏总纲!AG204</f>
        <v>86.121754469336281</v>
      </c>
      <c r="V204" s="1">
        <f>[1]节奏总纲!AH204</f>
        <v>95.581884154370087</v>
      </c>
      <c r="AN204" s="2">
        <v>201</v>
      </c>
      <c r="AO204" s="2">
        <f>[1]节奏总纲!BA204</f>
        <v>42.7225528162706</v>
      </c>
      <c r="AP204" s="2">
        <f>[1]节奏总纲!BB204</f>
        <v>44.229507700143699</v>
      </c>
      <c r="AQ204" s="2">
        <f>[1]节奏总纲!BC204</f>
        <v>46.176090215954694</v>
      </c>
      <c r="AR204" s="2">
        <f>[1]节奏总纲!BD204</f>
        <v>48.927453746645128</v>
      </c>
      <c r="AS204" s="2">
        <f>[1]节奏总纲!BE204</f>
        <v>53.619355239299068</v>
      </c>
    </row>
    <row r="205" spans="17:45" x14ac:dyDescent="0.15">
      <c r="Q205" s="1">
        <v>202</v>
      </c>
      <c r="R205" s="1">
        <f>[1]节奏总纲!AD205</f>
        <v>76.645482842593353</v>
      </c>
      <c r="S205" s="1">
        <f>[1]节奏总纲!AE205</f>
        <v>78.709402452356088</v>
      </c>
      <c r="T205" s="1">
        <f>[1]节奏总纲!AF205</f>
        <v>81.680549826994209</v>
      </c>
      <c r="U205" s="1">
        <f>[1]节奏总纲!AG205</f>
        <v>86.197589231873891</v>
      </c>
      <c r="V205" s="1">
        <f>[1]节奏总纲!AH205</f>
        <v>95.653234825174181</v>
      </c>
      <c r="AN205" s="2">
        <v>202</v>
      </c>
      <c r="AO205" s="2">
        <f>[1]节奏总纲!BA205</f>
        <v>42.757265571197664</v>
      </c>
      <c r="AP205" s="2">
        <f>[1]节奏总纲!BB205</f>
        <v>44.261827008023573</v>
      </c>
      <c r="AQ205" s="2">
        <f>[1]节奏总纲!BC205</f>
        <v>46.208196953985905</v>
      </c>
      <c r="AR205" s="2">
        <f>[1]节奏总纲!BD205</f>
        <v>48.96334674646436</v>
      </c>
      <c r="AS205" s="2">
        <f>[1]节奏总纲!BE205</f>
        <v>53.653819512332554</v>
      </c>
    </row>
    <row r="206" spans="17:45" x14ac:dyDescent="0.15">
      <c r="Q206" s="1">
        <v>203</v>
      </c>
      <c r="R206" s="1">
        <f>[1]节奏总纲!AD206</f>
        <v>76.717296680108163</v>
      </c>
      <c r="S206" s="1">
        <f>[1]节奏总纲!AE206</f>
        <v>78.780647865226058</v>
      </c>
      <c r="T206" s="1">
        <f>[1]节奏总纲!AF206</f>
        <v>81.753523213908451</v>
      </c>
      <c r="U206" s="1">
        <f>[1]节奏总纲!AG206</f>
        <v>86.273423994411502</v>
      </c>
      <c r="V206" s="1">
        <f>[1]节奏总纲!AH206</f>
        <v>95.724585495978289</v>
      </c>
      <c r="AN206" s="2">
        <v>203</v>
      </c>
      <c r="AO206" s="2">
        <f>[1]节奏总纲!BA206</f>
        <v>42.791978326124728</v>
      </c>
      <c r="AP206" s="2">
        <f>[1]节奏总纲!BB206</f>
        <v>44.294146315903454</v>
      </c>
      <c r="AQ206" s="2">
        <f>[1]节奏总纲!BC206</f>
        <v>46.240303692017122</v>
      </c>
      <c r="AR206" s="2">
        <f>[1]节奏总纲!BD206</f>
        <v>48.9992397462836</v>
      </c>
      <c r="AS206" s="2">
        <f>[1]节奏总纲!BE206</f>
        <v>53.688283785366046</v>
      </c>
    </row>
    <row r="207" spans="17:45" x14ac:dyDescent="0.15">
      <c r="Q207" s="1">
        <v>204</v>
      </c>
      <c r="R207" s="1">
        <f>[1]节奏总纲!AD207</f>
        <v>76.789110517622973</v>
      </c>
      <c r="S207" s="1">
        <f>[1]节奏总纲!AE207</f>
        <v>78.851893278096043</v>
      </c>
      <c r="T207" s="1">
        <f>[1]节奏总纲!AF207</f>
        <v>81.826496600822708</v>
      </c>
      <c r="U207" s="1">
        <f>[1]节奏总纲!AG207</f>
        <v>86.349258756949112</v>
      </c>
      <c r="V207" s="1">
        <f>[1]节奏总纲!AH207</f>
        <v>95.795936166782383</v>
      </c>
      <c r="AN207" s="2">
        <v>204</v>
      </c>
      <c r="AO207" s="2">
        <f>[1]节奏总纲!BA207</f>
        <v>42.826691081051791</v>
      </c>
      <c r="AP207" s="2">
        <f>[1]节奏总纲!BB207</f>
        <v>44.326465623783335</v>
      </c>
      <c r="AQ207" s="2">
        <f>[1]节奏总纲!BC207</f>
        <v>46.272410430048332</v>
      </c>
      <c r="AR207" s="2">
        <f>[1]节奏总纲!BD207</f>
        <v>49.030333272797542</v>
      </c>
      <c r="AS207" s="2">
        <f>[1]节奏总纲!BE207</f>
        <v>53.722748058399532</v>
      </c>
    </row>
    <row r="208" spans="17:45" x14ac:dyDescent="0.15">
      <c r="Q208" s="1">
        <v>205</v>
      </c>
      <c r="R208" s="1">
        <f>[1]节奏总纲!AD208</f>
        <v>76.860924355137783</v>
      </c>
      <c r="S208" s="1">
        <f>[1]节奏总纲!AE208</f>
        <v>78.923138690966013</v>
      </c>
      <c r="T208" s="1">
        <f>[1]节奏总纲!AF208</f>
        <v>81.899469987736964</v>
      </c>
      <c r="U208" s="1">
        <f>[1]节奏总纲!AG208</f>
        <v>86.425093519486722</v>
      </c>
      <c r="V208" s="1">
        <f>[1]节奏总纲!AH208</f>
        <v>95.867286837586477</v>
      </c>
      <c r="AN208" s="2">
        <v>205</v>
      </c>
      <c r="AO208" s="2">
        <f>[1]节奏总纲!BA208</f>
        <v>42.861403835978855</v>
      </c>
      <c r="AP208" s="2">
        <f>[1]节奏总纲!BB208</f>
        <v>44.358784931663209</v>
      </c>
      <c r="AQ208" s="2">
        <f>[1]节奏总纲!BC208</f>
        <v>46.304517168079542</v>
      </c>
      <c r="AR208" s="2">
        <f>[1]节奏总纲!BD208</f>
        <v>49.061322941292346</v>
      </c>
      <c r="AS208" s="2">
        <f>[1]节奏总纲!BE208</f>
        <v>53.757212331433024</v>
      </c>
    </row>
    <row r="209" spans="17:45" x14ac:dyDescent="0.15">
      <c r="Q209" s="1">
        <v>206</v>
      </c>
      <c r="R209" s="1">
        <f>[1]节奏总纲!AD209</f>
        <v>76.932738192652593</v>
      </c>
      <c r="S209" s="1">
        <f>[1]节奏总纲!AE209</f>
        <v>78.994384103835998</v>
      </c>
      <c r="T209" s="1">
        <f>[1]节奏总纲!AF209</f>
        <v>81.972443374651206</v>
      </c>
      <c r="U209" s="1">
        <f>[1]节奏总纲!AG209</f>
        <v>86.500928282024347</v>
      </c>
      <c r="V209" s="1">
        <f>[1]节奏总纲!AH209</f>
        <v>95.938637508390585</v>
      </c>
      <c r="AN209" s="2">
        <v>206</v>
      </c>
      <c r="AO209" s="2">
        <f>[1]节奏总纲!BA209</f>
        <v>42.896116590905919</v>
      </c>
      <c r="AP209" s="2">
        <f>[1]节奏总纲!BB209</f>
        <v>44.39110423954309</v>
      </c>
      <c r="AQ209" s="2">
        <f>[1]节奏总纲!BC209</f>
        <v>46.336623906110759</v>
      </c>
      <c r="AR209" s="2">
        <f>[1]节奏总纲!BD209</f>
        <v>49.09231260978715</v>
      </c>
      <c r="AS209" s="2">
        <f>[1]节奏总纲!BE209</f>
        <v>53.79167660446651</v>
      </c>
    </row>
    <row r="210" spans="17:45" x14ac:dyDescent="0.15">
      <c r="Q210" s="1">
        <v>207</v>
      </c>
      <c r="R210" s="1">
        <f>[1]节奏总纲!AD210</f>
        <v>77.004247194324648</v>
      </c>
      <c r="S210" s="1">
        <f>[1]节奏总纲!AE210</f>
        <v>79.061386416569832</v>
      </c>
      <c r="T210" s="1">
        <f>[1]节奏总纲!AF210</f>
        <v>82.041007317281839</v>
      </c>
      <c r="U210" s="1">
        <f>[1]节奏总纲!AG210</f>
        <v>86.576763044561957</v>
      </c>
      <c r="V210" s="1">
        <f>[1]节奏总纲!AH210</f>
        <v>96.008512635801992</v>
      </c>
      <c r="AN210" s="2">
        <v>207</v>
      </c>
      <c r="AO210" s="2">
        <f>[1]节奏总纲!BA210</f>
        <v>42.930829345832983</v>
      </c>
      <c r="AP210" s="2">
        <f>[1]节奏总纲!BB210</f>
        <v>44.423423547422971</v>
      </c>
      <c r="AQ210" s="2">
        <f>[1]节奏总纲!BC210</f>
        <v>46.368730644141969</v>
      </c>
      <c r="AR210" s="2">
        <f>[1]节奏总纲!BD210</f>
        <v>49.123302278281955</v>
      </c>
      <c r="AS210" s="2">
        <f>[1]节奏总纲!BE210</f>
        <v>53.826140877499995</v>
      </c>
    </row>
    <row r="211" spans="17:45" x14ac:dyDescent="0.15">
      <c r="Q211" s="1">
        <v>208</v>
      </c>
      <c r="R211" s="1">
        <f>[1]节奏总纲!AD211</f>
        <v>77.07125187397483</v>
      </c>
      <c r="S211" s="1">
        <f>[1]节奏总纲!AE211</f>
        <v>79.128025648620252</v>
      </c>
      <c r="T211" s="1">
        <f>[1]节奏总纲!AF211</f>
        <v>82.106895829081836</v>
      </c>
      <c r="U211" s="1">
        <f>[1]节奏总纲!AG211</f>
        <v>86.652597807099568</v>
      </c>
      <c r="V211" s="1">
        <f>[1]节奏总纲!AH211</f>
        <v>96.069322745727362</v>
      </c>
      <c r="AN211" s="2">
        <v>208</v>
      </c>
      <c r="AO211" s="2">
        <f>[1]节奏总纲!BA211</f>
        <v>42.965542100760054</v>
      </c>
      <c r="AP211" s="2">
        <f>[1]节奏总纲!BB211</f>
        <v>44.455742855302844</v>
      </c>
      <c r="AQ211" s="2">
        <f>[1]节奏总纲!BC211</f>
        <v>46.400837382173179</v>
      </c>
      <c r="AR211" s="2">
        <f>[1]节奏总纲!BD211</f>
        <v>49.154291946776759</v>
      </c>
      <c r="AS211" s="2">
        <f>[1]节奏总纲!BE211</f>
        <v>53.860605150533488</v>
      </c>
    </row>
    <row r="212" spans="17:45" x14ac:dyDescent="0.15">
      <c r="Q212" s="1">
        <v>209</v>
      </c>
      <c r="R212" s="1">
        <f>[1]节奏总纲!AD212</f>
        <v>77.138256553625013</v>
      </c>
      <c r="S212" s="1">
        <f>[1]节奏总纲!AE212</f>
        <v>79.194664880670672</v>
      </c>
      <c r="T212" s="1">
        <f>[1]节奏总纲!AF212</f>
        <v>82.172784340881819</v>
      </c>
      <c r="U212" s="1">
        <f>[1]节奏总纲!AG212</f>
        <v>86.728432569637178</v>
      </c>
      <c r="V212" s="1">
        <f>[1]节奏总纲!AH212</f>
        <v>96.130132855652732</v>
      </c>
      <c r="AN212" s="2">
        <v>209</v>
      </c>
      <c r="AO212" s="2">
        <f>[1]节奏总纲!BA212</f>
        <v>43.000219942361319</v>
      </c>
      <c r="AP212" s="2">
        <f>[1]节奏总纲!BB212</f>
        <v>44.488062163182725</v>
      </c>
      <c r="AQ212" s="2">
        <f>[1]节奏总纲!BC212</f>
        <v>46.432944120204397</v>
      </c>
      <c r="AR212" s="2">
        <f>[1]节奏总纲!BD212</f>
        <v>49.18528161527157</v>
      </c>
      <c r="AS212" s="2">
        <f>[1]节奏总纲!BE212</f>
        <v>53.895069423566973</v>
      </c>
    </row>
    <row r="213" spans="17:45" x14ac:dyDescent="0.15">
      <c r="Q213" s="1">
        <v>210</v>
      </c>
      <c r="R213" s="1">
        <f>[1]节奏总纲!AD213</f>
        <v>77.205261233275195</v>
      </c>
      <c r="S213" s="1">
        <f>[1]节奏总纲!AE213</f>
        <v>79.261304112721092</v>
      </c>
      <c r="T213" s="1">
        <f>[1]节奏总纲!AF213</f>
        <v>82.238672852681816</v>
      </c>
      <c r="U213" s="1">
        <f>[1]节奏总纲!AG213</f>
        <v>86.804267332174788</v>
      </c>
      <c r="V213" s="1">
        <f>[1]节奏总纲!AH213</f>
        <v>96.190942965578103</v>
      </c>
      <c r="AN213" s="2">
        <v>210</v>
      </c>
      <c r="AO213" s="2">
        <f>[1]节奏总纲!BA213</f>
        <v>43.030177309109042</v>
      </c>
      <c r="AP213" s="2">
        <f>[1]节奏总纲!BB213</f>
        <v>44.520381471062606</v>
      </c>
      <c r="AQ213" s="2">
        <f>[1]节奏总纲!BC213</f>
        <v>46.465050858235607</v>
      </c>
      <c r="AR213" s="2">
        <f>[1]节奏总纲!BD213</f>
        <v>49.216271283766375</v>
      </c>
      <c r="AS213" s="2">
        <f>[1]节奏总纲!BE213</f>
        <v>53.929533696600465</v>
      </c>
    </row>
    <row r="214" spans="17:45" x14ac:dyDescent="0.15">
      <c r="Q214" s="1">
        <v>211</v>
      </c>
      <c r="R214" s="1">
        <f>[1]节奏总纲!AD214</f>
        <v>77.272265912925377</v>
      </c>
      <c r="S214" s="1">
        <f>[1]节奏总纲!AE214</f>
        <v>79.327943344771512</v>
      </c>
      <c r="T214" s="1">
        <f>[1]节奏总纲!AF214</f>
        <v>82.304561364481813</v>
      </c>
      <c r="U214" s="1">
        <f>[1]节奏总纲!AG214</f>
        <v>86.880102094712413</v>
      </c>
      <c r="V214" s="1">
        <f>[1]节奏总纲!AH214</f>
        <v>96.251753075503458</v>
      </c>
      <c r="AN214" s="2">
        <v>211</v>
      </c>
      <c r="AO214" s="2">
        <f>[1]节奏总纲!BA214</f>
        <v>43.060134675856759</v>
      </c>
      <c r="AP214" s="2">
        <f>[1]节奏总纲!BB214</f>
        <v>44.55270077894248</v>
      </c>
      <c r="AQ214" s="2">
        <f>[1]节奏总纲!BC214</f>
        <v>46.497157596266817</v>
      </c>
      <c r="AR214" s="2">
        <f>[1]节奏总纲!BD214</f>
        <v>49.247260952261179</v>
      </c>
      <c r="AS214" s="2">
        <f>[1]节奏总纲!BE214</f>
        <v>53.963997969633951</v>
      </c>
    </row>
    <row r="215" spans="17:45" x14ac:dyDescent="0.15">
      <c r="Q215" s="1">
        <v>212</v>
      </c>
      <c r="R215" s="1">
        <f>[1]节奏总纲!AD215</f>
        <v>77.339270592575559</v>
      </c>
      <c r="S215" s="1">
        <f>[1]节奏总纲!AE215</f>
        <v>79.394582576821932</v>
      </c>
      <c r="T215" s="1">
        <f>[1]节奏总纲!AF215</f>
        <v>82.370449876281796</v>
      </c>
      <c r="U215" s="1">
        <f>[1]节奏总纲!AG215</f>
        <v>86.955936857250023</v>
      </c>
      <c r="V215" s="1">
        <f>[1]节奏总纲!AH215</f>
        <v>96.312563185428829</v>
      </c>
      <c r="AN215" s="2">
        <v>212</v>
      </c>
      <c r="AO215" s="2">
        <f>[1]节奏总纲!BA215</f>
        <v>43.090092042604475</v>
      </c>
      <c r="AP215" s="2">
        <f>[1]节奏总纲!BB215</f>
        <v>44.585020086822361</v>
      </c>
      <c r="AQ215" s="2">
        <f>[1]节奏总纲!BC215</f>
        <v>46.529264334298034</v>
      </c>
      <c r="AR215" s="2">
        <f>[1]节奏总纲!BD215</f>
        <v>49.278250620755983</v>
      </c>
      <c r="AS215" s="2">
        <f>[1]节奏总纲!BE215</f>
        <v>53.998462242667436</v>
      </c>
    </row>
    <row r="216" spans="17:45" x14ac:dyDescent="0.15">
      <c r="Q216" s="1">
        <v>213</v>
      </c>
      <c r="R216" s="1">
        <f>[1]节奏总纲!AD216</f>
        <v>77.406275272225741</v>
      </c>
      <c r="S216" s="1">
        <f>[1]节奏总纲!AE216</f>
        <v>79.461221808872352</v>
      </c>
      <c r="T216" s="1">
        <f>[1]节奏总纲!AF216</f>
        <v>82.436338388081793</v>
      </c>
      <c r="U216" s="1">
        <f>[1]节奏总纲!AG216</f>
        <v>87.031203567981635</v>
      </c>
      <c r="V216" s="1">
        <f>[1]节奏总纲!AH216</f>
        <v>96.373373295354199</v>
      </c>
      <c r="AN216" s="2">
        <v>213</v>
      </c>
      <c r="AO216" s="2">
        <f>[1]节奏总纲!BA216</f>
        <v>43.120049409352191</v>
      </c>
      <c r="AP216" s="2">
        <f>[1]节奏总纲!BB216</f>
        <v>44.617339394702242</v>
      </c>
      <c r="AQ216" s="2">
        <f>[1]节奏总纲!BC216</f>
        <v>46.561371072329244</v>
      </c>
      <c r="AR216" s="2">
        <f>[1]节奏总纲!BD216</f>
        <v>49.309240289250788</v>
      </c>
      <c r="AS216" s="2">
        <f>[1]节奏总纲!BE216</f>
        <v>54.028437871105552</v>
      </c>
    </row>
    <row r="217" spans="17:45" x14ac:dyDescent="0.15">
      <c r="Q217" s="1">
        <v>214</v>
      </c>
      <c r="R217" s="1">
        <f>[1]节奏总纲!AD217</f>
        <v>77.473279951875909</v>
      </c>
      <c r="S217" s="1">
        <f>[1]节奏总纲!AE217</f>
        <v>79.527861040922772</v>
      </c>
      <c r="T217" s="1">
        <f>[1]节奏总纲!AF217</f>
        <v>82.502226899881776</v>
      </c>
      <c r="U217" s="1">
        <f>[1]节奏总纲!AG217</f>
        <v>87.10568246405397</v>
      </c>
      <c r="V217" s="1">
        <f>[1]节奏总纲!AH217</f>
        <v>96.434183405279569</v>
      </c>
      <c r="AN217" s="2">
        <v>214</v>
      </c>
      <c r="AO217" s="2">
        <f>[1]节奏总纲!BA217</f>
        <v>43.150006776099914</v>
      </c>
      <c r="AP217" s="2">
        <f>[1]节奏总纲!BB217</f>
        <v>44.649658702582116</v>
      </c>
      <c r="AQ217" s="2">
        <f>[1]节奏总纲!BC217</f>
        <v>46.593477810360454</v>
      </c>
      <c r="AR217" s="2">
        <f>[1]节奏总纲!BD217</f>
        <v>49.340229957745592</v>
      </c>
      <c r="AS217" s="2">
        <f>[1]节奏总纲!BE217</f>
        <v>54.058203867701586</v>
      </c>
    </row>
    <row r="218" spans="17:45" x14ac:dyDescent="0.15">
      <c r="Q218" s="1">
        <v>215</v>
      </c>
      <c r="R218" s="1">
        <f>[1]节奏总纲!AD218</f>
        <v>77.540284631526092</v>
      </c>
      <c r="S218" s="1">
        <f>[1]节奏总纲!AE218</f>
        <v>79.594500272973193</v>
      </c>
      <c r="T218" s="1">
        <f>[1]节奏总纲!AF218</f>
        <v>82.568115411681774</v>
      </c>
      <c r="U218" s="1">
        <f>[1]节奏总纲!AG218</f>
        <v>87.180161360126306</v>
      </c>
      <c r="V218" s="1">
        <f>[1]节奏总纲!AH218</f>
        <v>96.494993515204939</v>
      </c>
      <c r="AN218" s="2">
        <v>215</v>
      </c>
      <c r="AO218" s="2">
        <f>[1]节奏总纲!BA218</f>
        <v>43.179964142847631</v>
      </c>
      <c r="AP218" s="2">
        <f>[1]节奏总纲!BB218</f>
        <v>44.681978010461997</v>
      </c>
      <c r="AQ218" s="2">
        <f>[1]节奏总纲!BC218</f>
        <v>46.625584548391664</v>
      </c>
      <c r="AR218" s="2">
        <f>[1]节奏总纲!BD218</f>
        <v>49.371219626240396</v>
      </c>
      <c r="AS218" s="2">
        <f>[1]节奏总纲!BE218</f>
        <v>54.087969864297619</v>
      </c>
    </row>
    <row r="219" spans="17:45" x14ac:dyDescent="0.15">
      <c r="Q219" s="1">
        <v>216</v>
      </c>
      <c r="R219" s="1">
        <f>[1]节奏总纲!AD219</f>
        <v>77.607289311176274</v>
      </c>
      <c r="S219" s="1">
        <f>[1]节奏总纲!AE219</f>
        <v>79.661139505023613</v>
      </c>
      <c r="T219" s="1">
        <f>[1]节奏总纲!AF219</f>
        <v>82.634003923481771</v>
      </c>
      <c r="U219" s="1">
        <f>[1]节奏总纲!AG219</f>
        <v>87.254640256198641</v>
      </c>
      <c r="V219" s="1">
        <f>[1]节奏总纲!AH219</f>
        <v>96.555803625130309</v>
      </c>
      <c r="AN219" s="2">
        <v>216</v>
      </c>
      <c r="AO219" s="2">
        <f>[1]节奏总纲!BA219</f>
        <v>43.209921509595347</v>
      </c>
      <c r="AP219" s="2">
        <f>[1]节奏总纲!BB219</f>
        <v>44.71429731834187</v>
      </c>
      <c r="AQ219" s="2">
        <f>[1]节奏总纲!BC219</f>
        <v>46.657691286422882</v>
      </c>
      <c r="AR219" s="2">
        <f>[1]节奏总纲!BD219</f>
        <v>49.402209294735208</v>
      </c>
      <c r="AS219" s="2">
        <f>[1]节奏总纲!BE219</f>
        <v>54.117735860893646</v>
      </c>
    </row>
    <row r="220" spans="17:45" x14ac:dyDescent="0.15">
      <c r="Q220" s="1">
        <v>217</v>
      </c>
      <c r="R220" s="1">
        <f>[1]节奏总纲!AD220</f>
        <v>77.674293990826456</v>
      </c>
      <c r="S220" s="1">
        <f>[1]节奏总纲!AE220</f>
        <v>79.727778737074033</v>
      </c>
      <c r="T220" s="1">
        <f>[1]节奏总纲!AF220</f>
        <v>82.699892435281754</v>
      </c>
      <c r="U220" s="1">
        <f>[1]节奏总纲!AG220</f>
        <v>87.329119152270991</v>
      </c>
      <c r="V220" s="1">
        <f>[1]节奏总纲!AH220</f>
        <v>96.61661373505568</v>
      </c>
      <c r="AN220" s="2">
        <v>217</v>
      </c>
      <c r="AO220" s="2">
        <f>[1]节奏总纲!BA220</f>
        <v>43.239878876343063</v>
      </c>
      <c r="AP220" s="2">
        <f>[1]节奏总纲!BB220</f>
        <v>44.746616626221751</v>
      </c>
      <c r="AQ220" s="2">
        <f>[1]节奏总纲!BC220</f>
        <v>46.689798024454092</v>
      </c>
      <c r="AR220" s="2">
        <f>[1]节奏总纲!BD220</f>
        <v>49.433198963230012</v>
      </c>
      <c r="AS220" s="2">
        <f>[1]节奏总纲!BE220</f>
        <v>54.147501857489679</v>
      </c>
    </row>
    <row r="221" spans="17:45" x14ac:dyDescent="0.15">
      <c r="Q221" s="1">
        <v>218</v>
      </c>
      <c r="R221" s="1">
        <f>[1]节奏总纲!AD221</f>
        <v>77.741298670476638</v>
      </c>
      <c r="S221" s="1">
        <f>[1]节奏总纲!AE221</f>
        <v>79.794417969124453</v>
      </c>
      <c r="T221" s="1">
        <f>[1]节奏总纲!AF221</f>
        <v>82.765780947081751</v>
      </c>
      <c r="U221" s="1">
        <f>[1]节奏总纲!AG221</f>
        <v>87.403598048343326</v>
      </c>
      <c r="V221" s="1">
        <f>[1]节奏总纲!AH221</f>
        <v>96.67742384498105</v>
      </c>
      <c r="AN221" s="2">
        <v>218</v>
      </c>
      <c r="AO221" s="2">
        <f>[1]节奏总纲!BA221</f>
        <v>43.269836243090786</v>
      </c>
      <c r="AP221" s="2">
        <f>[1]节奏总纲!BB221</f>
        <v>44.778935934101632</v>
      </c>
      <c r="AQ221" s="2">
        <f>[1]节奏总纲!BC221</f>
        <v>46.721904762485302</v>
      </c>
      <c r="AR221" s="2">
        <f>[1]节奏总纲!BD221</f>
        <v>49.464188631724817</v>
      </c>
      <c r="AS221" s="2">
        <f>[1]节奏总纲!BE221</f>
        <v>54.177267854085706</v>
      </c>
    </row>
    <row r="222" spans="17:45" x14ac:dyDescent="0.15">
      <c r="Q222" s="1">
        <v>219</v>
      </c>
      <c r="R222" s="1">
        <f>[1]节奏总纲!AD222</f>
        <v>77.80830335012682</v>
      </c>
      <c r="S222" s="1">
        <f>[1]节奏总纲!AE222</f>
        <v>79.861057201174873</v>
      </c>
      <c r="T222" s="1">
        <f>[1]节奏总纲!AF222</f>
        <v>82.831669458881734</v>
      </c>
      <c r="U222" s="1">
        <f>[1]节奏总纲!AG222</f>
        <v>87.478076944415662</v>
      </c>
      <c r="V222" s="1">
        <f>[1]节奏总纲!AH222</f>
        <v>96.73823395490642</v>
      </c>
      <c r="AN222" s="2">
        <v>219</v>
      </c>
      <c r="AO222" s="2">
        <f>[1]节奏总纲!BA222</f>
        <v>43.299793609838503</v>
      </c>
      <c r="AP222" s="2">
        <f>[1]节奏总纲!BB222</f>
        <v>44.811255241981506</v>
      </c>
      <c r="AQ222" s="2">
        <f>[1]节奏总纲!BC222</f>
        <v>46.754011500516519</v>
      </c>
      <c r="AR222" s="2">
        <f>[1]节奏总纲!BD222</f>
        <v>49.495178300219621</v>
      </c>
      <c r="AS222" s="2">
        <f>[1]节奏总纲!BE222</f>
        <v>54.207033850681739</v>
      </c>
    </row>
    <row r="223" spans="17:45" x14ac:dyDescent="0.15">
      <c r="Q223" s="1">
        <v>220</v>
      </c>
      <c r="R223" s="1">
        <f>[1]节奏总纲!AD223</f>
        <v>77.875308029777003</v>
      </c>
      <c r="S223" s="1">
        <f>[1]节奏总纲!AE223</f>
        <v>79.927696433225293</v>
      </c>
      <c r="T223" s="1">
        <f>[1]节奏总纲!AF223</f>
        <v>82.897557970681731</v>
      </c>
      <c r="U223" s="1">
        <f>[1]节奏总纲!AG223</f>
        <v>87.552555840488012</v>
      </c>
      <c r="V223" s="1">
        <f>[1]节奏总纲!AH223</f>
        <v>96.79904406483179</v>
      </c>
      <c r="AN223" s="2">
        <v>220</v>
      </c>
      <c r="AO223" s="2">
        <f>[1]节奏总纲!BA223</f>
        <v>43.329750976586219</v>
      </c>
      <c r="AP223" s="2">
        <f>[1]节奏总纲!BB223</f>
        <v>44.843574549861387</v>
      </c>
      <c r="AQ223" s="2">
        <f>[1]节奏总纲!BC223</f>
        <v>46.786118238547729</v>
      </c>
      <c r="AR223" s="2">
        <f>[1]节奏总纲!BD223</f>
        <v>49.526167968714425</v>
      </c>
      <c r="AS223" s="2">
        <f>[1]节奏总纲!BE223</f>
        <v>54.236799847277773</v>
      </c>
    </row>
    <row r="224" spans="17:45" x14ac:dyDescent="0.15">
      <c r="Q224" s="1">
        <v>221</v>
      </c>
      <c r="R224" s="1">
        <f>[1]节奏总纲!AD224</f>
        <v>77.942312709427185</v>
      </c>
      <c r="S224" s="1">
        <f>[1]节奏总纲!AE224</f>
        <v>79.994335665275713</v>
      </c>
      <c r="T224" s="1">
        <f>[1]节奏总纲!AF224</f>
        <v>82.963446482481729</v>
      </c>
      <c r="U224" s="1">
        <f>[1]节奏总纲!AG224</f>
        <v>87.627034736560347</v>
      </c>
      <c r="V224" s="1">
        <f>[1]节奏总纲!AH224</f>
        <v>96.85985417475716</v>
      </c>
      <c r="AN224" s="2">
        <v>221</v>
      </c>
      <c r="AO224" s="2">
        <f>[1]节奏总纲!BA224</f>
        <v>43.359708343333942</v>
      </c>
      <c r="AP224" s="2">
        <f>[1]节奏总纲!BB224</f>
        <v>44.875893857741268</v>
      </c>
      <c r="AQ224" s="2">
        <f>[1]节奏总纲!BC224</f>
        <v>46.818224976578939</v>
      </c>
      <c r="AR224" s="2">
        <f>[1]节奏总纲!BD224</f>
        <v>49.55715763720923</v>
      </c>
      <c r="AS224" s="2">
        <f>[1]节奏总纲!BE224</f>
        <v>54.266565843873799</v>
      </c>
    </row>
    <row r="225" spans="17:45" x14ac:dyDescent="0.15">
      <c r="Q225" s="1">
        <v>222</v>
      </c>
      <c r="R225" s="1">
        <f>[1]节奏总纲!AD225</f>
        <v>78.008693431404168</v>
      </c>
      <c r="S225" s="1">
        <f>[1]节奏总纲!AE225</f>
        <v>80.05990507131493</v>
      </c>
      <c r="T225" s="1">
        <f>[1]节奏总纲!AF225</f>
        <v>83.028328094754301</v>
      </c>
      <c r="U225" s="1">
        <f>[1]节奏总纲!AG225</f>
        <v>87.701513632632683</v>
      </c>
      <c r="V225" s="1">
        <f>[1]节奏总纲!AH225</f>
        <v>96.920664284682516</v>
      </c>
      <c r="AN225" s="2">
        <v>222</v>
      </c>
      <c r="AO225" s="2">
        <f>[1]节奏总纲!BA225</f>
        <v>43.389665710081658</v>
      </c>
      <c r="AP225" s="2">
        <f>[1]节奏总纲!BB225</f>
        <v>44.908213165621142</v>
      </c>
      <c r="AQ225" s="2">
        <f>[1]节奏总纲!BC225</f>
        <v>46.850331714610157</v>
      </c>
      <c r="AR225" s="2">
        <f>[1]节奏总纲!BD225</f>
        <v>49.588147305704041</v>
      </c>
      <c r="AS225" s="2">
        <f>[1]节奏总纲!BE225</f>
        <v>54.296331840469833</v>
      </c>
    </row>
    <row r="226" spans="17:45" x14ac:dyDescent="0.15">
      <c r="Q226" s="1">
        <v>223</v>
      </c>
      <c r="R226" s="1">
        <f>[1]节奏总纲!AD226</f>
        <v>78.071211008105138</v>
      </c>
      <c r="S226" s="1">
        <f>[1]节奏总纲!AE226</f>
        <v>80.125375094609936</v>
      </c>
      <c r="T226" s="1">
        <f>[1]节奏总纲!AF226</f>
        <v>83.091955037632331</v>
      </c>
      <c r="U226" s="1">
        <f>[1]节奏总纲!AG226</f>
        <v>87.775992528705018</v>
      </c>
      <c r="V226" s="1">
        <f>[1]节奏总纲!AH226</f>
        <v>96.981474394607886</v>
      </c>
      <c r="AN226" s="2">
        <v>223</v>
      </c>
      <c r="AO226" s="2">
        <f>[1]节奏总纲!BA226</f>
        <v>43.419623076829374</v>
      </c>
      <c r="AP226" s="2">
        <f>[1]节奏总纲!BB226</f>
        <v>44.940532473501023</v>
      </c>
      <c r="AQ226" s="2">
        <f>[1]节奏总纲!BC226</f>
        <v>46.882438452641367</v>
      </c>
      <c r="AR226" s="2">
        <f>[1]节奏总纲!BD226</f>
        <v>49.619136974198845</v>
      </c>
      <c r="AS226" s="2">
        <f>[1]节奏总纲!BE226</f>
        <v>54.326097837065859</v>
      </c>
    </row>
    <row r="227" spans="17:45" x14ac:dyDescent="0.15">
      <c r="Q227" s="1">
        <v>224</v>
      </c>
      <c r="R227" s="1">
        <f>[1]节奏总纲!AD227</f>
        <v>78.133728584806107</v>
      </c>
      <c r="S227" s="1">
        <f>[1]节奏总纲!AE227</f>
        <v>80.190845117904942</v>
      </c>
      <c r="T227" s="1">
        <f>[1]节奏总纲!AF227</f>
        <v>83.155581980510348</v>
      </c>
      <c r="U227" s="1">
        <f>[1]节奏总纲!AG227</f>
        <v>87.850471424777368</v>
      </c>
      <c r="V227" s="1">
        <f>[1]节奏总纲!AH227</f>
        <v>97.03979962522213</v>
      </c>
      <c r="AN227" s="2">
        <v>224</v>
      </c>
      <c r="AO227" s="2">
        <f>[1]节奏总纲!BA227</f>
        <v>43.449580443577091</v>
      </c>
      <c r="AP227" s="2">
        <f>[1]节奏总纲!BB227</f>
        <v>44.972851781380903</v>
      </c>
      <c r="AQ227" s="2">
        <f>[1]节奏总纲!BC227</f>
        <v>46.914545190672577</v>
      </c>
      <c r="AR227" s="2">
        <f>[1]节奏总纲!BD227</f>
        <v>49.65012664269365</v>
      </c>
      <c r="AS227" s="2">
        <f>[1]节奏总纲!BE227</f>
        <v>54.355863833661893</v>
      </c>
    </row>
    <row r="228" spans="17:45" x14ac:dyDescent="0.15">
      <c r="Q228" s="1">
        <v>225</v>
      </c>
      <c r="R228" s="1">
        <f>[1]节奏总纲!AD228</f>
        <v>78.196246161507091</v>
      </c>
      <c r="S228" s="1">
        <f>[1]节奏总纲!AE228</f>
        <v>80.256315141199948</v>
      </c>
      <c r="T228" s="1">
        <f>[1]节奏总纲!AF228</f>
        <v>83.219208923388379</v>
      </c>
      <c r="U228" s="1">
        <f>[1]节奏总纲!AG228</f>
        <v>87.924950320849703</v>
      </c>
      <c r="V228" s="1">
        <f>[1]节奏总纲!AH228</f>
        <v>97.097036185315744</v>
      </c>
      <c r="AN228" s="2">
        <v>225</v>
      </c>
      <c r="AO228" s="2">
        <f>[1]节奏总纲!BA228</f>
        <v>43.479537810324814</v>
      </c>
      <c r="AP228" s="2">
        <f>[1]节奏总纲!BB228</f>
        <v>45.004463376644416</v>
      </c>
      <c r="AQ228" s="2">
        <f>[1]节奏总纲!BC228</f>
        <v>46.946651928703794</v>
      </c>
      <c r="AR228" s="2">
        <f>[1]节奏总纲!BD228</f>
        <v>49.681116311188454</v>
      </c>
      <c r="AS228" s="2">
        <f>[1]节奏总纲!BE228</f>
        <v>54.385629830257926</v>
      </c>
    </row>
    <row r="229" spans="17:45" x14ac:dyDescent="0.15">
      <c r="Q229" s="1">
        <v>226</v>
      </c>
      <c r="R229" s="1">
        <f>[1]节奏总纲!AD229</f>
        <v>78.25876373820806</v>
      </c>
      <c r="S229" s="1">
        <f>[1]节奏总纲!AE229</f>
        <v>80.321785164494941</v>
      </c>
      <c r="T229" s="1">
        <f>[1]节奏总纲!AF229</f>
        <v>83.282835866266396</v>
      </c>
      <c r="U229" s="1">
        <f>[1]节奏总纲!AG229</f>
        <v>87.999429216922039</v>
      </c>
      <c r="V229" s="1">
        <f>[1]节奏总纲!AH229</f>
        <v>97.154272745409358</v>
      </c>
      <c r="AN229" s="2">
        <v>226</v>
      </c>
      <c r="AO229" s="2">
        <f>[1]节奏总纲!BA229</f>
        <v>43.50949517707253</v>
      </c>
      <c r="AP229" s="2">
        <f>[1]节奏总纲!BB229</f>
        <v>45.032359480672049</v>
      </c>
      <c r="AQ229" s="2">
        <f>[1]节奏总纲!BC229</f>
        <v>46.978758666735004</v>
      </c>
      <c r="AR229" s="2">
        <f>[1]节奏总纲!BD229</f>
        <v>49.712105979683258</v>
      </c>
      <c r="AS229" s="2">
        <f>[1]节奏总纲!BE229</f>
        <v>54.415395826853953</v>
      </c>
    </row>
    <row r="230" spans="17:45" x14ac:dyDescent="0.15">
      <c r="Q230" s="1">
        <v>227</v>
      </c>
      <c r="R230" s="1">
        <f>[1]节奏总纲!AD230</f>
        <v>78.321281314909029</v>
      </c>
      <c r="S230" s="1">
        <f>[1]节奏总纲!AE230</f>
        <v>80.387255187789947</v>
      </c>
      <c r="T230" s="1">
        <f>[1]节奏总纲!AF230</f>
        <v>83.346462809144427</v>
      </c>
      <c r="U230" s="1">
        <f>[1]节奏总纲!AG230</f>
        <v>88.069378113045531</v>
      </c>
      <c r="V230" s="1">
        <f>[1]节奏总纲!AH230</f>
        <v>97.211509305502972</v>
      </c>
      <c r="AN230" s="2">
        <v>227</v>
      </c>
      <c r="AO230" s="2">
        <f>[1]节奏总纲!BA230</f>
        <v>43.539452543820246</v>
      </c>
      <c r="AP230" s="2">
        <f>[1]节奏总纲!BB230</f>
        <v>45.060255584699682</v>
      </c>
      <c r="AQ230" s="2">
        <f>[1]节奏总纲!BC230</f>
        <v>47.009379755645142</v>
      </c>
      <c r="AR230" s="2">
        <f>[1]节奏总纲!BD230</f>
        <v>49.743095648178063</v>
      </c>
      <c r="AS230" s="2">
        <f>[1]节奏总纲!BE230</f>
        <v>54.445161823449986</v>
      </c>
    </row>
    <row r="231" spans="17:45" x14ac:dyDescent="0.15">
      <c r="Q231" s="1">
        <v>228</v>
      </c>
      <c r="R231" s="1">
        <f>[1]节奏总纲!AD231</f>
        <v>78.383798891610013</v>
      </c>
      <c r="S231" s="1">
        <f>[1]节奏总纲!AE231</f>
        <v>80.452725211084953</v>
      </c>
      <c r="T231" s="1">
        <f>[1]节奏总纲!AF231</f>
        <v>83.410089752022458</v>
      </c>
      <c r="U231" s="1">
        <f>[1]节奏总纲!AG231</f>
        <v>88.139292024548126</v>
      </c>
      <c r="V231" s="1">
        <f>[1]节奏总纲!AH231</f>
        <v>97.268745865596571</v>
      </c>
      <c r="AN231" s="2">
        <v>228</v>
      </c>
      <c r="AO231" s="2">
        <f>[1]节奏总纲!BA231</f>
        <v>43.569409910567963</v>
      </c>
      <c r="AP231" s="2">
        <f>[1]节奏总纲!BB231</f>
        <v>45.088151688727308</v>
      </c>
      <c r="AQ231" s="2">
        <f>[1]节奏总纲!BC231</f>
        <v>47.037096473409001</v>
      </c>
      <c r="AR231" s="2">
        <f>[1]节奏总纲!BD231</f>
        <v>49.774085316672867</v>
      </c>
      <c r="AS231" s="2">
        <f>[1]节奏总纲!BE231</f>
        <v>54.47492782004602</v>
      </c>
    </row>
    <row r="232" spans="17:45" x14ac:dyDescent="0.15">
      <c r="Q232" s="1">
        <v>229</v>
      </c>
      <c r="R232" s="1">
        <f>[1]节奏总纲!AD232</f>
        <v>78.446316468310982</v>
      </c>
      <c r="S232" s="1">
        <f>[1]节奏总纲!AE232</f>
        <v>80.518195234379959</v>
      </c>
      <c r="T232" s="1">
        <f>[1]节奏总纲!AF232</f>
        <v>83.473716694900475</v>
      </c>
      <c r="U232" s="1">
        <f>[1]节奏总纲!AG232</f>
        <v>88.209205936050708</v>
      </c>
      <c r="V232" s="1">
        <f>[1]节奏总纲!AH232</f>
        <v>97.325982425690185</v>
      </c>
      <c r="AN232" s="2">
        <v>229</v>
      </c>
      <c r="AO232" s="2">
        <f>[1]节奏总纲!BA232</f>
        <v>43.599367277315686</v>
      </c>
      <c r="AP232" s="2">
        <f>[1]节奏总纲!BB232</f>
        <v>45.116047792754941</v>
      </c>
      <c r="AQ232" s="2">
        <f>[1]节奏总纲!BC232</f>
        <v>47.06481319117286</v>
      </c>
      <c r="AR232" s="2">
        <f>[1]节奏总纲!BD232</f>
        <v>49.805074985167678</v>
      </c>
      <c r="AS232" s="2">
        <f>[1]节奏总纲!BE232</f>
        <v>54.504693816642046</v>
      </c>
    </row>
    <row r="233" spans="17:45" x14ac:dyDescent="0.15">
      <c r="Q233" s="1">
        <v>230</v>
      </c>
      <c r="R233" s="1">
        <f>[1]节奏总纲!AD233</f>
        <v>78.508834045011952</v>
      </c>
      <c r="S233" s="1">
        <f>[1]节奏总纲!AE233</f>
        <v>80.583665257674966</v>
      </c>
      <c r="T233" s="1">
        <f>[1]节奏总纲!AF233</f>
        <v>83.537343637778505</v>
      </c>
      <c r="U233" s="1">
        <f>[1]节奏总纲!AG233</f>
        <v>88.279119847553304</v>
      </c>
      <c r="V233" s="1">
        <f>[1]节奏总纲!AH233</f>
        <v>97.383218985783799</v>
      </c>
      <c r="AN233" s="2">
        <v>230</v>
      </c>
      <c r="AO233" s="2">
        <f>[1]节奏总纲!BA233</f>
        <v>43.629324644063402</v>
      </c>
      <c r="AP233" s="2">
        <f>[1]节奏总纲!BB233</f>
        <v>45.143943896782567</v>
      </c>
      <c r="AQ233" s="2">
        <f>[1]节奏总纲!BC233</f>
        <v>47.092529908936719</v>
      </c>
      <c r="AR233" s="2">
        <f>[1]节奏总纲!BD233</f>
        <v>49.836064653662483</v>
      </c>
      <c r="AS233" s="2">
        <f>[1]节奏总纲!BE233</f>
        <v>54.53445981323808</v>
      </c>
    </row>
    <row r="234" spans="17:45" x14ac:dyDescent="0.15">
      <c r="Q234" s="1">
        <v>231</v>
      </c>
      <c r="R234" s="1">
        <f>[1]节奏总纲!AD234</f>
        <v>78.571351621712921</v>
      </c>
      <c r="S234" s="1">
        <f>[1]节奏总纲!AE234</f>
        <v>80.649135280969972</v>
      </c>
      <c r="T234" s="1">
        <f>[1]节奏总纲!AF234</f>
        <v>83.600970580656536</v>
      </c>
      <c r="U234" s="1">
        <f>[1]节奏总纲!AG234</f>
        <v>88.349033759055899</v>
      </c>
      <c r="V234" s="1">
        <f>[1]节奏总纲!AH234</f>
        <v>97.440455545877413</v>
      </c>
      <c r="AN234" s="2">
        <v>231</v>
      </c>
      <c r="AO234" s="2">
        <f>[1]节奏总纲!BA234</f>
        <v>43.659282010811118</v>
      </c>
      <c r="AP234" s="2">
        <f>[1]节奏总纲!BB234</f>
        <v>45.171840000810199</v>
      </c>
      <c r="AQ234" s="2">
        <f>[1]节奏总纲!BC234</f>
        <v>47.120246626700578</v>
      </c>
      <c r="AR234" s="2">
        <f>[1]节奏总纲!BD234</f>
        <v>49.867054322157287</v>
      </c>
      <c r="AS234" s="2">
        <f>[1]节奏总纲!BE234</f>
        <v>54.564225809834106</v>
      </c>
    </row>
    <row r="235" spans="17:45" x14ac:dyDescent="0.15">
      <c r="Q235" s="1">
        <v>232</v>
      </c>
      <c r="R235" s="1">
        <f>[1]节奏总纲!AD235</f>
        <v>78.633869198413905</v>
      </c>
      <c r="S235" s="1">
        <f>[1]节奏总纲!AE235</f>
        <v>80.714605304264978</v>
      </c>
      <c r="T235" s="1">
        <f>[1]节奏总纲!AF235</f>
        <v>83.664597523534553</v>
      </c>
      <c r="U235" s="1">
        <f>[1]节奏总纲!AG235</f>
        <v>88.418947670558495</v>
      </c>
      <c r="V235" s="1">
        <f>[1]节奏总纲!AH235</f>
        <v>97.497692105971026</v>
      </c>
      <c r="AN235" s="2">
        <v>232</v>
      </c>
      <c r="AO235" s="2">
        <f>[1]节奏总纲!BA235</f>
        <v>43.689239377558835</v>
      </c>
      <c r="AP235" s="2">
        <f>[1]节奏总纲!BB235</f>
        <v>45.199736104837825</v>
      </c>
      <c r="AQ235" s="2">
        <f>[1]节奏总纲!BC235</f>
        <v>47.147963344464429</v>
      </c>
      <c r="AR235" s="2">
        <f>[1]节奏总纲!BD235</f>
        <v>49.898043990652091</v>
      </c>
      <c r="AS235" s="2">
        <f>[1]节奏总纲!BE235</f>
        <v>54.593991806430139</v>
      </c>
    </row>
    <row r="236" spans="17:45" x14ac:dyDescent="0.15">
      <c r="Q236" s="1">
        <v>233</v>
      </c>
      <c r="R236" s="1">
        <f>[1]节奏总纲!AD236</f>
        <v>78.696386775114874</v>
      </c>
      <c r="S236" s="1">
        <f>[1]节奏总纲!AE236</f>
        <v>80.78007532755997</v>
      </c>
      <c r="T236" s="1">
        <f>[1]节奏总纲!AF236</f>
        <v>83.728224466412584</v>
      </c>
      <c r="U236" s="1">
        <f>[1]节奏总纲!AG236</f>
        <v>88.488861582061077</v>
      </c>
      <c r="V236" s="1">
        <f>[1]节奏总纲!AH236</f>
        <v>97.554928666064626</v>
      </c>
      <c r="AN236" s="2">
        <v>233</v>
      </c>
      <c r="AO236" s="2">
        <f>[1]节奏总纲!BA236</f>
        <v>43.719196744306558</v>
      </c>
      <c r="AP236" s="2">
        <f>[1]节奏总纲!BB236</f>
        <v>45.227632208865458</v>
      </c>
      <c r="AQ236" s="2">
        <f>[1]节奏总纲!BC236</f>
        <v>47.175680062228288</v>
      </c>
      <c r="AR236" s="2">
        <f>[1]节奏总纲!BD236</f>
        <v>49.929033659146896</v>
      </c>
      <c r="AS236" s="2">
        <f>[1]节奏总纲!BE236</f>
        <v>54.623757803026173</v>
      </c>
    </row>
    <row r="237" spans="17:45" x14ac:dyDescent="0.15">
      <c r="Q237" s="1">
        <v>234</v>
      </c>
      <c r="R237" s="1">
        <f>[1]节奏总纲!AD237</f>
        <v>78.758904351815843</v>
      </c>
      <c r="S237" s="1">
        <f>[1]节奏总纲!AE237</f>
        <v>80.845545350854977</v>
      </c>
      <c r="T237" s="1">
        <f>[1]节奏总纲!AF237</f>
        <v>83.791851409290615</v>
      </c>
      <c r="U237" s="1">
        <f>[1]节奏总纲!AG237</f>
        <v>88.558775493563672</v>
      </c>
      <c r="V237" s="1">
        <f>[1]节奏总纲!AH237</f>
        <v>97.61216522615824</v>
      </c>
      <c r="AN237" s="2">
        <v>234</v>
      </c>
      <c r="AO237" s="2">
        <f>[1]节奏总纲!BA237</f>
        <v>43.749154111054274</v>
      </c>
      <c r="AP237" s="2">
        <f>[1]节奏总纲!BB237</f>
        <v>45.255528312893091</v>
      </c>
      <c r="AQ237" s="2">
        <f>[1]节奏总纲!BC237</f>
        <v>47.203396779992147</v>
      </c>
      <c r="AR237" s="2">
        <f>[1]节奏总纲!BD237</f>
        <v>49.9600233276417</v>
      </c>
      <c r="AS237" s="2">
        <f>[1]节奏总纲!BE237</f>
        <v>54.653523799622199</v>
      </c>
    </row>
    <row r="238" spans="17:45" x14ac:dyDescent="0.15">
      <c r="Q238" s="1">
        <v>235</v>
      </c>
      <c r="R238" s="1">
        <f>[1]节奏总纲!AD238</f>
        <v>78.821421928516827</v>
      </c>
      <c r="S238" s="1">
        <f>[1]节奏总纲!AE238</f>
        <v>80.911015374149983</v>
      </c>
      <c r="T238" s="1">
        <f>[1]节奏总纲!AF238</f>
        <v>83.855478352168632</v>
      </c>
      <c r="U238" s="1">
        <f>[1]节奏总纲!AG238</f>
        <v>88.628689405066268</v>
      </c>
      <c r="V238" s="1">
        <f>[1]节奏总纲!AH238</f>
        <v>97.669401786251854</v>
      </c>
      <c r="AN238" s="2">
        <v>235</v>
      </c>
      <c r="AO238" s="2">
        <f>[1]节奏总纲!BA238</f>
        <v>43.77911147780199</v>
      </c>
      <c r="AP238" s="2">
        <f>[1]节奏总纲!BB238</f>
        <v>45.283424416920717</v>
      </c>
      <c r="AQ238" s="2">
        <f>[1]节奏总纲!BC238</f>
        <v>47.231113497756006</v>
      </c>
      <c r="AR238" s="2">
        <f>[1]节奏总纲!BD238</f>
        <v>49.991012996136504</v>
      </c>
      <c r="AS238" s="2">
        <f>[1]节奏总纲!BE238</f>
        <v>54.683289796218233</v>
      </c>
    </row>
    <row r="239" spans="17:45" x14ac:dyDescent="0.15">
      <c r="Q239" s="1">
        <v>236</v>
      </c>
      <c r="R239" s="1">
        <f>[1]节奏总纲!AD239</f>
        <v>78.883939505217796</v>
      </c>
      <c r="S239" s="1">
        <f>[1]节奏总纲!AE239</f>
        <v>80.976485397444989</v>
      </c>
      <c r="T239" s="1">
        <f>[1]节奏总纲!AF239</f>
        <v>83.919105295046663</v>
      </c>
      <c r="U239" s="1">
        <f>[1]节奏总纲!AG239</f>
        <v>88.698603316568864</v>
      </c>
      <c r="V239" s="1">
        <f>[1]节奏总纲!AH239</f>
        <v>97.726638346345467</v>
      </c>
      <c r="AN239" s="2">
        <v>236</v>
      </c>
      <c r="AO239" s="2">
        <f>[1]节奏总纲!BA239</f>
        <v>43.809068844549707</v>
      </c>
      <c r="AP239" s="2">
        <f>[1]节奏总纲!BB239</f>
        <v>45.31132052094835</v>
      </c>
      <c r="AQ239" s="2">
        <f>[1]节奏总纲!BC239</f>
        <v>47.258830215519865</v>
      </c>
      <c r="AR239" s="2">
        <f>[1]节奏总纲!BD239</f>
        <v>50.018998195299922</v>
      </c>
      <c r="AS239" s="2">
        <f>[1]节奏总纲!BE239</f>
        <v>54.713055792814259</v>
      </c>
    </row>
    <row r="240" spans="17:45" x14ac:dyDescent="0.15">
      <c r="Q240" s="1">
        <v>237</v>
      </c>
      <c r="R240" s="1">
        <f>[1]节奏总纲!AD240</f>
        <v>78.946457081918766</v>
      </c>
      <c r="S240" s="1">
        <f>[1]节奏总纲!AE240</f>
        <v>81.038163244467697</v>
      </c>
      <c r="T240" s="1">
        <f>[1]节奏总纲!AF240</f>
        <v>83.982732237924694</v>
      </c>
      <c r="U240" s="1">
        <f>[1]节奏总纲!AG240</f>
        <v>88.768517228071445</v>
      </c>
      <c r="V240" s="1">
        <f>[1]节奏总纲!AH240</f>
        <v>97.783874906439081</v>
      </c>
      <c r="AN240" s="2">
        <v>237</v>
      </c>
      <c r="AO240" s="2">
        <f>[1]节奏总纲!BA240</f>
        <v>43.83902621129743</v>
      </c>
      <c r="AP240" s="2">
        <f>[1]节奏总纲!BB240</f>
        <v>45.339216624975975</v>
      </c>
      <c r="AQ240" s="2">
        <f>[1]节奏总纲!BC240</f>
        <v>47.286546933283724</v>
      </c>
      <c r="AR240" s="2">
        <f>[1]节奏总纲!BD240</f>
        <v>50.045756216849099</v>
      </c>
      <c r="AS240" s="2">
        <f>[1]节奏总纲!BE240</f>
        <v>54.742821789410293</v>
      </c>
    </row>
    <row r="241" spans="17:45" x14ac:dyDescent="0.15">
      <c r="Q241" s="1">
        <v>238</v>
      </c>
      <c r="R241" s="1">
        <f>[1]节奏总纲!AD241</f>
        <v>79.008373652580005</v>
      </c>
      <c r="S241" s="1">
        <f>[1]节奏总纲!AE241</f>
        <v>81.097715704203424</v>
      </c>
      <c r="T241" s="1">
        <f>[1]节奏总纲!AF241</f>
        <v>84.043767921022209</v>
      </c>
      <c r="U241" s="1">
        <f>[1]节奏总纲!AG241</f>
        <v>88.838431139574041</v>
      </c>
      <c r="V241" s="1">
        <f>[1]节奏总纲!AH241</f>
        <v>97.841111466532681</v>
      </c>
      <c r="AN241" s="2">
        <v>238</v>
      </c>
      <c r="AO241" s="2">
        <f>[1]节奏总纲!BA241</f>
        <v>43.868983578045146</v>
      </c>
      <c r="AP241" s="2">
        <f>[1]节奏总纲!BB241</f>
        <v>45.367112729003608</v>
      </c>
      <c r="AQ241" s="2">
        <f>[1]节奏总纲!BC241</f>
        <v>47.314263651047582</v>
      </c>
      <c r="AR241" s="2">
        <f>[1]节奏总纲!BD241</f>
        <v>50.072514238398277</v>
      </c>
      <c r="AS241" s="2">
        <f>[1]节奏总纲!BE241</f>
        <v>54.772587786006326</v>
      </c>
    </row>
    <row r="242" spans="17:45" x14ac:dyDescent="0.15">
      <c r="Q242" s="1">
        <v>239</v>
      </c>
      <c r="R242" s="1">
        <f>[1]节奏总纲!AD242</f>
        <v>79.066704614192943</v>
      </c>
      <c r="S242" s="1">
        <f>[1]节奏总纲!AE242</f>
        <v>81.157268163939136</v>
      </c>
      <c r="T242" s="1">
        <f>[1]节奏总纲!AF242</f>
        <v>84.103838417578672</v>
      </c>
      <c r="U242" s="1">
        <f>[1]节奏总纲!AG242</f>
        <v>88.908345051076637</v>
      </c>
      <c r="V242" s="1">
        <f>[1]节奏总纲!AH242</f>
        <v>97.898348026626294</v>
      </c>
      <c r="AN242" s="2">
        <v>239</v>
      </c>
      <c r="AO242" s="2">
        <f>[1]节奏总纲!BA242</f>
        <v>43.898940944792862</v>
      </c>
      <c r="AP242" s="2">
        <f>[1]节奏总纲!BB242</f>
        <v>45.395008833031234</v>
      </c>
      <c r="AQ242" s="2">
        <f>[1]节奏总纲!BC242</f>
        <v>47.341980368811441</v>
      </c>
      <c r="AR242" s="2">
        <f>[1]节奏总纲!BD242</f>
        <v>50.099272259947462</v>
      </c>
      <c r="AS242" s="2">
        <f>[1]节奏总纲!BE242</f>
        <v>54.802353782602353</v>
      </c>
    </row>
    <row r="243" spans="17:45" x14ac:dyDescent="0.15">
      <c r="Q243" s="1">
        <v>240</v>
      </c>
      <c r="R243" s="1">
        <f>[1]节奏总纲!AD243</f>
        <v>79.125035575805882</v>
      </c>
      <c r="S243" s="1">
        <f>[1]节奏总纲!AE243</f>
        <v>81.216820623674849</v>
      </c>
      <c r="T243" s="1">
        <f>[1]节奏总纲!AF243</f>
        <v>84.163908914135135</v>
      </c>
      <c r="U243" s="1">
        <f>[1]节奏总纲!AG243</f>
        <v>88.978258962579233</v>
      </c>
      <c r="V243" s="1">
        <f>[1]节奏总纲!AH243</f>
        <v>97.955584586719908</v>
      </c>
      <c r="AN243" s="2">
        <v>240</v>
      </c>
      <c r="AO243" s="2">
        <f>[1]节奏总纲!BA243</f>
        <v>43.928898311540586</v>
      </c>
      <c r="AP243" s="2">
        <f>[1]节奏总纲!BB243</f>
        <v>45.422904937058867</v>
      </c>
      <c r="AQ243" s="2">
        <f>[1]节奏总纲!BC243</f>
        <v>47.3696970865753</v>
      </c>
      <c r="AR243" s="2">
        <f>[1]节奏总纲!BD243</f>
        <v>50.126030281496639</v>
      </c>
      <c r="AS243" s="2">
        <f>[1]节奏总纲!BE243</f>
        <v>54.832119779198386</v>
      </c>
    </row>
    <row r="244" spans="17:45" x14ac:dyDescent="0.15">
      <c r="Q244" s="1">
        <v>241</v>
      </c>
      <c r="R244" s="1">
        <f>[1]节奏总纲!AD244</f>
        <v>79.18336653741882</v>
      </c>
      <c r="S244" s="1">
        <f>[1]节奏总纲!AE244</f>
        <v>81.276373083410562</v>
      </c>
      <c r="T244" s="1">
        <f>[1]节奏总纲!AF244</f>
        <v>84.223979410691598</v>
      </c>
      <c r="U244" s="1">
        <f>[1]节奏总纲!AG244</f>
        <v>89.047272179270863</v>
      </c>
      <c r="V244" s="1">
        <f>[1]节奏总纲!AH244</f>
        <v>98.013314854852808</v>
      </c>
      <c r="AN244" s="2">
        <v>241</v>
      </c>
      <c r="AO244" s="2">
        <f>[1]节奏总纲!BA244</f>
        <v>43.958855678288302</v>
      </c>
      <c r="AP244" s="2">
        <f>[1]节奏总纲!BB244</f>
        <v>45.450801041086493</v>
      </c>
      <c r="AQ244" s="2">
        <f>[1]节奏总纲!BC244</f>
        <v>47.397413804339159</v>
      </c>
      <c r="AR244" s="2">
        <f>[1]节奏总纲!BD244</f>
        <v>50.152788303045817</v>
      </c>
      <c r="AS244" s="2">
        <f>[1]节奏总纲!BE244</f>
        <v>54.86188577579442</v>
      </c>
    </row>
    <row r="245" spans="17:45" x14ac:dyDescent="0.15">
      <c r="Q245" s="1">
        <v>242</v>
      </c>
      <c r="R245" s="1">
        <f>[1]节奏总纲!AD245</f>
        <v>79.241697499031773</v>
      </c>
      <c r="S245" s="1">
        <f>[1]节奏总纲!AE245</f>
        <v>81.335925543146274</v>
      </c>
      <c r="T245" s="1">
        <f>[1]节奏总纲!AF245</f>
        <v>84.284049907248061</v>
      </c>
      <c r="U245" s="1">
        <f>[1]节奏总纲!AG245</f>
        <v>89.11587890081428</v>
      </c>
      <c r="V245" s="1">
        <f>[1]节奏总纲!AH245</f>
        <v>98.072755441643167</v>
      </c>
      <c r="AN245" s="2">
        <v>242</v>
      </c>
      <c r="AO245" s="2">
        <f>[1]节奏总纲!BA245</f>
        <v>43.988813045036018</v>
      </c>
      <c r="AP245" s="2">
        <f>[1]节奏总纲!BB245</f>
        <v>45.478697145114126</v>
      </c>
      <c r="AQ245" s="2">
        <f>[1]节奏总纲!BC245</f>
        <v>47.425130522103018</v>
      </c>
      <c r="AR245" s="2">
        <f>[1]节奏总纲!BD245</f>
        <v>50.179546324595002</v>
      </c>
      <c r="AS245" s="2">
        <f>[1]节奏总纲!BE245</f>
        <v>54.891651772390446</v>
      </c>
    </row>
    <row r="246" spans="17:45" x14ac:dyDescent="0.15">
      <c r="Q246" s="1">
        <v>243</v>
      </c>
      <c r="R246" s="1">
        <f>[1]节奏总纲!AD246</f>
        <v>79.300028460644711</v>
      </c>
      <c r="S246" s="1">
        <f>[1]节奏总纲!AE246</f>
        <v>81.395478002882001</v>
      </c>
      <c r="T246" s="1">
        <f>[1]节奏总纲!AF246</f>
        <v>84.344120403804524</v>
      </c>
      <c r="U246" s="1">
        <f>[1]节奏总纲!AG246</f>
        <v>89.184485622357698</v>
      </c>
      <c r="V246" s="1">
        <f>[1]节奏总纲!AH246</f>
        <v>98.132196028433526</v>
      </c>
      <c r="AN246" s="2">
        <v>243</v>
      </c>
      <c r="AO246" s="2">
        <f>[1]节奏总纲!BA246</f>
        <v>44.016200268136501</v>
      </c>
      <c r="AP246" s="2">
        <f>[1]节奏总纲!BB246</f>
        <v>45.506593249141758</v>
      </c>
      <c r="AQ246" s="2">
        <f>[1]节奏总纲!BC246</f>
        <v>47.452847239866877</v>
      </c>
      <c r="AR246" s="2">
        <f>[1]节奏总纲!BD246</f>
        <v>50.206304346144179</v>
      </c>
      <c r="AS246" s="2">
        <f>[1]节奏总纲!BE246</f>
        <v>54.92141776898648</v>
      </c>
    </row>
    <row r="247" spans="17:45" x14ac:dyDescent="0.15">
      <c r="Q247" s="1">
        <v>244</v>
      </c>
      <c r="R247" s="1">
        <f>[1]节奏总纲!AD247</f>
        <v>79.358359422257649</v>
      </c>
      <c r="S247" s="1">
        <f>[1]节奏总纲!AE247</f>
        <v>81.455030462617714</v>
      </c>
      <c r="T247" s="1">
        <f>[1]节奏总纲!AF247</f>
        <v>84.404190900360987</v>
      </c>
      <c r="U247" s="1">
        <f>[1]节奏总纲!AG247</f>
        <v>89.253092343901116</v>
      </c>
      <c r="V247" s="1">
        <f>[1]节奏总纲!AH247</f>
        <v>98.191636615223871</v>
      </c>
      <c r="AN247" s="2">
        <v>244</v>
      </c>
      <c r="AO247" s="2">
        <f>[1]节奏总纲!BA247</f>
        <v>44.042055714440401</v>
      </c>
      <c r="AP247" s="2">
        <f>[1]节奏总纲!BB247</f>
        <v>45.534489353169384</v>
      </c>
      <c r="AQ247" s="2">
        <f>[1]节奏总纲!BC247</f>
        <v>47.480563957630736</v>
      </c>
      <c r="AR247" s="2">
        <f>[1]节奏总纲!BD247</f>
        <v>50.233062367693357</v>
      </c>
      <c r="AS247" s="2">
        <f>[1]节奏总纲!BE247</f>
        <v>54.951183765582506</v>
      </c>
    </row>
    <row r="248" spans="17:45" x14ac:dyDescent="0.15">
      <c r="Q248" s="1">
        <v>245</v>
      </c>
      <c r="R248" s="1">
        <f>[1]节奏总纲!AD248</f>
        <v>79.416690383870588</v>
      </c>
      <c r="S248" s="1">
        <f>[1]节奏总纲!AE248</f>
        <v>81.514582922353426</v>
      </c>
      <c r="T248" s="1">
        <f>[1]节奏总纲!AF248</f>
        <v>84.46426139691745</v>
      </c>
      <c r="U248" s="1">
        <f>[1]节奏总纲!AG248</f>
        <v>89.321699065444534</v>
      </c>
      <c r="V248" s="1">
        <f>[1]节奏总纲!AH248</f>
        <v>98.25107720201423</v>
      </c>
      <c r="AN248" s="2">
        <v>245</v>
      </c>
      <c r="AO248" s="2">
        <f>[1]节奏总纲!BA248</f>
        <v>44.067911160744309</v>
      </c>
      <c r="AP248" s="2">
        <f>[1]节奏总纲!BB248</f>
        <v>45.562385457197017</v>
      </c>
      <c r="AQ248" s="2">
        <f>[1]节奏总纲!BC248</f>
        <v>47.508280675394595</v>
      </c>
      <c r="AR248" s="2">
        <f>[1]节奏总纲!BD248</f>
        <v>50.259820389242542</v>
      </c>
      <c r="AS248" s="2">
        <f>[1]节奏总纲!BE248</f>
        <v>54.98094976217854</v>
      </c>
    </row>
    <row r="249" spans="17:45" x14ac:dyDescent="0.15">
      <c r="Q249" s="1">
        <v>246</v>
      </c>
      <c r="R249" s="1">
        <f>[1]节奏总纲!AD249</f>
        <v>79.475021345483526</v>
      </c>
      <c r="S249" s="1">
        <f>[1]节奏总纲!AE249</f>
        <v>81.574135382089139</v>
      </c>
      <c r="T249" s="1">
        <f>[1]节奏总纲!AF249</f>
        <v>84.524331893473914</v>
      </c>
      <c r="U249" s="1">
        <f>[1]节奏总纲!AG249</f>
        <v>89.390305786987952</v>
      </c>
      <c r="V249" s="1">
        <f>[1]节奏总纲!AH249</f>
        <v>98.310517788804589</v>
      </c>
      <c r="AN249" s="2">
        <v>246</v>
      </c>
      <c r="AO249" s="2">
        <f>[1]节奏总纲!BA249</f>
        <v>44.093766607048209</v>
      </c>
      <c r="AP249" s="2">
        <f>[1]节奏总纲!BB249</f>
        <v>45.590281561224643</v>
      </c>
      <c r="AQ249" s="2">
        <f>[1]节奏总纲!BC249</f>
        <v>47.535997393158453</v>
      </c>
      <c r="AR249" s="2">
        <f>[1]节奏总纲!BD249</f>
        <v>50.286578410791719</v>
      </c>
      <c r="AS249" s="2">
        <f>[1]节奏总纲!BE249</f>
        <v>55.009255535630842</v>
      </c>
    </row>
    <row r="250" spans="17:45" x14ac:dyDescent="0.15">
      <c r="Q250" s="1">
        <v>247</v>
      </c>
      <c r="R250" s="1">
        <f>[1]节奏总纲!AD250</f>
        <v>79.533352307096465</v>
      </c>
      <c r="S250" s="1">
        <f>[1]节奏总纲!AE250</f>
        <v>81.633687841824852</v>
      </c>
      <c r="T250" s="1">
        <f>[1]节奏总纲!AF250</f>
        <v>84.584402390030377</v>
      </c>
      <c r="U250" s="1">
        <f>[1]节奏总纲!AG250</f>
        <v>89.45891250853137</v>
      </c>
      <c r="V250" s="1">
        <f>[1]节奏总纲!AH250</f>
        <v>98.369958375594933</v>
      </c>
      <c r="AN250" s="2">
        <v>247</v>
      </c>
      <c r="AO250" s="2">
        <f>[1]节奏总纲!BA250</f>
        <v>44.11962205335211</v>
      </c>
      <c r="AP250" s="2">
        <f>[1]节奏总纲!BB250</f>
        <v>45.618177665252276</v>
      </c>
      <c r="AQ250" s="2">
        <f>[1]节奏总纲!BC250</f>
        <v>47.563714110922312</v>
      </c>
      <c r="AR250" s="2">
        <f>[1]节奏总纲!BD250</f>
        <v>50.313336432340897</v>
      </c>
      <c r="AS250" s="2">
        <f>[1]节奏总纲!BE250</f>
        <v>55.034965356827627</v>
      </c>
    </row>
    <row r="251" spans="17:45" x14ac:dyDescent="0.15">
      <c r="Q251" s="1">
        <v>248</v>
      </c>
      <c r="R251" s="1">
        <f>[1]节奏总纲!AD251</f>
        <v>79.591683268709417</v>
      </c>
      <c r="S251" s="1">
        <f>[1]节奏总纲!AE251</f>
        <v>81.693240301560579</v>
      </c>
      <c r="T251" s="1">
        <f>[1]节奏总纲!AF251</f>
        <v>84.64447288658684</v>
      </c>
      <c r="U251" s="1">
        <f>[1]节奏总纲!AG251</f>
        <v>89.527519230074788</v>
      </c>
      <c r="V251" s="1">
        <f>[1]节奏总纲!AH251</f>
        <v>98.429398962385292</v>
      </c>
      <c r="AN251" s="2">
        <v>248</v>
      </c>
      <c r="AO251" s="2">
        <f>[1]节奏总纲!BA251</f>
        <v>44.145477499656018</v>
      </c>
      <c r="AP251" s="2">
        <f>[1]节奏总纲!BB251</f>
        <v>45.646073769279901</v>
      </c>
      <c r="AQ251" s="2">
        <f>[1]节奏总纲!BC251</f>
        <v>47.591430828686171</v>
      </c>
      <c r="AR251" s="2">
        <f>[1]节奏总纲!BD251</f>
        <v>50.340094453890082</v>
      </c>
      <c r="AS251" s="2">
        <f>[1]节奏总纲!BE251</f>
        <v>55.060675178024418</v>
      </c>
    </row>
    <row r="252" spans="17:45" x14ac:dyDescent="0.15">
      <c r="Q252" s="1">
        <v>249</v>
      </c>
      <c r="R252" s="1">
        <f>[1]节奏总纲!AD252</f>
        <v>79.650014230322356</v>
      </c>
      <c r="S252" s="1">
        <f>[1]节奏总纲!AE252</f>
        <v>81.752792761296291</v>
      </c>
      <c r="T252" s="1">
        <f>[1]节奏总纲!AF252</f>
        <v>84.704543383143317</v>
      </c>
      <c r="U252" s="1">
        <f>[1]节奏总纲!AG252</f>
        <v>89.596125951618205</v>
      </c>
      <c r="V252" s="1">
        <f>[1]节奏总纲!AH252</f>
        <v>98.488839549175651</v>
      </c>
      <c r="AN252" s="2">
        <v>249</v>
      </c>
      <c r="AO252" s="2">
        <f>[1]节奏总纲!BA252</f>
        <v>44.171332945959918</v>
      </c>
      <c r="AP252" s="2">
        <f>[1]节奏总纲!BB252</f>
        <v>45.673969873307534</v>
      </c>
      <c r="AQ252" s="2">
        <f>[1]节奏总纲!BC252</f>
        <v>47.61914754645003</v>
      </c>
      <c r="AR252" s="2">
        <f>[1]节奏总纲!BD252</f>
        <v>50.366852475439259</v>
      </c>
      <c r="AS252" s="2">
        <f>[1]节奏总纲!BE252</f>
        <v>55.086384999221202</v>
      </c>
    </row>
    <row r="253" spans="17:45" x14ac:dyDescent="0.15">
      <c r="Q253" s="1">
        <v>250</v>
      </c>
      <c r="R253" s="1">
        <f>[1]节奏总纲!AD253</f>
        <v>79.708345191935294</v>
      </c>
      <c r="S253" s="1">
        <f>[1]节奏总纲!AE253</f>
        <v>81.812345221032004</v>
      </c>
      <c r="T253" s="1">
        <f>[1]节奏总纲!AF253</f>
        <v>84.76461387969978</v>
      </c>
      <c r="U253" s="1">
        <f>[1]节奏总纲!AG253</f>
        <v>89.664732673161623</v>
      </c>
      <c r="V253" s="1">
        <f>[1]节奏总纲!AH253</f>
        <v>98.548280135965996</v>
      </c>
      <c r="AN253" s="2">
        <v>250</v>
      </c>
      <c r="AO253" s="2">
        <f>[1]节奏总纲!BA253</f>
        <v>44.197188392263818</v>
      </c>
      <c r="AP253" s="2">
        <f>[1]节奏总纲!BB253</f>
        <v>45.701865977335167</v>
      </c>
      <c r="AQ253" s="2">
        <f>[1]节奏总纲!BC253</f>
        <v>47.646864264213889</v>
      </c>
      <c r="AR253" s="2">
        <f>[1]节奏总纲!BD253</f>
        <v>50.393610496988437</v>
      </c>
      <c r="AS253" s="2">
        <f>[1]节奏总纲!BE253</f>
        <v>55.112094820417994</v>
      </c>
    </row>
    <row r="254" spans="17:45" x14ac:dyDescent="0.15">
      <c r="Q254" s="1">
        <v>251</v>
      </c>
      <c r="R254" s="1">
        <f>[1]节奏总纲!AD254</f>
        <v>79.766676153548232</v>
      </c>
      <c r="S254" s="1">
        <f>[1]节奏总纲!AE254</f>
        <v>81.871897680767717</v>
      </c>
      <c r="T254" s="1">
        <f>[1]节奏总纲!AF254</f>
        <v>84.824684376256243</v>
      </c>
      <c r="U254" s="1">
        <f>[1]节奏总纲!AG254</f>
        <v>89.733339394705041</v>
      </c>
      <c r="V254" s="1">
        <f>[1]节奏总纲!AH254</f>
        <v>98.607720722756355</v>
      </c>
      <c r="AN254" s="2">
        <v>251</v>
      </c>
      <c r="AO254" s="2">
        <f>[1]节奏总纲!BA254</f>
        <v>44.223043838567726</v>
      </c>
      <c r="AP254" s="2">
        <f>[1]节奏总纲!BB254</f>
        <v>45.729762081362793</v>
      </c>
      <c r="AQ254" s="2">
        <f>[1]节奏总纲!BC254</f>
        <v>47.674580981977748</v>
      </c>
      <c r="AR254" s="2">
        <f>[1]节奏总纲!BD254</f>
        <v>50.420368518537622</v>
      </c>
      <c r="AS254" s="2">
        <f>[1]节奏总纲!BE254</f>
        <v>55.137804641614778</v>
      </c>
    </row>
    <row r="255" spans="17:45" x14ac:dyDescent="0.15">
      <c r="Q255" s="1">
        <v>252</v>
      </c>
      <c r="R255" s="1">
        <f>[1]节奏总纲!AD255</f>
        <v>79.825007115161171</v>
      </c>
      <c r="S255" s="1">
        <f>[1]节奏总纲!AE255</f>
        <v>81.931450140503429</v>
      </c>
      <c r="T255" s="1">
        <f>[1]节奏总纲!AF255</f>
        <v>84.884754872812707</v>
      </c>
      <c r="U255" s="1">
        <f>[1]节奏总纲!AG255</f>
        <v>89.801946116248459</v>
      </c>
      <c r="V255" s="1">
        <f>[1]节奏总纲!AH255</f>
        <v>98.667161309546714</v>
      </c>
      <c r="AN255" s="2">
        <v>252</v>
      </c>
      <c r="AO255" s="2">
        <f>[1]节奏总纲!BA255</f>
        <v>44.248899284871626</v>
      </c>
      <c r="AP255" s="2">
        <f>[1]节奏总纲!BB255</f>
        <v>45.757658185390426</v>
      </c>
      <c r="AQ255" s="2">
        <f>[1]节奏总纲!BC255</f>
        <v>47.7022976997416</v>
      </c>
      <c r="AR255" s="2">
        <f>[1]节奏总纲!BD255</f>
        <v>50.447126540086799</v>
      </c>
      <c r="AS255" s="2">
        <f>[1]节奏总纲!BE255</f>
        <v>55.163514462811563</v>
      </c>
    </row>
    <row r="256" spans="17:45" x14ac:dyDescent="0.15">
      <c r="Q256" s="1">
        <v>253</v>
      </c>
      <c r="R256" s="1">
        <f>[1]节奏总纲!AD256</f>
        <v>79.883338076774123</v>
      </c>
      <c r="S256" s="1">
        <f>[1]节奏总纲!AE256</f>
        <v>81.991002600239142</v>
      </c>
      <c r="T256" s="1">
        <f>[1]节奏总纲!AF256</f>
        <v>84.94482536936917</v>
      </c>
      <c r="U256" s="1">
        <f>[1]节奏总纲!AG256</f>
        <v>89.870552837791877</v>
      </c>
      <c r="V256" s="1">
        <f>[1]节奏总纲!AH256</f>
        <v>98.726601896337058</v>
      </c>
      <c r="AN256" s="2">
        <v>253</v>
      </c>
      <c r="AO256" s="2">
        <f>[1]节奏总纲!BA256</f>
        <v>44.274754731175527</v>
      </c>
      <c r="AP256" s="2">
        <f>[1]节奏总纲!BB256</f>
        <v>45.785554289418052</v>
      </c>
      <c r="AQ256" s="2">
        <f>[1]节奏总纲!BC256</f>
        <v>47.730014417505458</v>
      </c>
      <c r="AR256" s="2">
        <f>[1]节奏总纲!BD256</f>
        <v>50.473884561635977</v>
      </c>
      <c r="AS256" s="2">
        <f>[1]节奏总纲!BE256</f>
        <v>55.189224284008354</v>
      </c>
    </row>
    <row r="257" spans="17:45" x14ac:dyDescent="0.15">
      <c r="Q257" s="1">
        <v>254</v>
      </c>
      <c r="R257" s="1">
        <f>[1]节奏总纲!AD257</f>
        <v>79.941669038387062</v>
      </c>
      <c r="S257" s="1">
        <f>[1]节奏总纲!AE257</f>
        <v>82.046165327855846</v>
      </c>
      <c r="T257" s="1">
        <f>[1]节奏总纲!AF257</f>
        <v>85.004450307848032</v>
      </c>
      <c r="U257" s="1">
        <f>[1]节奏总纲!AG257</f>
        <v>89.939159559335295</v>
      </c>
      <c r="V257" s="1">
        <f>[1]节奏总纲!AH257</f>
        <v>98.786042483127417</v>
      </c>
      <c r="AN257" s="2">
        <v>254</v>
      </c>
      <c r="AO257" s="2">
        <f>[1]节奏总纲!BA257</f>
        <v>44.300610177479435</v>
      </c>
      <c r="AP257" s="2">
        <f>[1]节奏总纲!BB257</f>
        <v>45.813450393445684</v>
      </c>
      <c r="AQ257" s="2">
        <f>[1]节奏总纲!BC257</f>
        <v>47.757731135269317</v>
      </c>
      <c r="AR257" s="2">
        <f>[1]节奏总纲!BD257</f>
        <v>50.500642583185162</v>
      </c>
      <c r="AS257" s="2">
        <f>[1]节奏总纲!BE257</f>
        <v>55.214934105205138</v>
      </c>
    </row>
    <row r="258" spans="17:45" x14ac:dyDescent="0.15">
      <c r="Q258" s="1">
        <v>255</v>
      </c>
      <c r="R258" s="1">
        <f>[1]节奏总纲!AD258</f>
        <v>80</v>
      </c>
      <c r="S258" s="1">
        <f>[1]节奏总纲!AE258</f>
        <v>82.100546804797787</v>
      </c>
      <c r="T258" s="1">
        <f>[1]节奏总纲!AF258</f>
        <v>85.059053968634842</v>
      </c>
      <c r="U258" s="1">
        <f>[1]节奏总纲!AG258</f>
        <v>90.006385600230558</v>
      </c>
      <c r="V258" s="1">
        <f>[1]节奏总纲!AH258</f>
        <v>98.845483069917776</v>
      </c>
      <c r="AN258" s="2">
        <v>255</v>
      </c>
      <c r="AO258" s="2">
        <f>[1]节奏总纲!BA258</f>
        <v>44.326465623783335</v>
      </c>
      <c r="AP258" s="2">
        <f>[1]节奏总纲!BB258</f>
        <v>45.84134649747331</v>
      </c>
      <c r="AQ258" s="2">
        <f>[1]节奏总纲!BC258</f>
        <v>47.785447853033176</v>
      </c>
      <c r="AR258" s="2">
        <f>[1]节奏总纲!BD258</f>
        <v>50.527400604734339</v>
      </c>
      <c r="AS258" s="2">
        <f>[1]节奏总纲!BE258</f>
        <v>55.24064392640193</v>
      </c>
    </row>
    <row r="259" spans="17:45" x14ac:dyDescent="0.15">
      <c r="Q259" s="1">
        <v>256</v>
      </c>
      <c r="R259" s="1">
        <f>[1]节奏总纲!AD259</f>
        <v>80.054424711612938</v>
      </c>
      <c r="S259" s="1">
        <f>[1]节奏总纲!AE259</f>
        <v>82.154928281739714</v>
      </c>
      <c r="T259" s="1">
        <f>[1]节奏总纲!AF259</f>
        <v>85.113657629421638</v>
      </c>
      <c r="U259" s="1">
        <f>[1]节奏总纲!AG259</f>
        <v>90.062795496260307</v>
      </c>
      <c r="V259" s="1">
        <f>[1]节奏总纲!AH259</f>
        <v>98.904923656708121</v>
      </c>
      <c r="AN259" s="2">
        <v>256</v>
      </c>
      <c r="AO259" s="2">
        <f>[1]节奏总纲!BA259</f>
        <v>44.352321070087235</v>
      </c>
      <c r="AP259" s="2">
        <f>[1]节奏总纲!BB259</f>
        <v>45.869242601500943</v>
      </c>
      <c r="AQ259" s="2">
        <f>[1]节奏总纲!BC259</f>
        <v>47.813164570797035</v>
      </c>
      <c r="AR259" s="2">
        <f>[1]节奏总纲!BD259</f>
        <v>50.554158626283517</v>
      </c>
      <c r="AS259" s="2">
        <f>[1]节奏总纲!BE259</f>
        <v>55.266353747598714</v>
      </c>
    </row>
    <row r="260" spans="17:45" x14ac:dyDescent="0.15">
      <c r="Q260" s="1">
        <v>257</v>
      </c>
      <c r="R260" s="1">
        <f>[1]节奏总纲!AD260</f>
        <v>80.108849423225877</v>
      </c>
      <c r="S260" s="1">
        <f>[1]节奏总纲!AE260</f>
        <v>82.209309758681655</v>
      </c>
      <c r="T260" s="1">
        <f>[1]节奏总纲!AF260</f>
        <v>85.168261290208434</v>
      </c>
      <c r="U260" s="1">
        <f>[1]节奏总纲!AG260</f>
        <v>90.119205392290041</v>
      </c>
      <c r="V260" s="1">
        <f>[1]节奏总纲!AH260</f>
        <v>98.96436424349848</v>
      </c>
      <c r="AN260" s="2">
        <v>257</v>
      </c>
      <c r="AO260" s="2">
        <f>[1]节奏总纲!BA260</f>
        <v>44.378176516391136</v>
      </c>
      <c r="AP260" s="2">
        <f>[1]节奏总纲!BB260</f>
        <v>45.897138705528576</v>
      </c>
      <c r="AQ260" s="2">
        <f>[1]节奏总纲!BC260</f>
        <v>47.840881288560894</v>
      </c>
      <c r="AR260" s="2">
        <f>[1]节奏总纲!BD260</f>
        <v>50.580916647832701</v>
      </c>
      <c r="AS260" s="2">
        <f>[1]节奏总纲!BE260</f>
        <v>55.292063568795498</v>
      </c>
    </row>
    <row r="261" spans="17:45" x14ac:dyDescent="0.15">
      <c r="Q261" s="1">
        <v>258</v>
      </c>
      <c r="R261" s="1">
        <f>[1]节奏总纲!AD261</f>
        <v>80.163274134838829</v>
      </c>
      <c r="S261" s="1">
        <f>[1]节奏总纲!AE261</f>
        <v>82.263691235623583</v>
      </c>
      <c r="T261" s="1">
        <f>[1]节奏总纲!AF261</f>
        <v>85.222864950995231</v>
      </c>
      <c r="U261" s="1">
        <f>[1]节奏总纲!AG261</f>
        <v>90.175615288319776</v>
      </c>
      <c r="V261" s="1">
        <f>[1]节奏总纲!AH261</f>
        <v>99.023313221876677</v>
      </c>
      <c r="AN261" s="2">
        <v>258</v>
      </c>
      <c r="AO261" s="2">
        <f>[1]节奏总纲!BA261</f>
        <v>44.404031962695043</v>
      </c>
      <c r="AP261" s="2">
        <f>[1]节奏总纲!BB261</f>
        <v>45.925034809556202</v>
      </c>
      <c r="AQ261" s="2">
        <f>[1]节奏总纲!BC261</f>
        <v>47.868598006324753</v>
      </c>
      <c r="AR261" s="2">
        <f>[1]节奏总纲!BD261</f>
        <v>50.607674669381879</v>
      </c>
      <c r="AS261" s="2">
        <f>[1]节奏总纲!BE261</f>
        <v>55.31777338999229</v>
      </c>
    </row>
    <row r="262" spans="17:45" x14ac:dyDescent="0.15">
      <c r="Q262" s="1">
        <v>259</v>
      </c>
      <c r="R262" s="1">
        <f>[1]节奏总纲!AD262</f>
        <v>80.217698846451768</v>
      </c>
      <c r="S262" s="1">
        <f>[1]节奏总纲!AE262</f>
        <v>82.318072712565524</v>
      </c>
      <c r="T262" s="1">
        <f>[1]节奏总纲!AF262</f>
        <v>85.277468611782027</v>
      </c>
      <c r="U262" s="1">
        <f>[1]节奏总纲!AG262</f>
        <v>90.23202518434951</v>
      </c>
      <c r="V262" s="1">
        <f>[1]节奏总纲!AH262</f>
        <v>99.081526263999208</v>
      </c>
      <c r="AN262" s="2">
        <v>259</v>
      </c>
      <c r="AO262" s="2">
        <f>[1]节奏总纲!BA262</f>
        <v>44.429887408998944</v>
      </c>
      <c r="AP262" s="2">
        <f>[1]节奏总纲!BB262</f>
        <v>45.952930913583835</v>
      </c>
      <c r="AQ262" s="2">
        <f>[1]节奏总纲!BC262</f>
        <v>47.896314724088612</v>
      </c>
      <c r="AR262" s="2">
        <f>[1]节奏总纲!BD262</f>
        <v>50.634432690931064</v>
      </c>
      <c r="AS262" s="2">
        <f>[1]节奏总纲!BE262</f>
        <v>55.343483211189074</v>
      </c>
    </row>
    <row r="263" spans="17:45" x14ac:dyDescent="0.15">
      <c r="Q263" s="1">
        <v>260</v>
      </c>
      <c r="R263" s="1">
        <f>[1]节奏总纲!AD263</f>
        <v>80.272123558064706</v>
      </c>
      <c r="S263" s="1">
        <f>[1]节奏总纲!AE263</f>
        <v>82.372454189507465</v>
      </c>
      <c r="T263" s="1">
        <f>[1]节奏总纲!AF263</f>
        <v>85.332072272568837</v>
      </c>
      <c r="U263" s="1">
        <f>[1]节奏总纲!AG263</f>
        <v>90.288435080379244</v>
      </c>
      <c r="V263" s="1">
        <f>[1]节奏总纲!AH263</f>
        <v>99.139739306121726</v>
      </c>
      <c r="AN263" s="2">
        <v>260</v>
      </c>
      <c r="AO263" s="2">
        <f>[1]节奏总纲!BA263</f>
        <v>44.455742855302844</v>
      </c>
      <c r="AP263" s="2">
        <f>[1]节奏总纲!BB263</f>
        <v>45.98082701761146</v>
      </c>
      <c r="AQ263" s="2">
        <f>[1]节奏总纲!BC263</f>
        <v>47.92403144185247</v>
      </c>
      <c r="AR263" s="2">
        <f>[1]节奏总纲!BD263</f>
        <v>50.661190712480241</v>
      </c>
      <c r="AS263" s="2">
        <f>[1]节奏总纲!BE263</f>
        <v>55.369193032385866</v>
      </c>
    </row>
    <row r="264" spans="17:45" x14ac:dyDescent="0.15">
      <c r="Q264" s="1">
        <v>261</v>
      </c>
      <c r="R264" s="1">
        <f>[1]节奏总纲!AD264</f>
        <v>80.326548269677644</v>
      </c>
      <c r="S264" s="1">
        <f>[1]节奏总纲!AE264</f>
        <v>82.426835666449392</v>
      </c>
      <c r="T264" s="1">
        <f>[1]节奏总纲!AF264</f>
        <v>85.386675933355633</v>
      </c>
      <c r="U264" s="1">
        <f>[1]节奏总纲!AG264</f>
        <v>90.344844976408993</v>
      </c>
      <c r="V264" s="1">
        <f>[1]节奏总纲!AH264</f>
        <v>99.197952348244257</v>
      </c>
      <c r="AN264" s="2">
        <v>261</v>
      </c>
      <c r="AO264" s="2">
        <f>[1]节奏总纲!BA264</f>
        <v>44.481598301606752</v>
      </c>
      <c r="AP264" s="2">
        <f>[1]节奏总纲!BB264</f>
        <v>46.007529841290832</v>
      </c>
      <c r="AQ264" s="2">
        <f>[1]节奏总纲!BC264</f>
        <v>47.951748159616329</v>
      </c>
      <c r="AR264" s="2">
        <f>[1]节奏总纲!BD264</f>
        <v>50.687948734029419</v>
      </c>
      <c r="AS264" s="2">
        <f>[1]节奏总纲!BE264</f>
        <v>55.39490285358265</v>
      </c>
    </row>
    <row r="265" spans="17:45" x14ac:dyDescent="0.15">
      <c r="Q265" s="1">
        <v>262</v>
      </c>
      <c r="R265" s="1">
        <f>[1]节奏总纲!AD265</f>
        <v>80.380972981290597</v>
      </c>
      <c r="S265" s="1">
        <f>[1]节奏总纲!AE265</f>
        <v>82.481217143391333</v>
      </c>
      <c r="T265" s="1">
        <f>[1]节奏总纲!AF265</f>
        <v>85.441279594142429</v>
      </c>
      <c r="U265" s="1">
        <f>[1]节奏总纲!AG265</f>
        <v>90.401254872438727</v>
      </c>
      <c r="V265" s="1">
        <f>[1]节奏总纲!AH265</f>
        <v>99.256165390366789</v>
      </c>
      <c r="AN265" s="2">
        <v>262</v>
      </c>
      <c r="AO265" s="2">
        <f>[1]节奏总纲!BA265</f>
        <v>44.507453747910652</v>
      </c>
      <c r="AP265" s="2">
        <f>[1]节奏总纲!BB265</f>
        <v>46.031609894814238</v>
      </c>
      <c r="AQ265" s="2">
        <f>[1]节奏总纲!BC265</f>
        <v>47.979464877380188</v>
      </c>
      <c r="AR265" s="2">
        <f>[1]节奏总纲!BD265</f>
        <v>50.714706755578604</v>
      </c>
      <c r="AS265" s="2">
        <f>[1]节奏总纲!BE265</f>
        <v>55.420612674779434</v>
      </c>
    </row>
    <row r="266" spans="17:45" x14ac:dyDescent="0.15">
      <c r="Q266" s="1">
        <v>263</v>
      </c>
      <c r="R266" s="1">
        <f>[1]节奏总纲!AD266</f>
        <v>80.435397692903535</v>
      </c>
      <c r="S266" s="1">
        <f>[1]节奏总纲!AE266</f>
        <v>82.535598620333275</v>
      </c>
      <c r="T266" s="1">
        <f>[1]节奏总纲!AF266</f>
        <v>85.495883254929225</v>
      </c>
      <c r="U266" s="1">
        <f>[1]节奏总纲!AG266</f>
        <v>90.457664768468462</v>
      </c>
      <c r="V266" s="1">
        <f>[1]节奏总纲!AH266</f>
        <v>99.314378432489306</v>
      </c>
      <c r="AN266" s="2">
        <v>263</v>
      </c>
      <c r="AO266" s="2">
        <f>[1]节奏总纲!BA266</f>
        <v>44.533309194214553</v>
      </c>
      <c r="AP266" s="2">
        <f>[1]节奏总纲!BB266</f>
        <v>46.055689948337651</v>
      </c>
      <c r="AQ266" s="2">
        <f>[1]节奏总纲!BC266</f>
        <v>48.006200084618079</v>
      </c>
      <c r="AR266" s="2">
        <f>[1]节奏总纲!BD266</f>
        <v>50.741464777127781</v>
      </c>
      <c r="AS266" s="2">
        <f>[1]节奏总纲!BE266</f>
        <v>55.446322495976226</v>
      </c>
    </row>
    <row r="267" spans="17:45" x14ac:dyDescent="0.15">
      <c r="Q267" s="1">
        <v>264</v>
      </c>
      <c r="R267" s="1">
        <f>[1]节奏总纲!AD267</f>
        <v>80.489822404516474</v>
      </c>
      <c r="S267" s="1">
        <f>[1]节奏总纲!AE267</f>
        <v>82.589980097275202</v>
      </c>
      <c r="T267" s="1">
        <f>[1]节奏总纲!AF267</f>
        <v>85.550486915716021</v>
      </c>
      <c r="U267" s="1">
        <f>[1]节奏总纲!AG267</f>
        <v>90.514074664498196</v>
      </c>
      <c r="V267" s="1">
        <f>[1]节奏总纲!AH267</f>
        <v>99.372591474611838</v>
      </c>
      <c r="AN267" s="2">
        <v>264</v>
      </c>
      <c r="AO267" s="2">
        <f>[1]节奏总纲!BA267</f>
        <v>44.55916464051846</v>
      </c>
      <c r="AP267" s="2">
        <f>[1]节奏总纲!BB267</f>
        <v>46.079770001861057</v>
      </c>
      <c r="AQ267" s="2">
        <f>[1]节奏总纲!BC267</f>
        <v>48.030128751164241</v>
      </c>
      <c r="AR267" s="2">
        <f>[1]节奏总纲!BD267</f>
        <v>50.768222798676959</v>
      </c>
      <c r="AS267" s="2">
        <f>[1]节奏总纲!BE267</f>
        <v>55.47203231717301</v>
      </c>
    </row>
    <row r="268" spans="17:45" x14ac:dyDescent="0.15">
      <c r="Q268" s="1">
        <v>265</v>
      </c>
      <c r="R268" s="1">
        <f>[1]节奏总纲!AD268</f>
        <v>80.544247116129412</v>
      </c>
      <c r="S268" s="1">
        <f>[1]节奏总纲!AE268</f>
        <v>82.644361574217143</v>
      </c>
      <c r="T268" s="1">
        <f>[1]节奏总纲!AF268</f>
        <v>85.605090576502832</v>
      </c>
      <c r="U268" s="1">
        <f>[1]节奏总纲!AG268</f>
        <v>90.57048456052793</v>
      </c>
      <c r="V268" s="1">
        <f>[1]节奏总纲!AH268</f>
        <v>99.430804516734369</v>
      </c>
      <c r="AN268" s="2">
        <v>265</v>
      </c>
      <c r="AO268" s="2">
        <f>[1]节奏总纲!BA268</f>
        <v>44.585020086822361</v>
      </c>
      <c r="AP268" s="2">
        <f>[1]节奏总纲!BB268</f>
        <v>46.10385005538447</v>
      </c>
      <c r="AQ268" s="2">
        <f>[1]节奏总纲!BC268</f>
        <v>48.054057417710396</v>
      </c>
      <c r="AR268" s="2">
        <f>[1]节奏总纲!BD268</f>
        <v>50.794980820226144</v>
      </c>
      <c r="AS268" s="2">
        <f>[1]节奏总纲!BE268</f>
        <v>55.497742138369794</v>
      </c>
    </row>
    <row r="269" spans="17:45" x14ac:dyDescent="0.15">
      <c r="Q269" s="1">
        <v>266</v>
      </c>
      <c r="R269" s="1">
        <f>[1]节奏总纲!AD269</f>
        <v>80.598671827742351</v>
      </c>
      <c r="S269" s="1">
        <f>[1]节奏总纲!AE269</f>
        <v>82.698743051159084</v>
      </c>
      <c r="T269" s="1">
        <f>[1]节奏总纲!AF269</f>
        <v>85.659694237289628</v>
      </c>
      <c r="U269" s="1">
        <f>[1]节奏总纲!AG269</f>
        <v>90.626894456557665</v>
      </c>
      <c r="V269" s="1">
        <f>[1]节奏总纲!AH269</f>
        <v>99.489017558856887</v>
      </c>
      <c r="AN269" s="2">
        <v>266</v>
      </c>
      <c r="AO269" s="2">
        <f>[1]节奏总纲!BA269</f>
        <v>44.610875533126261</v>
      </c>
      <c r="AP269" s="2">
        <f>[1]节奏总纲!BB269</f>
        <v>46.127930108907876</v>
      </c>
      <c r="AQ269" s="2">
        <f>[1]节奏总纲!BC269</f>
        <v>48.077986084256551</v>
      </c>
      <c r="AR269" s="2">
        <f>[1]节奏总纲!BD269</f>
        <v>50.821738841775321</v>
      </c>
      <c r="AS269" s="2">
        <f>[1]节奏总纲!BE269</f>
        <v>55.523451959566586</v>
      </c>
    </row>
    <row r="270" spans="17:45" x14ac:dyDescent="0.15">
      <c r="Q270" s="1">
        <v>267</v>
      </c>
      <c r="R270" s="1">
        <f>[1]节奏总纲!AD270</f>
        <v>80.653096539355303</v>
      </c>
      <c r="S270" s="1">
        <f>[1]节奏总纲!AE270</f>
        <v>82.753124528101011</v>
      </c>
      <c r="T270" s="1">
        <f>[1]节奏总纲!AF270</f>
        <v>85.714297898076424</v>
      </c>
      <c r="U270" s="1">
        <f>[1]节奏总纲!AG270</f>
        <v>90.683304352587413</v>
      </c>
      <c r="V270" s="1">
        <f>[1]节奏总纲!AH270</f>
        <v>99.547230600979418</v>
      </c>
      <c r="AN270" s="2">
        <v>267</v>
      </c>
      <c r="AO270" s="2">
        <f>[1]节奏总纲!BA270</f>
        <v>44.636730979430169</v>
      </c>
      <c r="AP270" s="2">
        <f>[1]节奏总纲!BB270</f>
        <v>46.152010162431289</v>
      </c>
      <c r="AQ270" s="2">
        <f>[1]节奏总纲!BC270</f>
        <v>48.101914750802706</v>
      </c>
      <c r="AR270" s="2">
        <f>[1]节奏总纲!BD270</f>
        <v>50.848496863324499</v>
      </c>
      <c r="AS270" s="2">
        <f>[1]节奏总纲!BE270</f>
        <v>55.54916178076337</v>
      </c>
    </row>
    <row r="271" spans="17:45" x14ac:dyDescent="0.15">
      <c r="Q271" s="1">
        <v>268</v>
      </c>
      <c r="R271" s="1">
        <f>[1]节奏总纲!AD271</f>
        <v>80.707521250968242</v>
      </c>
      <c r="S271" s="1">
        <f>[1]节奏总纲!AE271</f>
        <v>82.807506005042953</v>
      </c>
      <c r="T271" s="1">
        <f>[1]节奏总纲!AF271</f>
        <v>85.76890155886322</v>
      </c>
      <c r="U271" s="1">
        <f>[1]节奏总纲!AG271</f>
        <v>90.739714248617148</v>
      </c>
      <c r="V271" s="1">
        <f>[1]节奏总纲!AH271</f>
        <v>99.605443643101935</v>
      </c>
      <c r="AN271" s="2">
        <v>268</v>
      </c>
      <c r="AO271" s="2">
        <f>[1]节奏总纲!BA271</f>
        <v>44.662586425734069</v>
      </c>
      <c r="AP271" s="2">
        <f>[1]节奏总纲!BB271</f>
        <v>46.176090215954694</v>
      </c>
      <c r="AQ271" s="2">
        <f>[1]节奏总纲!BC271</f>
        <v>48.125843417348868</v>
      </c>
      <c r="AR271" s="2">
        <f>[1]节奏总纲!BD271</f>
        <v>50.875254884873684</v>
      </c>
      <c r="AS271" s="2">
        <f>[1]节奏总纲!BE271</f>
        <v>55.574871601960162</v>
      </c>
    </row>
    <row r="272" spans="17:45" x14ac:dyDescent="0.15">
      <c r="Q272" s="1">
        <v>269</v>
      </c>
      <c r="R272" s="1">
        <f>[1]节奏总纲!AD272</f>
        <v>80.76194596258118</v>
      </c>
      <c r="S272" s="1">
        <f>[1]节奏总纲!AE272</f>
        <v>82.861887481984894</v>
      </c>
      <c r="T272" s="1">
        <f>[1]节奏总纲!AF272</f>
        <v>85.823505219650016</v>
      </c>
      <c r="U272" s="1">
        <f>[1]节奏总纲!AG272</f>
        <v>90.796124144646882</v>
      </c>
      <c r="V272" s="1">
        <f>[1]节奏总纲!AH272</f>
        <v>99.663656685224467</v>
      </c>
      <c r="AN272" s="2">
        <v>269</v>
      </c>
      <c r="AO272" s="2">
        <f>[1]节奏总纲!BA272</f>
        <v>44.68844187203797</v>
      </c>
      <c r="AP272" s="2">
        <f>[1]节奏总纲!BB272</f>
        <v>46.200170269478107</v>
      </c>
      <c r="AQ272" s="2">
        <f>[1]节奏总纲!BC272</f>
        <v>48.149772083895023</v>
      </c>
      <c r="AR272" s="2">
        <f>[1]节奏总纲!BD272</f>
        <v>50.902012906422861</v>
      </c>
      <c r="AS272" s="2">
        <f>[1]节奏总纲!BE272</f>
        <v>55.600581423156946</v>
      </c>
    </row>
    <row r="273" spans="17:45" x14ac:dyDescent="0.15">
      <c r="Q273" s="1">
        <v>270</v>
      </c>
      <c r="R273" s="1">
        <f>[1]节奏总纲!AD273</f>
        <v>80.816370674194118</v>
      </c>
      <c r="S273" s="1">
        <f>[1]节奏总纲!AE273</f>
        <v>82.916268958926821</v>
      </c>
      <c r="T273" s="1">
        <f>[1]节奏总纲!AF273</f>
        <v>85.878108880436827</v>
      </c>
      <c r="U273" s="1">
        <f>[1]节奏总纲!AG273</f>
        <v>90.852534040676616</v>
      </c>
      <c r="V273" s="1">
        <f>[1]节奏总纲!AH273</f>
        <v>99.721869727346999</v>
      </c>
      <c r="AN273" s="2">
        <v>270</v>
      </c>
      <c r="AO273" s="2">
        <f>[1]节奏总纲!BA273</f>
        <v>44.714297318341877</v>
      </c>
      <c r="AP273" s="2">
        <f>[1]节奏总纲!BB273</f>
        <v>46.224250323001513</v>
      </c>
      <c r="AQ273" s="2">
        <f>[1]节奏总纲!BC273</f>
        <v>48.173700750441178</v>
      </c>
      <c r="AR273" s="2">
        <f>[1]节奏总纲!BD273</f>
        <v>50.928770927972039</v>
      </c>
      <c r="AS273" s="2">
        <f>[1]节奏总纲!BE273</f>
        <v>55.62629124435373</v>
      </c>
    </row>
    <row r="274" spans="17:45" x14ac:dyDescent="0.15">
      <c r="Q274" s="1">
        <v>271</v>
      </c>
      <c r="R274" s="1">
        <f>[1]节奏总纲!AD274</f>
        <v>80.870795385807057</v>
      </c>
      <c r="S274" s="1">
        <f>[1]节奏总纲!AE274</f>
        <v>82.970650435868762</v>
      </c>
      <c r="T274" s="1">
        <f>[1]节奏总纲!AF274</f>
        <v>85.932712541223623</v>
      </c>
      <c r="U274" s="1">
        <f>[1]节奏总纲!AG274</f>
        <v>90.908943936706351</v>
      </c>
      <c r="V274" s="1">
        <f>[1]节奏总纲!AH274</f>
        <v>99.780082769469516</v>
      </c>
      <c r="AN274" s="2">
        <v>271</v>
      </c>
      <c r="AO274" s="2">
        <f>[1]节奏总纲!BA274</f>
        <v>44.740152764645778</v>
      </c>
      <c r="AP274" s="2">
        <f>[1]节奏总纲!BB274</f>
        <v>46.248330376524919</v>
      </c>
      <c r="AQ274" s="2">
        <f>[1]节奏总纲!BC274</f>
        <v>48.19762941698734</v>
      </c>
      <c r="AR274" s="2">
        <f>[1]节奏总纲!BD274</f>
        <v>50.955528949521224</v>
      </c>
      <c r="AS274" s="2">
        <f>[1]节奏总纲!BE274</f>
        <v>55.652001065550522</v>
      </c>
    </row>
    <row r="275" spans="17:45" x14ac:dyDescent="0.15">
      <c r="Q275" s="1">
        <v>272</v>
      </c>
      <c r="R275" s="1">
        <f>[1]节奏总纲!AD275</f>
        <v>80.925220097420009</v>
      </c>
      <c r="S275" s="1">
        <f>[1]节奏总纲!AE275</f>
        <v>83.023342162088809</v>
      </c>
      <c r="T275" s="1">
        <f>[1]节奏总纲!AF275</f>
        <v>85.987316202010419</v>
      </c>
      <c r="U275" s="1">
        <f>[1]节奏总纲!AG275</f>
        <v>90.965353832736099</v>
      </c>
      <c r="V275" s="1">
        <f>[1]节奏总纲!AH275</f>
        <v>99.838295811592047</v>
      </c>
      <c r="AN275" s="2">
        <v>272</v>
      </c>
      <c r="AO275" s="2">
        <f>[1]节奏总纲!BA275</f>
        <v>44.766008210949678</v>
      </c>
      <c r="AP275" s="2">
        <f>[1]节奏总纲!BB275</f>
        <v>46.272410430048332</v>
      </c>
      <c r="AQ275" s="2">
        <f>[1]节奏总纲!BC275</f>
        <v>48.221558083533495</v>
      </c>
      <c r="AR275" s="2">
        <f>[1]节奏总纲!BD275</f>
        <v>50.982286971070401</v>
      </c>
      <c r="AS275" s="2">
        <f>[1]节奏总纲!BE275</f>
        <v>55.677710886747306</v>
      </c>
    </row>
    <row r="276" spans="17:45" x14ac:dyDescent="0.15">
      <c r="Q276" s="1">
        <v>273</v>
      </c>
      <c r="R276" s="1">
        <f>[1]节奏总纲!AD276</f>
        <v>80.979644809032948</v>
      </c>
      <c r="S276" s="1">
        <f>[1]节奏总纲!AE276</f>
        <v>83.07405267945947</v>
      </c>
      <c r="T276" s="1">
        <f>[1]节奏总纲!AF276</f>
        <v>86.038061368689995</v>
      </c>
      <c r="U276" s="1">
        <f>[1]节奏总纲!AG276</f>
        <v>91.020352770869948</v>
      </c>
      <c r="V276" s="1">
        <f>[1]节奏总纲!AH276</f>
        <v>99.896508853714579</v>
      </c>
      <c r="AN276" s="2">
        <v>273</v>
      </c>
      <c r="AO276" s="2">
        <f>[1]节奏总纲!BA276</f>
        <v>44.791863657253586</v>
      </c>
      <c r="AP276" s="2">
        <f>[1]节奏总纲!BB276</f>
        <v>46.296490483571738</v>
      </c>
      <c r="AQ276" s="2">
        <f>[1]节奏总纲!BC276</f>
        <v>48.24548675007965</v>
      </c>
      <c r="AR276" s="2">
        <f>[1]节奏总纲!BD276</f>
        <v>51.007810424246486</v>
      </c>
      <c r="AS276" s="2">
        <f>[1]节奏总纲!BE276</f>
        <v>55.703420707944098</v>
      </c>
    </row>
    <row r="277" spans="17:45" x14ac:dyDescent="0.15">
      <c r="Q277" s="1">
        <v>274</v>
      </c>
      <c r="R277" s="1">
        <f>[1]节奏总纲!AD277</f>
        <v>81.031787986768464</v>
      </c>
      <c r="S277" s="1">
        <f>[1]节奏总纲!AE277</f>
        <v>83.124763196830131</v>
      </c>
      <c r="T277" s="1">
        <f>[1]节奏总纲!AF277</f>
        <v>86.087639061133402</v>
      </c>
      <c r="U277" s="1">
        <f>[1]节奏总纲!AG277</f>
        <v>91.073105573528181</v>
      </c>
      <c r="V277" s="1">
        <f>[1]节奏总纲!AH277</f>
        <v>99.954721895837096</v>
      </c>
      <c r="AN277" s="2">
        <v>274</v>
      </c>
      <c r="AO277" s="2">
        <f>[1]节奏总纲!BA277</f>
        <v>44.817719103557486</v>
      </c>
      <c r="AP277" s="2">
        <f>[1]节奏总纲!BB277</f>
        <v>46.320570537095151</v>
      </c>
      <c r="AQ277" s="2">
        <f>[1]节奏总纲!BC277</f>
        <v>48.269415416625804</v>
      </c>
      <c r="AR277" s="2">
        <f>[1]节奏总纲!BD277</f>
        <v>51.030916192165336</v>
      </c>
      <c r="AS277" s="2">
        <f>[1]节奏总纲!BE277</f>
        <v>55.729130529140882</v>
      </c>
    </row>
    <row r="278" spans="17:45" x14ac:dyDescent="0.15">
      <c r="Q278" s="1">
        <v>275</v>
      </c>
      <c r="R278" s="1">
        <f>[1]节奏总纲!AD278</f>
        <v>81.082568038258216</v>
      </c>
      <c r="S278" s="1">
        <f>[1]节奏总纲!AE278</f>
        <v>83.175473714200777</v>
      </c>
      <c r="T278" s="1">
        <f>[1]节奏总纲!AF278</f>
        <v>86.137216753576809</v>
      </c>
      <c r="U278" s="1">
        <f>[1]节奏总纲!AG278</f>
        <v>91.125858376186414</v>
      </c>
      <c r="V278" s="1">
        <f>[1]节奏总纲!AH278</f>
        <v>100.01191770041967</v>
      </c>
      <c r="AN278" s="2">
        <v>275</v>
      </c>
      <c r="AO278" s="2">
        <f>[1]节奏总纲!BA278</f>
        <v>44.843574549861387</v>
      </c>
      <c r="AP278" s="2">
        <f>[1]节奏总纲!BB278</f>
        <v>46.344650590618556</v>
      </c>
      <c r="AQ278" s="2">
        <f>[1]节奏总纲!BC278</f>
        <v>48.293344083171966</v>
      </c>
      <c r="AR278" s="2">
        <f>[1]节奏总纲!BD278</f>
        <v>51.054021960084178</v>
      </c>
      <c r="AS278" s="2">
        <f>[1]节奏总纲!BE278</f>
        <v>55.754840350337666</v>
      </c>
    </row>
    <row r="279" spans="17:45" x14ac:dyDescent="0.15">
      <c r="Q279" s="1">
        <v>276</v>
      </c>
      <c r="R279" s="1">
        <f>[1]节奏总纲!AD279</f>
        <v>81.133348089747955</v>
      </c>
      <c r="S279" s="1">
        <f>[1]节奏总纲!AE279</f>
        <v>83.226184231571438</v>
      </c>
      <c r="T279" s="1">
        <f>[1]节奏总纲!AF279</f>
        <v>86.186794446020215</v>
      </c>
      <c r="U279" s="1">
        <f>[1]节奏总纲!AG279</f>
        <v>91.178611178844633</v>
      </c>
      <c r="V279" s="1">
        <f>[1]节奏总纲!AH279</f>
        <v>100.06555271580974</v>
      </c>
      <c r="AN279" s="2">
        <v>276</v>
      </c>
      <c r="AO279" s="2">
        <f>[1]节奏总纲!BA279</f>
        <v>44.869429996165294</v>
      </c>
      <c r="AP279" s="2">
        <f>[1]节奏总纲!BB279</f>
        <v>46.368730644141969</v>
      </c>
      <c r="AQ279" s="2">
        <f>[1]节奏总纲!BC279</f>
        <v>48.317272749718121</v>
      </c>
      <c r="AR279" s="2">
        <f>[1]节奏总纲!BD279</f>
        <v>51.077127728003028</v>
      </c>
      <c r="AS279" s="2">
        <f>[1]节奏总纲!BE279</f>
        <v>55.780550171534458</v>
      </c>
    </row>
    <row r="280" spans="17:45" x14ac:dyDescent="0.15">
      <c r="Q280" s="1">
        <v>277</v>
      </c>
      <c r="R280" s="1">
        <f>[1]节奏总纲!AD280</f>
        <v>81.184128141237707</v>
      </c>
      <c r="S280" s="1">
        <f>[1]节奏总纲!AE280</f>
        <v>83.276894748942098</v>
      </c>
      <c r="T280" s="1">
        <f>[1]节奏总纲!AF280</f>
        <v>86.236372138463622</v>
      </c>
      <c r="U280" s="1">
        <f>[1]节奏总纲!AG280</f>
        <v>91.231363981502867</v>
      </c>
      <c r="V280" s="1">
        <f>[1]节奏总纲!AH280</f>
        <v>100.11918773119983</v>
      </c>
      <c r="AN280" s="2">
        <v>277</v>
      </c>
      <c r="AO280" s="2">
        <f>[1]节奏总纲!BA280</f>
        <v>44.895285442469195</v>
      </c>
      <c r="AP280" s="2">
        <f>[1]节奏总纲!BB280</f>
        <v>46.392810697665375</v>
      </c>
      <c r="AQ280" s="2">
        <f>[1]节奏总纲!BC280</f>
        <v>48.341201416264276</v>
      </c>
      <c r="AR280" s="2">
        <f>[1]节奏总纲!BD280</f>
        <v>51.10023349592187</v>
      </c>
      <c r="AS280" s="2">
        <f>[1]节奏总纲!BE280</f>
        <v>55.806259992731242</v>
      </c>
    </row>
    <row r="281" spans="17:45" x14ac:dyDescent="0.15">
      <c r="Q281" s="1">
        <v>278</v>
      </c>
      <c r="R281" s="1">
        <f>[1]节奏总纲!AD281</f>
        <v>81.23490819272746</v>
      </c>
      <c r="S281" s="1">
        <f>[1]节奏总纲!AE281</f>
        <v>83.327605266312744</v>
      </c>
      <c r="T281" s="1">
        <f>[1]节奏总纲!AF281</f>
        <v>86.285949830907029</v>
      </c>
      <c r="U281" s="1">
        <f>[1]节奏总纲!AG281</f>
        <v>91.2841167841611</v>
      </c>
      <c r="V281" s="1">
        <f>[1]节奏总纲!AH281</f>
        <v>100.1728227465899</v>
      </c>
      <c r="AN281" s="2">
        <v>278</v>
      </c>
      <c r="AO281" s="2">
        <f>[1]节奏总纲!BA281</f>
        <v>44.921140888773095</v>
      </c>
      <c r="AP281" s="2">
        <f>[1]节奏总纲!BB281</f>
        <v>46.416890751188788</v>
      </c>
      <c r="AQ281" s="2">
        <f>[1]节奏总纲!BC281</f>
        <v>48.365130082810438</v>
      </c>
      <c r="AR281" s="2">
        <f>[1]节奏总纲!BD281</f>
        <v>51.12333926384072</v>
      </c>
      <c r="AS281" s="2">
        <f>[1]节奏总纲!BE281</f>
        <v>55.831969813928033</v>
      </c>
    </row>
    <row r="282" spans="17:45" x14ac:dyDescent="0.15">
      <c r="Q282" s="1">
        <v>279</v>
      </c>
      <c r="R282" s="1">
        <f>[1]节奏总纲!AD282</f>
        <v>81.285688244217212</v>
      </c>
      <c r="S282" s="1">
        <f>[1]节奏总纲!AE282</f>
        <v>83.378315783683405</v>
      </c>
      <c r="T282" s="1">
        <f>[1]节奏总纲!AF282</f>
        <v>86.335527523350422</v>
      </c>
      <c r="U282" s="1">
        <f>[1]节奏总纲!AG282</f>
        <v>91.336869586819319</v>
      </c>
      <c r="V282" s="1">
        <f>[1]节奏总纲!AH282</f>
        <v>100.22645776197997</v>
      </c>
      <c r="AN282" s="2">
        <v>279</v>
      </c>
      <c r="AO282" s="2">
        <f>[1]节奏总纲!BA282</f>
        <v>44.946996335076996</v>
      </c>
      <c r="AP282" s="2">
        <f>[1]节奏总纲!BB282</f>
        <v>46.440970804712194</v>
      </c>
      <c r="AQ282" s="2">
        <f>[1]节奏总纲!BC282</f>
        <v>48.389058749356593</v>
      </c>
      <c r="AR282" s="2">
        <f>[1]节奏总纲!BD282</f>
        <v>51.146445031759569</v>
      </c>
      <c r="AS282" s="2">
        <f>[1]节奏总纲!BE282</f>
        <v>55.857679635124818</v>
      </c>
    </row>
    <row r="283" spans="17:45" x14ac:dyDescent="0.15">
      <c r="Q283" s="1">
        <v>280</v>
      </c>
      <c r="R283" s="1">
        <f>[1]节奏总纲!AD283</f>
        <v>81.336468295706965</v>
      </c>
      <c r="S283" s="1">
        <f>[1]节奏总纲!AE283</f>
        <v>83.429026301054066</v>
      </c>
      <c r="T283" s="1">
        <f>[1]节奏总纲!AF283</f>
        <v>86.385105215793828</v>
      </c>
      <c r="U283" s="1">
        <f>[1]节奏总纲!AG283</f>
        <v>91.389622389477552</v>
      </c>
      <c r="V283" s="1">
        <f>[1]节奏总纲!AH283</f>
        <v>100.28009277737006</v>
      </c>
      <c r="AN283" s="2">
        <v>280</v>
      </c>
      <c r="AO283" s="2">
        <f>[1]节奏总纲!BA283</f>
        <v>44.972851781380903</v>
      </c>
      <c r="AP283" s="2">
        <f>[1]节奏总纲!BB283</f>
        <v>46.465050858235607</v>
      </c>
      <c r="AQ283" s="2">
        <f>[1]节奏总纲!BC283</f>
        <v>48.412987415902748</v>
      </c>
      <c r="AR283" s="2">
        <f>[1]节奏总纲!BD283</f>
        <v>51.169550799678412</v>
      </c>
      <c r="AS283" s="2">
        <f>[1]节奏总纲!BE283</f>
        <v>55.883389456321602</v>
      </c>
    </row>
    <row r="284" spans="17:45" x14ac:dyDescent="0.15">
      <c r="Q284" s="1">
        <v>281</v>
      </c>
      <c r="R284" s="1">
        <f>[1]节奏总纲!AD284</f>
        <v>81.387248347196717</v>
      </c>
      <c r="S284" s="1">
        <f>[1]节奏总纲!AE284</f>
        <v>83.479736818424712</v>
      </c>
      <c r="T284" s="1">
        <f>[1]节奏总纲!AF284</f>
        <v>86.434682908237235</v>
      </c>
      <c r="U284" s="1">
        <f>[1]节奏总纲!AG284</f>
        <v>91.442375192135771</v>
      </c>
      <c r="V284" s="1">
        <f>[1]节奏总纲!AH284</f>
        <v>100.33372779276013</v>
      </c>
      <c r="AN284" s="2">
        <v>281</v>
      </c>
      <c r="AO284" s="2">
        <f>[1]节奏总纲!BA284</f>
        <v>44.998707227684804</v>
      </c>
      <c r="AP284" s="2">
        <f>[1]节奏总纲!BB284</f>
        <v>46.489130911759013</v>
      </c>
      <c r="AQ284" s="2">
        <f>[1]节奏总纲!BC284</f>
        <v>48.43691608244891</v>
      </c>
      <c r="AR284" s="2">
        <f>[1]节奏总纲!BD284</f>
        <v>51.192656567597261</v>
      </c>
      <c r="AS284" s="2">
        <f>[1]节奏总纲!BE284</f>
        <v>55.909099277518393</v>
      </c>
    </row>
    <row r="285" spans="17:45" x14ac:dyDescent="0.15">
      <c r="Q285" s="1">
        <v>282</v>
      </c>
      <c r="R285" s="1">
        <f>[1]节奏总纲!AD285</f>
        <v>81.43802839868647</v>
      </c>
      <c r="S285" s="1">
        <f>[1]节奏总纲!AE285</f>
        <v>83.530447335795373</v>
      </c>
      <c r="T285" s="1">
        <f>[1]节奏总纲!AF285</f>
        <v>86.484260600680642</v>
      </c>
      <c r="U285" s="1">
        <f>[1]节奏总纲!AG285</f>
        <v>91.495127994794004</v>
      </c>
      <c r="V285" s="1">
        <f>[1]节奏总纲!AH285</f>
        <v>100.3873628081502</v>
      </c>
      <c r="AN285" s="2">
        <v>282</v>
      </c>
      <c r="AO285" s="2">
        <f>[1]节奏总纲!BA285</f>
        <v>45.021201039060998</v>
      </c>
      <c r="AP285" s="2">
        <f>[1]节奏总纲!BB285</f>
        <v>46.513210965282425</v>
      </c>
      <c r="AQ285" s="2">
        <f>[1]节奏总纲!BC285</f>
        <v>48.460844748995065</v>
      </c>
      <c r="AR285" s="2">
        <f>[1]节奏总纲!BD285</f>
        <v>51.215762335516104</v>
      </c>
      <c r="AS285" s="2">
        <f>[1]节奏总纲!BE285</f>
        <v>55.934809098715178</v>
      </c>
    </row>
    <row r="286" spans="17:45" x14ac:dyDescent="0.15">
      <c r="Q286" s="1">
        <v>283</v>
      </c>
      <c r="R286" s="1">
        <f>[1]节奏总纲!AD286</f>
        <v>81.488808450176222</v>
      </c>
      <c r="S286" s="1">
        <f>[1]节奏总纲!AE286</f>
        <v>83.581157853166033</v>
      </c>
      <c r="T286" s="1">
        <f>[1]节奏总纲!AF286</f>
        <v>86.533838293124049</v>
      </c>
      <c r="U286" s="1">
        <f>[1]节奏总纲!AG286</f>
        <v>91.547880797452237</v>
      </c>
      <c r="V286" s="1">
        <f>[1]节奏总纲!AH286</f>
        <v>100.44099782354027</v>
      </c>
      <c r="AN286" s="2">
        <v>283</v>
      </c>
      <c r="AO286" s="2">
        <f>[1]节奏总纲!BA286</f>
        <v>45.043517922283101</v>
      </c>
      <c r="AP286" s="2">
        <f>[1]节奏总纲!BB286</f>
        <v>46.537291018805831</v>
      </c>
      <c r="AQ286" s="2">
        <f>[1]节奏总纲!BC286</f>
        <v>48.48477341554122</v>
      </c>
      <c r="AR286" s="2">
        <f>[1]节奏总纲!BD286</f>
        <v>51.238868103434953</v>
      </c>
      <c r="AS286" s="2">
        <f>[1]节奏总纲!BE286</f>
        <v>55.960518919911962</v>
      </c>
    </row>
    <row r="287" spans="17:45" x14ac:dyDescent="0.15">
      <c r="Q287" s="1">
        <v>284</v>
      </c>
      <c r="R287" s="1">
        <f>[1]节奏总纲!AD287</f>
        <v>81.539588501665975</v>
      </c>
      <c r="S287" s="1">
        <f>[1]节奏总纲!AE287</f>
        <v>83.631868370536679</v>
      </c>
      <c r="T287" s="1">
        <f>[1]节奏总纲!AF287</f>
        <v>86.583415985567456</v>
      </c>
      <c r="U287" s="1">
        <f>[1]节奏总纲!AG287</f>
        <v>91.600633600110456</v>
      </c>
      <c r="V287" s="1">
        <f>[1]节奏总纲!AH287</f>
        <v>100.49463283893036</v>
      </c>
      <c r="AN287" s="2">
        <v>284</v>
      </c>
      <c r="AO287" s="2">
        <f>[1]节奏总纲!BA287</f>
        <v>45.065834805505204</v>
      </c>
      <c r="AP287" s="2">
        <f>[1]节奏总纲!BB287</f>
        <v>46.561371072329244</v>
      </c>
      <c r="AQ287" s="2">
        <f>[1]节奏总纲!BC287</f>
        <v>48.508702082087382</v>
      </c>
      <c r="AR287" s="2">
        <f>[1]节奏总纲!BD287</f>
        <v>51.261973871353796</v>
      </c>
      <c r="AS287" s="2">
        <f>[1]节奏总纲!BE287</f>
        <v>55.986228741108754</v>
      </c>
    </row>
    <row r="288" spans="17:45" x14ac:dyDescent="0.15">
      <c r="Q288" s="1">
        <v>285</v>
      </c>
      <c r="R288" s="1">
        <f>[1]节奏总纲!AD288</f>
        <v>81.590368553155727</v>
      </c>
      <c r="S288" s="1">
        <f>[1]节奏总纲!AE288</f>
        <v>83.68257888790734</v>
      </c>
      <c r="T288" s="1">
        <f>[1]节奏总纲!AF288</f>
        <v>86.632993678010848</v>
      </c>
      <c r="U288" s="1">
        <f>[1]节奏总纲!AG288</f>
        <v>91.653386402768689</v>
      </c>
      <c r="V288" s="1">
        <f>[1]节奏总纲!AH288</f>
        <v>100.54826785432043</v>
      </c>
      <c r="AN288" s="2">
        <v>285</v>
      </c>
      <c r="AO288" s="2">
        <f>[1]节奏总纲!BA288</f>
        <v>45.088151688727308</v>
      </c>
      <c r="AP288" s="2">
        <f>[1]节奏总纲!BB288</f>
        <v>46.58545112585265</v>
      </c>
      <c r="AQ288" s="2">
        <f>[1]节奏总纲!BC288</f>
        <v>48.532630748633537</v>
      </c>
      <c r="AR288" s="2">
        <f>[1]节奏总纲!BD288</f>
        <v>51.285079639272645</v>
      </c>
      <c r="AS288" s="2">
        <f>[1]节奏总纲!BE288</f>
        <v>56.010312347085055</v>
      </c>
    </row>
    <row r="289" spans="17:45" x14ac:dyDescent="0.15">
      <c r="Q289" s="1">
        <v>286</v>
      </c>
      <c r="R289" s="1">
        <f>[1]节奏总纲!AD289</f>
        <v>81.64114860464548</v>
      </c>
      <c r="S289" s="1">
        <f>[1]节奏总纲!AE289</f>
        <v>83.733289405278001</v>
      </c>
      <c r="T289" s="1">
        <f>[1]节奏总纲!AF289</f>
        <v>86.682571370454255</v>
      </c>
      <c r="U289" s="1">
        <f>[1]节奏总纲!AG289</f>
        <v>91.706139205426922</v>
      </c>
      <c r="V289" s="1">
        <f>[1]节奏总纲!AH289</f>
        <v>100.6019028697105</v>
      </c>
      <c r="AN289" s="2">
        <v>286</v>
      </c>
      <c r="AO289" s="2">
        <f>[1]节奏总纲!BA289</f>
        <v>45.110468571949411</v>
      </c>
      <c r="AP289" s="2">
        <f>[1]节奏总纲!BB289</f>
        <v>46.609531179376063</v>
      </c>
      <c r="AQ289" s="2">
        <f>[1]节奏总纲!BC289</f>
        <v>48.556559415179692</v>
      </c>
      <c r="AR289" s="2">
        <f>[1]节奏总纲!BD289</f>
        <v>51.308185407191495</v>
      </c>
      <c r="AS289" s="2">
        <f>[1]节奏总纲!BE289</f>
        <v>56.032520096468168</v>
      </c>
    </row>
    <row r="290" spans="17:45" x14ac:dyDescent="0.15">
      <c r="Q290" s="1">
        <v>287</v>
      </c>
      <c r="R290" s="1">
        <f>[1]节奏总纲!AD290</f>
        <v>81.691928656135218</v>
      </c>
      <c r="S290" s="1">
        <f>[1]节奏总纲!AE290</f>
        <v>83.783999922648647</v>
      </c>
      <c r="T290" s="1">
        <f>[1]节奏总纲!AF290</f>
        <v>86.732149062897662</v>
      </c>
      <c r="U290" s="1">
        <f>[1]节奏总纲!AG290</f>
        <v>91.758892008085141</v>
      </c>
      <c r="V290" s="1">
        <f>[1]节奏总纲!AH290</f>
        <v>100.65553788510059</v>
      </c>
      <c r="AN290" s="2">
        <v>287</v>
      </c>
      <c r="AO290" s="2">
        <f>[1]节奏总纲!BA290</f>
        <v>45.132785455171515</v>
      </c>
      <c r="AP290" s="2">
        <f>[1]节奏总纲!BB290</f>
        <v>46.633611232899469</v>
      </c>
      <c r="AQ290" s="2">
        <f>[1]节奏总纲!BC290</f>
        <v>48.580488081725846</v>
      </c>
      <c r="AR290" s="2">
        <f>[1]节奏总纲!BD290</f>
        <v>51.331291175110337</v>
      </c>
      <c r="AS290" s="2">
        <f>[1]节奏总纲!BE290</f>
        <v>56.054727845851275</v>
      </c>
    </row>
    <row r="291" spans="17:45" x14ac:dyDescent="0.15">
      <c r="Q291" s="1">
        <v>288</v>
      </c>
      <c r="R291" s="1">
        <f>[1]节奏总纲!AD291</f>
        <v>81.742708707624971</v>
      </c>
      <c r="S291" s="1">
        <f>[1]节奏总纲!AE291</f>
        <v>83.834710440019307</v>
      </c>
      <c r="T291" s="1">
        <f>[1]节奏总纲!AF291</f>
        <v>86.781726755341069</v>
      </c>
      <c r="U291" s="1">
        <f>[1]节奏总纲!AG291</f>
        <v>91.811644810743374</v>
      </c>
      <c r="V291" s="1">
        <f>[1]节奏总纲!AH291</f>
        <v>100.70917290049066</v>
      </c>
      <c r="AN291" s="2">
        <v>288</v>
      </c>
      <c r="AO291" s="2">
        <f>[1]节奏总纲!BA291</f>
        <v>45.155102338393618</v>
      </c>
      <c r="AP291" s="2">
        <f>[1]节奏总纲!BB291</f>
        <v>46.657691286422882</v>
      </c>
      <c r="AQ291" s="2">
        <f>[1]节奏总纲!BC291</f>
        <v>48.604416748272008</v>
      </c>
      <c r="AR291" s="2">
        <f>[1]节奏总纲!BD291</f>
        <v>51.354396943029187</v>
      </c>
      <c r="AS291" s="2">
        <f>[1]节奏总纲!BE291</f>
        <v>56.076935595234382</v>
      </c>
    </row>
    <row r="292" spans="17:45" x14ac:dyDescent="0.15">
      <c r="Q292" s="1">
        <v>289</v>
      </c>
      <c r="R292" s="1">
        <f>[1]节奏总纲!AD292</f>
        <v>81.793488759114723</v>
      </c>
      <c r="S292" s="1">
        <f>[1]节奏总纲!AE292</f>
        <v>83.885420957389968</v>
      </c>
      <c r="T292" s="1">
        <f>[1]节奏总纲!AF292</f>
        <v>86.831304447784476</v>
      </c>
      <c r="U292" s="1">
        <f>[1]节奏总纲!AG292</f>
        <v>91.864397613401607</v>
      </c>
      <c r="V292" s="1">
        <f>[1]节奏总纲!AH292</f>
        <v>100.76280791588073</v>
      </c>
      <c r="AN292" s="2">
        <v>289</v>
      </c>
      <c r="AO292" s="2">
        <f>[1]节奏总纲!BA292</f>
        <v>45.177419221615722</v>
      </c>
      <c r="AP292" s="2">
        <f>[1]节奏总纲!BB292</f>
        <v>46.681771339946287</v>
      </c>
      <c r="AQ292" s="2">
        <f>[1]节奏总纲!BC292</f>
        <v>48.628345414818163</v>
      </c>
      <c r="AR292" s="2">
        <f>[1]节奏总纲!BD292</f>
        <v>51.377502710948029</v>
      </c>
      <c r="AS292" s="2">
        <f>[1]节奏总纲!BE292</f>
        <v>56.099143344617488</v>
      </c>
    </row>
    <row r="293" spans="17:45" x14ac:dyDescent="0.15">
      <c r="Q293" s="1">
        <v>290</v>
      </c>
      <c r="R293" s="1">
        <f>[1]节奏总纲!AD293</f>
        <v>81.844268810604476</v>
      </c>
      <c r="S293" s="1">
        <f>[1]节奏总纲!AE293</f>
        <v>83.936131474760614</v>
      </c>
      <c r="T293" s="1">
        <f>[1]节奏总纲!AF293</f>
        <v>86.880882140227882</v>
      </c>
      <c r="U293" s="1">
        <f>[1]节奏总纲!AG293</f>
        <v>91.917150416059826</v>
      </c>
      <c r="V293" s="1">
        <f>[1]节奏总纲!AH293</f>
        <v>100.8164429312708</v>
      </c>
      <c r="AN293" s="2">
        <v>290</v>
      </c>
      <c r="AO293" s="2">
        <f>[1]节奏总纲!BA293</f>
        <v>45.199736104837825</v>
      </c>
      <c r="AP293" s="2">
        <f>[1]节奏总纲!BB293</f>
        <v>46.7058513934697</v>
      </c>
      <c r="AQ293" s="2">
        <f>[1]节奏总纲!BC293</f>
        <v>48.652274081364318</v>
      </c>
      <c r="AR293" s="2">
        <f>[1]节奏总纲!BD293</f>
        <v>51.400608478866879</v>
      </c>
      <c r="AS293" s="2">
        <f>[1]节奏总纲!BE293</f>
        <v>56.121351094000602</v>
      </c>
    </row>
    <row r="294" spans="17:45" x14ac:dyDescent="0.15">
      <c r="Q294" s="1">
        <v>291</v>
      </c>
      <c r="R294" s="1">
        <f>[1]节奏总纲!AD294</f>
        <v>81.895048862094228</v>
      </c>
      <c r="S294" s="1">
        <f>[1]节奏总纲!AE294</f>
        <v>83.986841992131275</v>
      </c>
      <c r="T294" s="1">
        <f>[1]节奏总纲!AF294</f>
        <v>86.930459832671289</v>
      </c>
      <c r="U294" s="1">
        <f>[1]节奏总纲!AG294</f>
        <v>91.969903218718059</v>
      </c>
      <c r="V294" s="1">
        <f>[1]节奏总纲!AH294</f>
        <v>100.87007794666089</v>
      </c>
      <c r="AN294" s="2">
        <v>291</v>
      </c>
      <c r="AO294" s="2">
        <f>[1]节奏总纲!BA294</f>
        <v>45.222052988059936</v>
      </c>
      <c r="AP294" s="2">
        <f>[1]节奏总纲!BB294</f>
        <v>46.729931446993106</v>
      </c>
      <c r="AQ294" s="2">
        <f>[1]节奏总纲!BC294</f>
        <v>48.67620274791048</v>
      </c>
      <c r="AR294" s="2">
        <f>[1]节奏总纲!BD294</f>
        <v>51.423714246785721</v>
      </c>
      <c r="AS294" s="2">
        <f>[1]节奏总纲!BE294</f>
        <v>56.143558843383708</v>
      </c>
    </row>
    <row r="295" spans="17:45" x14ac:dyDescent="0.15">
      <c r="Q295" s="1">
        <v>292</v>
      </c>
      <c r="R295" s="1">
        <f>[1]节奏总纲!AD295</f>
        <v>81.945828913583981</v>
      </c>
      <c r="S295" s="1">
        <f>[1]节奏总纲!AE295</f>
        <v>84.036191564035917</v>
      </c>
      <c r="T295" s="1">
        <f>[1]节奏总纲!AF295</f>
        <v>86.980037525114682</v>
      </c>
      <c r="U295" s="1">
        <f>[1]节奏总纲!AG295</f>
        <v>92.021521414287719</v>
      </c>
      <c r="V295" s="1">
        <f>[1]节奏总纲!AH295</f>
        <v>100.92371296205096</v>
      </c>
      <c r="AN295" s="2">
        <v>292</v>
      </c>
      <c r="AO295" s="2">
        <f>[1]节奏总纲!BA295</f>
        <v>45.244369871282039</v>
      </c>
      <c r="AP295" s="2">
        <f>[1]节奏总纲!BB295</f>
        <v>46.754011500516519</v>
      </c>
      <c r="AQ295" s="2">
        <f>[1]节奏总纲!BC295</f>
        <v>48.700131414456635</v>
      </c>
      <c r="AR295" s="2">
        <f>[1]节奏总纲!BD295</f>
        <v>51.446820014704571</v>
      </c>
      <c r="AS295" s="2">
        <f>[1]节奏总纲!BE295</f>
        <v>56.165766592766815</v>
      </c>
    </row>
    <row r="296" spans="17:45" x14ac:dyDescent="0.15">
      <c r="Q296" s="1">
        <v>293</v>
      </c>
      <c r="R296" s="1">
        <f>[1]节奏总纲!AD296</f>
        <v>81.996608965073733</v>
      </c>
      <c r="S296" s="1">
        <f>[1]节奏总纲!AE296</f>
        <v>84.085064274836242</v>
      </c>
      <c r="T296" s="1">
        <f>[1]节奏总纲!AF296</f>
        <v>87.029133791498197</v>
      </c>
      <c r="U296" s="1">
        <f>[1]节奏总纲!AG296</f>
        <v>92.071632371634976</v>
      </c>
      <c r="V296" s="1">
        <f>[1]节奏总纲!AH296</f>
        <v>100.97734797744103</v>
      </c>
      <c r="AN296" s="2">
        <v>293</v>
      </c>
      <c r="AO296" s="2">
        <f>[1]节奏总纲!BA296</f>
        <v>45.266686754504143</v>
      </c>
      <c r="AP296" s="2">
        <f>[1]节奏总纲!BB296</f>
        <v>46.778091554039925</v>
      </c>
      <c r="AQ296" s="2">
        <f>[1]节奏总纲!BC296</f>
        <v>48.72406008100279</v>
      </c>
      <c r="AR296" s="2">
        <f>[1]节奏总纲!BD296</f>
        <v>51.46992578262342</v>
      </c>
      <c r="AS296" s="2">
        <f>[1]节奏总纲!BE296</f>
        <v>56.187974342149921</v>
      </c>
    </row>
    <row r="297" spans="17:45" x14ac:dyDescent="0.15">
      <c r="Q297" s="1">
        <v>294</v>
      </c>
      <c r="R297" s="1">
        <f>[1]节奏总纲!AD297</f>
        <v>82.044215515890215</v>
      </c>
      <c r="S297" s="1">
        <f>[1]节奏总纲!AE297</f>
        <v>84.133936985636566</v>
      </c>
      <c r="T297" s="1">
        <f>[1]节奏总纲!AF297</f>
        <v>87.077905547159801</v>
      </c>
      <c r="U297" s="1">
        <f>[1]节奏总纲!AG297</f>
        <v>92.121743328982234</v>
      </c>
      <c r="V297" s="1">
        <f>[1]节奏总纲!AH297</f>
        <v>101.02868392415382</v>
      </c>
      <c r="AN297" s="2">
        <v>294</v>
      </c>
      <c r="AO297" s="2">
        <f>[1]节奏总纲!BA297</f>
        <v>45.289003637726246</v>
      </c>
      <c r="AP297" s="2">
        <f>[1]节奏总纲!BB297</f>
        <v>46.802171607563338</v>
      </c>
      <c r="AQ297" s="2">
        <f>[1]节奏总纲!BC297</f>
        <v>48.747988747548945</v>
      </c>
      <c r="AR297" s="2">
        <f>[1]节奏总纲!BD297</f>
        <v>51.493031550542263</v>
      </c>
      <c r="AS297" s="2">
        <f>[1]节奏总纲!BE297</f>
        <v>56.210182091533035</v>
      </c>
    </row>
    <row r="298" spans="17:45" x14ac:dyDescent="0.15">
      <c r="Q298" s="1">
        <v>295</v>
      </c>
      <c r="R298" s="1">
        <f>[1]节奏总纲!AD298</f>
        <v>82.091594979242089</v>
      </c>
      <c r="S298" s="1">
        <f>[1]节奏总纲!AE298</f>
        <v>84.182809696436891</v>
      </c>
      <c r="T298" s="1">
        <f>[1]节奏总纲!AF298</f>
        <v>87.126677302821392</v>
      </c>
      <c r="U298" s="1">
        <f>[1]节奏总纲!AG298</f>
        <v>92.171854286329506</v>
      </c>
      <c r="V298" s="1">
        <f>[1]节奏总纲!AH298</f>
        <v>101.07833899530283</v>
      </c>
      <c r="AN298" s="2">
        <v>295</v>
      </c>
      <c r="AO298" s="2">
        <f>[1]节奏总纲!BA298</f>
        <v>45.31132052094835</v>
      </c>
      <c r="AP298" s="2">
        <f>[1]节奏总纲!BB298</f>
        <v>46.826251661086744</v>
      </c>
      <c r="AQ298" s="2">
        <f>[1]节奏总纲!BC298</f>
        <v>48.771917414095107</v>
      </c>
      <c r="AR298" s="2">
        <f>[1]节奏总纲!BD298</f>
        <v>51.516137318461112</v>
      </c>
      <c r="AS298" s="2">
        <f>[1]节奏总纲!BE298</f>
        <v>56.232389840916142</v>
      </c>
    </row>
    <row r="299" spans="17:45" x14ac:dyDescent="0.15">
      <c r="Q299" s="1">
        <v>296</v>
      </c>
      <c r="R299" s="1">
        <f>[1]节奏总纲!AD299</f>
        <v>82.138974442593963</v>
      </c>
      <c r="S299" s="1">
        <f>[1]节奏总纲!AE299</f>
        <v>84.23168240723723</v>
      </c>
      <c r="T299" s="1">
        <f>[1]节奏总纲!AF299</f>
        <v>87.175449058482982</v>
      </c>
      <c r="U299" s="1">
        <f>[1]节奏总纲!AG299</f>
        <v>92.221965243676763</v>
      </c>
      <c r="V299" s="1">
        <f>[1]节奏总纲!AH299</f>
        <v>101.12799406645185</v>
      </c>
      <c r="AN299" s="2">
        <v>296</v>
      </c>
      <c r="AO299" s="2">
        <f>[1]节奏总纲!BA299</f>
        <v>45.333637404170453</v>
      </c>
      <c r="AP299" s="2">
        <f>[1]节奏总纲!BB299</f>
        <v>46.850331714610157</v>
      </c>
      <c r="AQ299" s="2">
        <f>[1]节奏总纲!BC299</f>
        <v>48.795846080641262</v>
      </c>
      <c r="AR299" s="2">
        <f>[1]节奏总纲!BD299</f>
        <v>51.539243086379955</v>
      </c>
      <c r="AS299" s="2">
        <f>[1]节奏总纲!BE299</f>
        <v>56.254597590299248</v>
      </c>
    </row>
    <row r="300" spans="17:45" x14ac:dyDescent="0.15">
      <c r="Q300" s="1">
        <v>297</v>
      </c>
      <c r="R300" s="1">
        <f>[1]节奏总纲!AD300</f>
        <v>82.186353905945836</v>
      </c>
      <c r="S300" s="1">
        <f>[1]节奏总纲!AE300</f>
        <v>84.280555118037555</v>
      </c>
      <c r="T300" s="1">
        <f>[1]节奏总纲!AF300</f>
        <v>87.224220814144587</v>
      </c>
      <c r="U300" s="1">
        <f>[1]节奏总纲!AG300</f>
        <v>92.272076201024021</v>
      </c>
      <c r="V300" s="1">
        <f>[1]节奏总纲!AH300</f>
        <v>101.17764913760085</v>
      </c>
      <c r="AN300" s="2">
        <v>297</v>
      </c>
      <c r="AO300" s="2">
        <f>[1]节奏总纲!BA300</f>
        <v>45.355954287392557</v>
      </c>
      <c r="AP300" s="2">
        <f>[1]节奏总纲!BB300</f>
        <v>46.874411768133562</v>
      </c>
      <c r="AQ300" s="2">
        <f>[1]节奏总纲!BC300</f>
        <v>48.819774747187417</v>
      </c>
      <c r="AR300" s="2">
        <f>[1]节奏总纲!BD300</f>
        <v>51.562348854298804</v>
      </c>
      <c r="AS300" s="2">
        <f>[1]节奏总纲!BE300</f>
        <v>56.276805339682355</v>
      </c>
    </row>
    <row r="301" spans="17:45" x14ac:dyDescent="0.15">
      <c r="Q301" s="1">
        <v>298</v>
      </c>
      <c r="R301" s="1">
        <f>[1]节奏总纲!AD301</f>
        <v>82.23373336929771</v>
      </c>
      <c r="S301" s="1">
        <f>[1]节奏总纲!AE301</f>
        <v>84.329427828837879</v>
      </c>
      <c r="T301" s="1">
        <f>[1]节奏总纲!AF301</f>
        <v>87.272992569806178</v>
      </c>
      <c r="U301" s="1">
        <f>[1]节奏总纲!AG301</f>
        <v>92.322187158371293</v>
      </c>
      <c r="V301" s="1">
        <f>[1]节奏总纲!AH301</f>
        <v>101.22730420874987</v>
      </c>
      <c r="AN301" s="2">
        <v>298</v>
      </c>
      <c r="AO301" s="2">
        <f>[1]节奏总纲!BA301</f>
        <v>45.37827117061466</v>
      </c>
      <c r="AP301" s="2">
        <f>[1]节奏总纲!BB301</f>
        <v>46.898491821656968</v>
      </c>
      <c r="AQ301" s="2">
        <f>[1]节奏总纲!BC301</f>
        <v>48.843703413733579</v>
      </c>
      <c r="AR301" s="2">
        <f>[1]节奏总纲!BD301</f>
        <v>51.585454622217647</v>
      </c>
      <c r="AS301" s="2">
        <f>[1]节奏总纲!BE301</f>
        <v>56.299013089065468</v>
      </c>
    </row>
    <row r="302" spans="17:45" x14ac:dyDescent="0.15">
      <c r="Q302" s="1">
        <v>299</v>
      </c>
      <c r="R302" s="1">
        <f>[1]节奏总纲!AD302</f>
        <v>82.281112832649583</v>
      </c>
      <c r="S302" s="1">
        <f>[1]节奏总纲!AE302</f>
        <v>84.378300539638204</v>
      </c>
      <c r="T302" s="1">
        <f>[1]节奏总纲!AF302</f>
        <v>87.321764325467768</v>
      </c>
      <c r="U302" s="1">
        <f>[1]节奏总纲!AG302</f>
        <v>92.37229811571855</v>
      </c>
      <c r="V302" s="1">
        <f>[1]节奏总纲!AH302</f>
        <v>101.27695927989888</v>
      </c>
      <c r="AN302" s="2">
        <v>299</v>
      </c>
      <c r="AO302" s="2">
        <f>[1]节奏总纲!BA302</f>
        <v>45.400588053836763</v>
      </c>
      <c r="AP302" s="2">
        <f>[1]节奏总纲!BB302</f>
        <v>46.922571875180381</v>
      </c>
      <c r="AQ302" s="2">
        <f>[1]节奏总纲!BC302</f>
        <v>48.867632080279733</v>
      </c>
      <c r="AR302" s="2">
        <f>[1]节奏总纲!BD302</f>
        <v>51.608560390136496</v>
      </c>
      <c r="AS302" s="2">
        <f>[1]节奏总纲!BE302</f>
        <v>56.321220838448575</v>
      </c>
    </row>
    <row r="303" spans="17:45" x14ac:dyDescent="0.15">
      <c r="Q303" s="1">
        <v>300</v>
      </c>
      <c r="R303" s="1">
        <f>[1]节奏总纲!AD303</f>
        <v>82.328492296001457</v>
      </c>
      <c r="S303" s="1">
        <f>[1]节奏总纲!AE303</f>
        <v>84.427173250438543</v>
      </c>
      <c r="T303" s="1">
        <f>[1]节奏总纲!AF303</f>
        <v>87.370536081129359</v>
      </c>
      <c r="U303" s="1">
        <f>[1]节奏总纲!AG303</f>
        <v>92.422409073065808</v>
      </c>
      <c r="V303" s="1">
        <f>[1]节奏总纲!AH303</f>
        <v>101.32661435104789</v>
      </c>
      <c r="AN303" s="2">
        <v>300</v>
      </c>
      <c r="AO303" s="2">
        <f>[1]节奏总纲!BA303</f>
        <v>45.422904937058867</v>
      </c>
      <c r="AP303" s="2">
        <f>[1]节奏总纲!BB303</f>
        <v>46.946651928703787</v>
      </c>
      <c r="AQ303" s="2">
        <f>[1]节奏总纲!BC303</f>
        <v>48.891560746825888</v>
      </c>
      <c r="AR303" s="2">
        <f>[1]节奏总纲!BD303</f>
        <v>51.631666158055346</v>
      </c>
      <c r="AS303" s="2">
        <f>[1]节奏总纲!BE303</f>
        <v>56.343428587831681</v>
      </c>
    </row>
    <row r="304" spans="17:45" x14ac:dyDescent="0.15">
      <c r="Q304" s="1">
        <v>301</v>
      </c>
      <c r="R304" s="1">
        <f>[1]节奏总纲!AD304</f>
        <v>82.375871759353331</v>
      </c>
      <c r="S304" s="1">
        <f>[1]节奏总纲!AE304</f>
        <v>84.476045961238867</v>
      </c>
      <c r="T304" s="1">
        <f>[1]节奏总纲!AF304</f>
        <v>87.419307836790964</v>
      </c>
      <c r="U304" s="1">
        <f>[1]节奏总纲!AG304</f>
        <v>92.472520030413079</v>
      </c>
      <c r="V304" s="1">
        <f>[1]节奏总纲!AH304</f>
        <v>101.3762694221969</v>
      </c>
      <c r="AN304" s="2">
        <v>301</v>
      </c>
      <c r="AO304" s="2">
        <f>[1]节奏总纲!BA304</f>
        <v>45.44522182028097</v>
      </c>
      <c r="AP304" s="2">
        <f>[1]节奏总纲!BB304</f>
        <v>46.9707319822272</v>
      </c>
      <c r="AQ304" s="2">
        <f>[1]节奏总纲!BC304</f>
        <v>48.91548941337205</v>
      </c>
      <c r="AR304" s="2">
        <f>[1]节奏总纲!BD304</f>
        <v>51.654771925974188</v>
      </c>
      <c r="AS304" s="2">
        <f>[1]节奏总纲!BE304</f>
        <v>56.365636337214795</v>
      </c>
    </row>
    <row r="305" spans="17:45" x14ac:dyDescent="0.15">
      <c r="Q305" s="1">
        <v>302</v>
      </c>
      <c r="R305" s="1">
        <f>[1]节奏总纲!AD305</f>
        <v>82.423251222705204</v>
      </c>
      <c r="S305" s="1">
        <f>[1]节奏总纲!AE305</f>
        <v>84.524918672039192</v>
      </c>
      <c r="T305" s="1">
        <f>[1]节奏总纲!AF305</f>
        <v>87.468079592452554</v>
      </c>
      <c r="U305" s="1">
        <f>[1]节奏总纲!AG305</f>
        <v>92.522630987760337</v>
      </c>
      <c r="V305" s="1">
        <f>[1]节奏总纲!AH305</f>
        <v>101.42592449334592</v>
      </c>
      <c r="AN305" s="2">
        <v>302</v>
      </c>
      <c r="AO305" s="2">
        <f>[1]节奏总纲!BA305</f>
        <v>45.467538703503074</v>
      </c>
      <c r="AP305" s="2">
        <f>[1]节奏总纲!BB305</f>
        <v>46.994812035750606</v>
      </c>
      <c r="AQ305" s="2">
        <f>[1]节奏总纲!BC305</f>
        <v>48.939418079918205</v>
      </c>
      <c r="AR305" s="2">
        <f>[1]节奏总纲!BD305</f>
        <v>51.677877693893038</v>
      </c>
      <c r="AS305" s="2">
        <f>[1]节奏总纲!BE305</f>
        <v>56.387844086597902</v>
      </c>
    </row>
    <row r="306" spans="17:45" x14ac:dyDescent="0.15">
      <c r="Q306" s="1">
        <v>303</v>
      </c>
      <c r="R306" s="1">
        <f>[1]节奏总纲!AD306</f>
        <v>82.470630686057078</v>
      </c>
      <c r="S306" s="1">
        <f>[1]节奏总纲!AE306</f>
        <v>84.573791382839516</v>
      </c>
      <c r="T306" s="1">
        <f>[1]节奏总纲!AF306</f>
        <v>87.516851348114145</v>
      </c>
      <c r="U306" s="1">
        <f>[1]节奏总纲!AG306</f>
        <v>92.572741945107595</v>
      </c>
      <c r="V306" s="1">
        <f>[1]节奏总纲!AH306</f>
        <v>101.47557956449492</v>
      </c>
      <c r="AN306" s="2">
        <v>303</v>
      </c>
      <c r="AO306" s="2">
        <f>[1]节奏总纲!BA306</f>
        <v>45.489855586725177</v>
      </c>
      <c r="AP306" s="2">
        <f>[1]节奏总纲!BB306</f>
        <v>47.016308935086101</v>
      </c>
      <c r="AQ306" s="2">
        <f>[1]节奏总纲!BC306</f>
        <v>48.96334674646436</v>
      </c>
      <c r="AR306" s="2">
        <f>[1]节奏总纲!BD306</f>
        <v>51.70098346181188</v>
      </c>
      <c r="AS306" s="2">
        <f>[1]节奏总纲!BE306</f>
        <v>56.410051835981008</v>
      </c>
    </row>
    <row r="307" spans="17:45" x14ac:dyDescent="0.15">
      <c r="Q307" s="1">
        <v>304</v>
      </c>
      <c r="R307" s="1">
        <f>[1]节奏总纲!AD307</f>
        <v>82.518010149408951</v>
      </c>
      <c r="S307" s="1">
        <f>[1]节奏总纲!AE307</f>
        <v>84.622664093639855</v>
      </c>
      <c r="T307" s="1">
        <f>[1]节奏总纲!AF307</f>
        <v>87.565623103775735</v>
      </c>
      <c r="U307" s="1">
        <f>[1]节奏总纲!AG307</f>
        <v>92.622852902454852</v>
      </c>
      <c r="V307" s="1">
        <f>[1]节奏总纲!AH307</f>
        <v>101.52523463564394</v>
      </c>
      <c r="AN307" s="2">
        <v>304</v>
      </c>
      <c r="AO307" s="2">
        <f>[1]节奏总纲!BA307</f>
        <v>45.512172469947281</v>
      </c>
      <c r="AP307" s="2">
        <f>[1]节奏总纲!BB307</f>
        <v>47.037096473408994</v>
      </c>
      <c r="AQ307" s="2">
        <f>[1]节奏总纲!BC307</f>
        <v>48.987275413010522</v>
      </c>
      <c r="AR307" s="2">
        <f>[1]节奏总纲!BD307</f>
        <v>51.72408922973073</v>
      </c>
      <c r="AS307" s="2">
        <f>[1]节奏总纲!BE307</f>
        <v>56.432259585364115</v>
      </c>
    </row>
    <row r="308" spans="17:45" x14ac:dyDescent="0.15">
      <c r="Q308" s="1">
        <v>305</v>
      </c>
      <c r="R308" s="1">
        <f>[1]节奏总纲!AD308</f>
        <v>82.565389612760825</v>
      </c>
      <c r="S308" s="1">
        <f>[1]节奏总纲!AE308</f>
        <v>84.67153680444018</v>
      </c>
      <c r="T308" s="1">
        <f>[1]节奏总纲!AF308</f>
        <v>87.61439485943734</v>
      </c>
      <c r="U308" s="1">
        <f>[1]节奏总纲!AG308</f>
        <v>92.672963859802124</v>
      </c>
      <c r="V308" s="1">
        <f>[1]节奏总纲!AH308</f>
        <v>101.57488970679294</v>
      </c>
      <c r="AN308" s="2">
        <v>305</v>
      </c>
      <c r="AO308" s="2">
        <f>[1]节奏总纲!BA308</f>
        <v>45.534489353169384</v>
      </c>
      <c r="AP308" s="2">
        <f>[1]节奏总纲!BB308</f>
        <v>47.057884011731893</v>
      </c>
      <c r="AQ308" s="2">
        <f>[1]节奏总纲!BC308</f>
        <v>49.009673493801003</v>
      </c>
      <c r="AR308" s="2">
        <f>[1]节奏总纲!BD308</f>
        <v>51.747194997649579</v>
      </c>
      <c r="AS308" s="2">
        <f>[1]节奏总纲!BE308</f>
        <v>56.454467334747228</v>
      </c>
    </row>
    <row r="309" spans="17:45" x14ac:dyDescent="0.15">
      <c r="Q309" s="1">
        <v>306</v>
      </c>
      <c r="R309" s="1">
        <f>[1]节奏总纲!AD309</f>
        <v>82.612769076112698</v>
      </c>
      <c r="S309" s="1">
        <f>[1]节奏总纲!AE309</f>
        <v>84.720409515240505</v>
      </c>
      <c r="T309" s="1">
        <f>[1]节奏总纲!AF309</f>
        <v>87.66316661509893</v>
      </c>
      <c r="U309" s="1">
        <f>[1]节奏总纲!AG309</f>
        <v>92.723074817149381</v>
      </c>
      <c r="V309" s="1">
        <f>[1]节奏总纲!AH309</f>
        <v>101.62454477794196</v>
      </c>
      <c r="AN309" s="2">
        <v>306</v>
      </c>
      <c r="AO309" s="2">
        <f>[1]节奏总纲!BA309</f>
        <v>45.556806236391488</v>
      </c>
      <c r="AP309" s="2">
        <f>[1]节奏总纲!BB309</f>
        <v>47.078671550054786</v>
      </c>
      <c r="AQ309" s="2">
        <f>[1]节奏总纲!BC309</f>
        <v>49.030333272797542</v>
      </c>
      <c r="AR309" s="2">
        <f>[1]节奏总纲!BD309</f>
        <v>51.770300765568422</v>
      </c>
      <c r="AS309" s="2">
        <f>[1]节奏总纲!BE309</f>
        <v>56.476675084130335</v>
      </c>
    </row>
    <row r="310" spans="17:45" x14ac:dyDescent="0.15">
      <c r="Q310" s="1">
        <v>307</v>
      </c>
      <c r="R310" s="1">
        <f>[1]节奏总纲!AD310</f>
        <v>82.660148539464572</v>
      </c>
      <c r="S310" s="1">
        <f>[1]节奏总纲!AE310</f>
        <v>84.769282226040829</v>
      </c>
      <c r="T310" s="1">
        <f>[1]节奏总纲!AF310</f>
        <v>87.711938370760521</v>
      </c>
      <c r="U310" s="1">
        <f>[1]节奏总纲!AG310</f>
        <v>92.773185774496639</v>
      </c>
      <c r="V310" s="1">
        <f>[1]节奏总纲!AH310</f>
        <v>101.67419984909097</v>
      </c>
      <c r="AN310" s="2">
        <v>307</v>
      </c>
      <c r="AO310" s="2">
        <f>[1]节奏总纲!BA310</f>
        <v>45.579123119613591</v>
      </c>
      <c r="AP310" s="2">
        <f>[1]节奏总纲!BB310</f>
        <v>47.099459088377678</v>
      </c>
      <c r="AQ310" s="2">
        <f>[1]节奏总纲!BC310</f>
        <v>49.05099305179408</v>
      </c>
      <c r="AR310" s="2">
        <f>[1]节奏总纲!BD310</f>
        <v>51.793406533487271</v>
      </c>
      <c r="AS310" s="2">
        <f>[1]节奏总纲!BE310</f>
        <v>56.498882833513441</v>
      </c>
    </row>
    <row r="311" spans="17:45" x14ac:dyDescent="0.15">
      <c r="Q311" s="1">
        <v>308</v>
      </c>
      <c r="R311" s="1">
        <f>[1]节奏总纲!AD311</f>
        <v>82.707528002816446</v>
      </c>
      <c r="S311" s="1">
        <f>[1]节奏总纲!AE311</f>
        <v>84.818154936841154</v>
      </c>
      <c r="T311" s="1">
        <f>[1]节奏总纲!AF311</f>
        <v>87.760710126422126</v>
      </c>
      <c r="U311" s="1">
        <f>[1]节奏总纲!AG311</f>
        <v>92.823296731843911</v>
      </c>
      <c r="V311" s="1">
        <f>[1]节奏总纲!AH311</f>
        <v>101.72385492023999</v>
      </c>
      <c r="AN311" s="2">
        <v>308</v>
      </c>
      <c r="AO311" s="2">
        <f>[1]节奏总纲!BA311</f>
        <v>45.601440002835695</v>
      </c>
      <c r="AP311" s="2">
        <f>[1]节奏总纲!BB311</f>
        <v>47.12024662670057</v>
      </c>
      <c r="AQ311" s="2">
        <f>[1]节奏总纲!BC311</f>
        <v>49.071652830790612</v>
      </c>
      <c r="AR311" s="2">
        <f>[1]节奏总纲!BD311</f>
        <v>51.816512301406114</v>
      </c>
      <c r="AS311" s="2">
        <f>[1]节奏总纲!BE311</f>
        <v>56.521090582896548</v>
      </c>
    </row>
    <row r="312" spans="17:45" x14ac:dyDescent="0.15">
      <c r="Q312" s="1">
        <v>309</v>
      </c>
      <c r="R312" s="1">
        <f>[1]节奏总纲!AD312</f>
        <v>82.754907466168319</v>
      </c>
      <c r="S312" s="1">
        <f>[1]节奏总纲!AE312</f>
        <v>84.867027647641493</v>
      </c>
      <c r="T312" s="1">
        <f>[1]节奏总纲!AF312</f>
        <v>87.809481882083716</v>
      </c>
      <c r="U312" s="1">
        <f>[1]节奏总纲!AG312</f>
        <v>92.873407689191168</v>
      </c>
      <c r="V312" s="1">
        <f>[1]节奏总纲!AH312</f>
        <v>101.77350999138899</v>
      </c>
      <c r="AN312" s="2">
        <v>309</v>
      </c>
      <c r="AO312" s="2">
        <f>[1]节奏总纲!BA312</f>
        <v>45.623756886057798</v>
      </c>
      <c r="AP312" s="2">
        <f>[1]节奏总纲!BB312</f>
        <v>47.14103416502347</v>
      </c>
      <c r="AQ312" s="2">
        <f>[1]节奏总纲!BC312</f>
        <v>49.09231260978715</v>
      </c>
      <c r="AR312" s="2">
        <f>[1]节奏总纲!BD312</f>
        <v>51.839618069324963</v>
      </c>
      <c r="AS312" s="2">
        <f>[1]节奏总纲!BE312</f>
        <v>56.543298332279662</v>
      </c>
    </row>
    <row r="313" spans="17:45" x14ac:dyDescent="0.15">
      <c r="Q313" s="1">
        <v>310</v>
      </c>
      <c r="R313" s="1">
        <f>[1]节奏总纲!AD313</f>
        <v>82.802286929520193</v>
      </c>
      <c r="S313" s="1">
        <f>[1]节奏总纲!AE313</f>
        <v>84.915900358441817</v>
      </c>
      <c r="T313" s="1">
        <f>[1]节奏总纲!AF313</f>
        <v>87.858253637745307</v>
      </c>
      <c r="U313" s="1">
        <f>[1]节奏总纲!AG313</f>
        <v>92.923518646538426</v>
      </c>
      <c r="V313" s="1">
        <f>[1]节奏总纲!AH313</f>
        <v>101.82316506253801</v>
      </c>
      <c r="AN313" s="2">
        <v>310</v>
      </c>
      <c r="AO313" s="2">
        <f>[1]节奏总纲!BA313</f>
        <v>45.646073769279901</v>
      </c>
      <c r="AP313" s="2">
        <f>[1]节奏总纲!BB313</f>
        <v>47.161821703346362</v>
      </c>
      <c r="AQ313" s="2">
        <f>[1]节奏总纲!BC313</f>
        <v>49.112972388783689</v>
      </c>
      <c r="AR313" s="2">
        <f>[1]节奏总纲!BD313</f>
        <v>51.862723837243806</v>
      </c>
      <c r="AS313" s="2">
        <f>[1]节奏总纲!BE313</f>
        <v>56.565506081662768</v>
      </c>
    </row>
    <row r="314" spans="17:45" x14ac:dyDescent="0.15">
      <c r="Q314" s="1">
        <v>311</v>
      </c>
      <c r="R314" s="1">
        <f>[1]节奏总纲!AD314</f>
        <v>82.849666392872066</v>
      </c>
      <c r="S314" s="1">
        <f>[1]节奏总纲!AE314</f>
        <v>84.964773069242142</v>
      </c>
      <c r="T314" s="1">
        <f>[1]节奏总纲!AF314</f>
        <v>87.907025393406897</v>
      </c>
      <c r="U314" s="1">
        <f>[1]节奏总纲!AG314</f>
        <v>92.973629603885698</v>
      </c>
      <c r="V314" s="1">
        <f>[1]节奏总纲!AH314</f>
        <v>101.87282013368701</v>
      </c>
      <c r="AN314" s="2">
        <v>311</v>
      </c>
      <c r="AO314" s="2">
        <f>[1]节奏总纲!BA314</f>
        <v>45.668390652502012</v>
      </c>
      <c r="AP314" s="2">
        <f>[1]节奏总纲!BB314</f>
        <v>47.182609241669255</v>
      </c>
      <c r="AQ314" s="2">
        <f>[1]节奏总纲!BC314</f>
        <v>49.133632167780227</v>
      </c>
      <c r="AR314" s="2">
        <f>[1]节奏总纲!BD314</f>
        <v>51.885829605162655</v>
      </c>
      <c r="AS314" s="2">
        <f>[1]节奏总纲!BE314</f>
        <v>56.587713831045875</v>
      </c>
    </row>
    <row r="315" spans="17:45" x14ac:dyDescent="0.15">
      <c r="Q315" s="1">
        <v>312</v>
      </c>
      <c r="R315" s="1">
        <f>[1]节奏总纲!AD315</f>
        <v>82.89704585622394</v>
      </c>
      <c r="S315" s="1">
        <f>[1]节奏总纲!AE315</f>
        <v>85.012531647506819</v>
      </c>
      <c r="T315" s="1">
        <f>[1]节奏总纲!AF315</f>
        <v>87.955797149068502</v>
      </c>
      <c r="U315" s="1">
        <f>[1]节奏总纲!AG315</f>
        <v>93.022367647203353</v>
      </c>
      <c r="V315" s="1">
        <f>[1]节奏总纲!AH315</f>
        <v>101.92247520483603</v>
      </c>
      <c r="AN315" s="2">
        <v>312</v>
      </c>
      <c r="AO315" s="2">
        <f>[1]节奏总纲!BA315</f>
        <v>45.690707535724115</v>
      </c>
      <c r="AP315" s="2">
        <f>[1]节奏总纲!BB315</f>
        <v>47.203396779992147</v>
      </c>
      <c r="AQ315" s="2">
        <f>[1]节奏总纲!BC315</f>
        <v>49.154291946776759</v>
      </c>
      <c r="AR315" s="2">
        <f>[1]节奏总纲!BD315</f>
        <v>51.908935373081505</v>
      </c>
      <c r="AS315" s="2">
        <f>[1]节奏总纲!BE315</f>
        <v>56.609921580428981</v>
      </c>
    </row>
    <row r="316" spans="17:45" x14ac:dyDescent="0.15">
      <c r="Q316" s="1">
        <v>313</v>
      </c>
      <c r="R316" s="1">
        <f>[1]节奏总纲!AD316</f>
        <v>82.944425319575814</v>
      </c>
      <c r="S316" s="1">
        <f>[1]节奏总纲!AE316</f>
        <v>85.057414064088832</v>
      </c>
      <c r="T316" s="1">
        <f>[1]节奏总纲!AF316</f>
        <v>88.004756197276762</v>
      </c>
      <c r="U316" s="1">
        <f>[1]节奏总纲!AG316</f>
        <v>93.069580693431178</v>
      </c>
      <c r="V316" s="1">
        <f>[1]节奏总纲!AH316</f>
        <v>101.97213027598504</v>
      </c>
      <c r="AN316" s="2">
        <v>313</v>
      </c>
      <c r="AO316" s="2">
        <f>[1]节奏总纲!BA316</f>
        <v>45.713024418946219</v>
      </c>
      <c r="AP316" s="2">
        <f>[1]节奏总纲!BB316</f>
        <v>47.224184318315039</v>
      </c>
      <c r="AQ316" s="2">
        <f>[1]节奏总纲!BC316</f>
        <v>49.174951725773298</v>
      </c>
      <c r="AR316" s="2">
        <f>[1]节奏总纲!BD316</f>
        <v>51.932041141000347</v>
      </c>
      <c r="AS316" s="2">
        <f>[1]节奏总纲!BE316</f>
        <v>56.632129329812095</v>
      </c>
    </row>
    <row r="317" spans="17:45" x14ac:dyDescent="0.15">
      <c r="Q317" s="1">
        <v>314</v>
      </c>
      <c r="R317" s="1">
        <f>[1]节奏总纲!AD317</f>
        <v>82.991804782927687</v>
      </c>
      <c r="S317" s="1">
        <f>[1]节奏总纲!AE317</f>
        <v>85.10229648067083</v>
      </c>
      <c r="T317" s="1">
        <f>[1]节奏总纲!AF317</f>
        <v>88.05552724748766</v>
      </c>
      <c r="U317" s="1">
        <f>[1]节奏总纲!AG317</f>
        <v>93.116793739659002</v>
      </c>
      <c r="V317" s="1">
        <f>[1]节奏总纲!AH317</f>
        <v>102.01969836502204</v>
      </c>
      <c r="AN317" s="2">
        <v>314</v>
      </c>
      <c r="AO317" s="2">
        <f>[1]节奏总纲!BA317</f>
        <v>45.735341302168322</v>
      </c>
      <c r="AP317" s="2">
        <f>[1]节奏总纲!BB317</f>
        <v>47.244971856637939</v>
      </c>
      <c r="AQ317" s="2">
        <f>[1]节奏总纲!BC317</f>
        <v>49.195611504769836</v>
      </c>
      <c r="AR317" s="2">
        <f>[1]节奏总纲!BD317</f>
        <v>51.955146908919197</v>
      </c>
      <c r="AS317" s="2">
        <f>[1]节奏总纲!BE317</f>
        <v>56.654337079195201</v>
      </c>
    </row>
    <row r="318" spans="17:45" x14ac:dyDescent="0.15">
      <c r="Q318" s="1">
        <v>315</v>
      </c>
      <c r="R318" s="1">
        <f>[1]节奏总纲!AD318</f>
        <v>83.03656019452734</v>
      </c>
      <c r="S318" s="1">
        <f>[1]节奏总纲!AE318</f>
        <v>85.147178897252829</v>
      </c>
      <c r="T318" s="1">
        <f>[1]节奏总纲!AF318</f>
        <v>88.106298297698572</v>
      </c>
      <c r="U318" s="1">
        <f>[1]节奏总纲!AG318</f>
        <v>93.164006785886826</v>
      </c>
      <c r="V318" s="1">
        <f>[1]节奏总纲!AH318</f>
        <v>102.06459660376342</v>
      </c>
      <c r="AN318" s="2">
        <v>315</v>
      </c>
      <c r="AO318" s="2">
        <f>[1]节奏总纲!BA318</f>
        <v>45.757658185390426</v>
      </c>
      <c r="AP318" s="2">
        <f>[1]节奏总纲!BB318</f>
        <v>47.265759394960831</v>
      </c>
      <c r="AQ318" s="2">
        <f>[1]节奏总纲!BC318</f>
        <v>49.216271283766375</v>
      </c>
      <c r="AR318" s="2">
        <f>[1]节奏总纲!BD318</f>
        <v>51.978252676838039</v>
      </c>
      <c r="AS318" s="2">
        <f>[1]节奏总纲!BE318</f>
        <v>56.676544828578308</v>
      </c>
    </row>
    <row r="319" spans="17:45" x14ac:dyDescent="0.15">
      <c r="Q319" s="1">
        <v>316</v>
      </c>
      <c r="R319" s="1">
        <f>[1]节奏总纲!AD319</f>
        <v>83.080766796955942</v>
      </c>
      <c r="S319" s="1">
        <f>[1]节奏总纲!AE319</f>
        <v>85.192061313834827</v>
      </c>
      <c r="T319" s="1">
        <f>[1]节奏总纲!AF319</f>
        <v>88.15706934790947</v>
      </c>
      <c r="U319" s="1">
        <f>[1]节奏总纲!AG319</f>
        <v>93.211219832114651</v>
      </c>
      <c r="V319" s="1">
        <f>[1]节奏总纲!AH319</f>
        <v>102.1094948425048</v>
      </c>
      <c r="AN319" s="2">
        <v>316</v>
      </c>
      <c r="AO319" s="2">
        <f>[1]节奏总纲!BA319</f>
        <v>45.779975068612529</v>
      </c>
      <c r="AP319" s="2">
        <f>[1]节奏总纲!BB319</f>
        <v>47.286546933283724</v>
      </c>
      <c r="AQ319" s="2">
        <f>[1]节奏总纲!BC319</f>
        <v>49.236931062762913</v>
      </c>
      <c r="AR319" s="2">
        <f>[1]节奏总纲!BD319</f>
        <v>52.001173105835825</v>
      </c>
      <c r="AS319" s="2">
        <f>[1]节奏总纲!BE319</f>
        <v>56.698752577961415</v>
      </c>
    </row>
    <row r="320" spans="17:45" x14ac:dyDescent="0.15">
      <c r="Q320" s="1">
        <v>317</v>
      </c>
      <c r="R320" s="1">
        <f>[1]节奏总纲!AD320</f>
        <v>83.124973399384558</v>
      </c>
      <c r="S320" s="1">
        <f>[1]节奏总纲!AE320</f>
        <v>85.236943730416826</v>
      </c>
      <c r="T320" s="1">
        <f>[1]节奏总纲!AF320</f>
        <v>88.207840398120382</v>
      </c>
      <c r="U320" s="1">
        <f>[1]节奏总纲!AG320</f>
        <v>93.258432878342475</v>
      </c>
      <c r="V320" s="1">
        <f>[1]节奏总纲!AH320</f>
        <v>102.15439308124618</v>
      </c>
      <c r="AN320" s="2">
        <v>317</v>
      </c>
      <c r="AO320" s="2">
        <f>[1]节奏总纲!BA320</f>
        <v>45.802291951834633</v>
      </c>
      <c r="AP320" s="2">
        <f>[1]节奏总纲!BB320</f>
        <v>47.307334471606616</v>
      </c>
      <c r="AQ320" s="2">
        <f>[1]节奏总纲!BC320</f>
        <v>49.257590841759445</v>
      </c>
      <c r="AR320" s="2">
        <f>[1]节奏总纲!BD320</f>
        <v>52.021126446631868</v>
      </c>
      <c r="AS320" s="2">
        <f>[1]节奏总纲!BE320</f>
        <v>56.720960327344528</v>
      </c>
    </row>
    <row r="321" spans="17:45" x14ac:dyDescent="0.15">
      <c r="Q321" s="1">
        <v>318</v>
      </c>
      <c r="R321" s="1">
        <f>[1]节奏总纲!AD321</f>
        <v>83.16918000181316</v>
      </c>
      <c r="S321" s="1">
        <f>[1]节奏总纲!AE321</f>
        <v>85.281826146998839</v>
      </c>
      <c r="T321" s="1">
        <f>[1]节奏总纲!AF321</f>
        <v>88.258611448331294</v>
      </c>
      <c r="U321" s="1">
        <f>[1]节奏总纲!AG321</f>
        <v>93.3056459245703</v>
      </c>
      <c r="V321" s="1">
        <f>[1]节奏总纲!AH321</f>
        <v>102.19929131998755</v>
      </c>
      <c r="AN321" s="2">
        <v>318</v>
      </c>
      <c r="AO321" s="2">
        <f>[1]节奏总纲!BA321</f>
        <v>45.824608835056736</v>
      </c>
      <c r="AP321" s="2">
        <f>[1]节奏总纲!BB321</f>
        <v>47.328122009929508</v>
      </c>
      <c r="AQ321" s="2">
        <f>[1]节奏总纲!BC321</f>
        <v>49.278250620755983</v>
      </c>
      <c r="AR321" s="2">
        <f>[1]节奏总纲!BD321</f>
        <v>52.041079787427918</v>
      </c>
      <c r="AS321" s="2">
        <f>[1]节奏总纲!BE321</f>
        <v>56.743168076727635</v>
      </c>
    </row>
    <row r="322" spans="17:45" x14ac:dyDescent="0.15">
      <c r="Q322" s="1">
        <v>319</v>
      </c>
      <c r="R322" s="1">
        <f>[1]节奏总纲!AD322</f>
        <v>83.213386604241776</v>
      </c>
      <c r="S322" s="1">
        <f>[1]节奏总纲!AE322</f>
        <v>85.326708563580837</v>
      </c>
      <c r="T322" s="1">
        <f>[1]节奏总纲!AF322</f>
        <v>88.309382498542192</v>
      </c>
      <c r="U322" s="1">
        <f>[1]节奏总纲!AG322</f>
        <v>93.352858970798124</v>
      </c>
      <c r="V322" s="1">
        <f>[1]节奏总纲!AH322</f>
        <v>102.24418955872893</v>
      </c>
      <c r="AN322" s="2">
        <v>319</v>
      </c>
      <c r="AO322" s="2">
        <f>[1]节奏总纲!BA322</f>
        <v>45.84692571827884</v>
      </c>
      <c r="AP322" s="2">
        <f>[1]节奏总纲!BB322</f>
        <v>47.348909548252408</v>
      </c>
      <c r="AQ322" s="2">
        <f>[1]节奏总纲!BC322</f>
        <v>49.298910399752522</v>
      </c>
      <c r="AR322" s="2">
        <f>[1]节奏总纲!BD322</f>
        <v>52.061033128223968</v>
      </c>
      <c r="AS322" s="2">
        <f>[1]节奏总纲!BE322</f>
        <v>56.765375826110741</v>
      </c>
    </row>
    <row r="323" spans="17:45" x14ac:dyDescent="0.15">
      <c r="Q323" s="1">
        <v>320</v>
      </c>
      <c r="R323" s="1">
        <f>[1]节奏总纲!AD323</f>
        <v>83.257593206670379</v>
      </c>
      <c r="S323" s="1">
        <f>[1]节奏总纲!AE323</f>
        <v>85.371590980162836</v>
      </c>
      <c r="T323" s="1">
        <f>[1]节奏总纲!AF323</f>
        <v>88.360153548753104</v>
      </c>
      <c r="U323" s="1">
        <f>[1]节奏总纲!AG323</f>
        <v>93.400072017025948</v>
      </c>
      <c r="V323" s="1">
        <f>[1]节奏总纲!AH323</f>
        <v>102.28908779747032</v>
      </c>
      <c r="AN323" s="2">
        <v>320</v>
      </c>
      <c r="AO323" s="2">
        <f>[1]节奏总纲!BA323</f>
        <v>45.869242601500943</v>
      </c>
      <c r="AP323" s="2">
        <f>[1]节奏总纲!BB323</f>
        <v>47.3696970865753</v>
      </c>
      <c r="AQ323" s="2">
        <f>[1]节奏总纲!BC323</f>
        <v>49.319570178749061</v>
      </c>
      <c r="AR323" s="2">
        <f>[1]节奏总纲!BD323</f>
        <v>52.080986469020011</v>
      </c>
      <c r="AS323" s="2">
        <f>[1]节奏总纲!BE323</f>
        <v>56.787583575493848</v>
      </c>
    </row>
    <row r="324" spans="17:45" x14ac:dyDescent="0.15">
      <c r="Q324" s="1">
        <v>321</v>
      </c>
      <c r="R324" s="1">
        <f>[1]节奏总纲!AD324</f>
        <v>83.301799809098995</v>
      </c>
      <c r="S324" s="1">
        <f>[1]节奏总纲!AE324</f>
        <v>85.416473396744834</v>
      </c>
      <c r="T324" s="1">
        <f>[1]节奏总纲!AF324</f>
        <v>88.410924598964016</v>
      </c>
      <c r="U324" s="1">
        <f>[1]节奏总纲!AG324</f>
        <v>93.447285063253773</v>
      </c>
      <c r="V324" s="1">
        <f>[1]节奏总纲!AH324</f>
        <v>102.3339860362117</v>
      </c>
      <c r="AN324" s="2">
        <v>321</v>
      </c>
      <c r="AO324" s="2">
        <f>[1]节奏总纲!BA324</f>
        <v>45.891559484723047</v>
      </c>
      <c r="AP324" s="2">
        <f>[1]节奏总纲!BB324</f>
        <v>47.390484624898193</v>
      </c>
      <c r="AQ324" s="2">
        <f>[1]节奏总纲!BC324</f>
        <v>49.340229957745592</v>
      </c>
      <c r="AR324" s="2">
        <f>[1]节奏总纲!BD324</f>
        <v>52.100939809816062</v>
      </c>
      <c r="AS324" s="2">
        <f>[1]节奏总纲!BE324</f>
        <v>56.809791324876961</v>
      </c>
    </row>
    <row r="325" spans="17:45" x14ac:dyDescent="0.15">
      <c r="Q325" s="1">
        <v>322</v>
      </c>
      <c r="R325" s="1">
        <f>[1]节奏总纲!AD325</f>
        <v>83.346006411527597</v>
      </c>
      <c r="S325" s="1">
        <f>[1]节奏总纲!AE325</f>
        <v>85.461355813326847</v>
      </c>
      <c r="T325" s="1">
        <f>[1]节奏总纲!AF325</f>
        <v>88.461695649174914</v>
      </c>
      <c r="U325" s="1">
        <f>[1]节奏总纲!AG325</f>
        <v>93.494498109481597</v>
      </c>
      <c r="V325" s="1">
        <f>[1]节奏总纲!AH325</f>
        <v>102.37888427495307</v>
      </c>
      <c r="AN325" s="2">
        <v>322</v>
      </c>
      <c r="AO325" s="2">
        <f>[1]节奏总纲!BA325</f>
        <v>45.91387636794515</v>
      </c>
      <c r="AP325" s="2">
        <f>[1]节奏总纲!BB325</f>
        <v>47.411272163221085</v>
      </c>
      <c r="AQ325" s="2">
        <f>[1]节奏总纲!BC325</f>
        <v>49.360889736742131</v>
      </c>
      <c r="AR325" s="2">
        <f>[1]节奏总纲!BD325</f>
        <v>52.120893150612112</v>
      </c>
      <c r="AS325" s="2">
        <f>[1]节奏总纲!BE325</f>
        <v>56.831999074260068</v>
      </c>
    </row>
    <row r="326" spans="17:45" x14ac:dyDescent="0.15">
      <c r="Q326" s="1">
        <v>323</v>
      </c>
      <c r="R326" s="1">
        <f>[1]节奏总纲!AD326</f>
        <v>83.390213013956213</v>
      </c>
      <c r="S326" s="1">
        <f>[1]节奏总纲!AE326</f>
        <v>85.506238229908845</v>
      </c>
      <c r="T326" s="1">
        <f>[1]节奏总纲!AF326</f>
        <v>88.512466699385826</v>
      </c>
      <c r="U326" s="1">
        <f>[1]节奏总纲!AG326</f>
        <v>93.541711155709422</v>
      </c>
      <c r="V326" s="1">
        <f>[1]节奏总纲!AH326</f>
        <v>102.42378251369445</v>
      </c>
      <c r="AN326" s="2">
        <v>323</v>
      </c>
      <c r="AO326" s="2">
        <f>[1]节奏总纲!BA326</f>
        <v>45.936193251167253</v>
      </c>
      <c r="AP326" s="2">
        <f>[1]节奏总纲!BB326</f>
        <v>47.432059701543984</v>
      </c>
      <c r="AQ326" s="2">
        <f>[1]节奏总纲!BC326</f>
        <v>49.381549515738669</v>
      </c>
      <c r="AR326" s="2">
        <f>[1]节奏总纲!BD326</f>
        <v>52.140846491408155</v>
      </c>
      <c r="AS326" s="2">
        <f>[1]节奏总纲!BE326</f>
        <v>56.854206823643175</v>
      </c>
    </row>
    <row r="327" spans="17:45" x14ac:dyDescent="0.15">
      <c r="Q327" s="1">
        <v>324</v>
      </c>
      <c r="R327" s="1">
        <f>[1]节奏总纲!AD327</f>
        <v>83.434419616384815</v>
      </c>
      <c r="S327" s="1">
        <f>[1]节奏总纲!AE327</f>
        <v>85.551120646490844</v>
      </c>
      <c r="T327" s="1">
        <f>[1]节奏总纲!AF327</f>
        <v>88.563237749596723</v>
      </c>
      <c r="U327" s="1">
        <f>[1]节奏总纲!AG327</f>
        <v>93.588924201937246</v>
      </c>
      <c r="V327" s="1">
        <f>[1]节奏总纲!AH327</f>
        <v>102.46868075243583</v>
      </c>
      <c r="AN327" s="2">
        <v>324</v>
      </c>
      <c r="AO327" s="2">
        <f>[1]节奏总纲!BA327</f>
        <v>45.958510134389357</v>
      </c>
      <c r="AP327" s="2">
        <f>[1]节奏总纲!BB327</f>
        <v>47.452847239866877</v>
      </c>
      <c r="AQ327" s="2">
        <f>[1]节奏总纲!BC327</f>
        <v>49.402209294735208</v>
      </c>
      <c r="AR327" s="2">
        <f>[1]节奏总纲!BD327</f>
        <v>52.160799832204205</v>
      </c>
      <c r="AS327" s="2">
        <f>[1]节奏总纲!BE327</f>
        <v>56.876414573026281</v>
      </c>
    </row>
    <row r="328" spans="17:45" x14ac:dyDescent="0.15">
      <c r="Q328" s="1">
        <v>325</v>
      </c>
      <c r="R328" s="1">
        <f>[1]节奏总纲!AD328</f>
        <v>83.478626218813432</v>
      </c>
      <c r="S328" s="1">
        <f>[1]节奏总纲!AE328</f>
        <v>85.596003063072843</v>
      </c>
      <c r="T328" s="1">
        <f>[1]节奏总纲!AF328</f>
        <v>88.614008799807635</v>
      </c>
      <c r="U328" s="1">
        <f>[1]节奏总纲!AG328</f>
        <v>93.63613724816507</v>
      </c>
      <c r="V328" s="1">
        <f>[1]节奏总纲!AH328</f>
        <v>102.51357899117721</v>
      </c>
      <c r="AN328" s="2">
        <v>325</v>
      </c>
      <c r="AO328" s="2">
        <f>[1]节奏总纲!BA328</f>
        <v>45.98082701761146</v>
      </c>
      <c r="AP328" s="2">
        <f>[1]节奏总纲!BB328</f>
        <v>47.473634778189769</v>
      </c>
      <c r="AQ328" s="2">
        <f>[1]节奏总纲!BC328</f>
        <v>49.422869073731739</v>
      </c>
      <c r="AR328" s="2">
        <f>[1]节奏总纲!BD328</f>
        <v>52.180753173000248</v>
      </c>
      <c r="AS328" s="2">
        <f>[1]节奏总纲!BE328</f>
        <v>56.898622322409395</v>
      </c>
    </row>
    <row r="329" spans="17:45" x14ac:dyDescent="0.15">
      <c r="Q329" s="1">
        <v>326</v>
      </c>
      <c r="R329" s="1">
        <f>[1]节奏总纲!AD329</f>
        <v>83.522832821242034</v>
      </c>
      <c r="S329" s="1">
        <f>[1]节奏总纲!AE329</f>
        <v>85.640885479654855</v>
      </c>
      <c r="T329" s="1">
        <f>[1]节奏总纲!AF329</f>
        <v>88.664779850018547</v>
      </c>
      <c r="U329" s="1">
        <f>[1]节奏总纲!AG329</f>
        <v>93.683350294392895</v>
      </c>
      <c r="V329" s="1">
        <f>[1]节奏总纲!AH329</f>
        <v>102.55847722991859</v>
      </c>
      <c r="AN329" s="2">
        <v>326</v>
      </c>
      <c r="AO329" s="2">
        <f>[1]节奏总纲!BA329</f>
        <v>46.002713830586146</v>
      </c>
      <c r="AP329" s="2">
        <f>[1]节奏总纲!BB329</f>
        <v>47.494422316512662</v>
      </c>
      <c r="AQ329" s="2">
        <f>[1]节奏总纲!BC329</f>
        <v>49.443528852728278</v>
      </c>
      <c r="AR329" s="2">
        <f>[1]节奏总纲!BD329</f>
        <v>52.200706513796298</v>
      </c>
      <c r="AS329" s="2">
        <f>[1]节奏总纲!BE329</f>
        <v>56.920830071792501</v>
      </c>
    </row>
    <row r="330" spans="17:45" x14ac:dyDescent="0.15">
      <c r="Q330" s="1">
        <v>327</v>
      </c>
      <c r="R330" s="1">
        <f>[1]节奏总纲!AD330</f>
        <v>83.56703942367065</v>
      </c>
      <c r="S330" s="1">
        <f>[1]节奏总纲!AE330</f>
        <v>85.685767896236854</v>
      </c>
      <c r="T330" s="1">
        <f>[1]节奏总纲!AF330</f>
        <v>88.715550900229445</v>
      </c>
      <c r="U330" s="1">
        <f>[1]节奏总纲!AG330</f>
        <v>93.730563340620719</v>
      </c>
      <c r="V330" s="1">
        <f>[1]节奏总纲!AH330</f>
        <v>102.60337546865996</v>
      </c>
      <c r="AN330" s="2">
        <v>327</v>
      </c>
      <c r="AO330" s="2">
        <f>[1]节奏总纲!BA330</f>
        <v>46.021977873404879</v>
      </c>
      <c r="AP330" s="2">
        <f>[1]节奏总纲!BB330</f>
        <v>47.515209854835554</v>
      </c>
      <c r="AQ330" s="2">
        <f>[1]节奏总纲!BC330</f>
        <v>49.464188631724817</v>
      </c>
      <c r="AR330" s="2">
        <f>[1]节奏总纲!BD330</f>
        <v>52.220659854592348</v>
      </c>
      <c r="AS330" s="2">
        <f>[1]节奏总纲!BE330</f>
        <v>56.943037821175608</v>
      </c>
    </row>
    <row r="331" spans="17:45" x14ac:dyDescent="0.15">
      <c r="Q331" s="1">
        <v>328</v>
      </c>
      <c r="R331" s="1">
        <f>[1]节奏总纲!AD331</f>
        <v>83.611246026099252</v>
      </c>
      <c r="S331" s="1">
        <f>[1]节奏总纲!AE331</f>
        <v>85.730650312818852</v>
      </c>
      <c r="T331" s="1">
        <f>[1]节奏总纲!AF331</f>
        <v>88.766321950440357</v>
      </c>
      <c r="U331" s="1">
        <f>[1]节奏总纲!AG331</f>
        <v>93.777776386848544</v>
      </c>
      <c r="V331" s="1">
        <f>[1]节奏总纲!AH331</f>
        <v>102.64827370740134</v>
      </c>
      <c r="AN331" s="2">
        <v>328</v>
      </c>
      <c r="AO331" s="2">
        <f>[1]节奏总纲!BA331</f>
        <v>46.041241916223605</v>
      </c>
      <c r="AP331" s="2">
        <f>[1]节奏总纲!BB331</f>
        <v>47.535997393158453</v>
      </c>
      <c r="AQ331" s="2">
        <f>[1]节奏总纲!BC331</f>
        <v>49.484848410721355</v>
      </c>
      <c r="AR331" s="2">
        <f>[1]节奏总纲!BD331</f>
        <v>52.240613195388391</v>
      </c>
      <c r="AS331" s="2">
        <f>[1]节奏总纲!BE331</f>
        <v>56.965245570558714</v>
      </c>
    </row>
    <row r="332" spans="17:45" x14ac:dyDescent="0.15">
      <c r="Q332" s="1">
        <v>329</v>
      </c>
      <c r="R332" s="1">
        <f>[1]节奏总纲!AD332</f>
        <v>83.655452628527868</v>
      </c>
      <c r="S332" s="1">
        <f>[1]节奏总纲!AE332</f>
        <v>85.775532729400851</v>
      </c>
      <c r="T332" s="1">
        <f>[1]节奏总纲!AF332</f>
        <v>88.817093000651269</v>
      </c>
      <c r="U332" s="1">
        <f>[1]节奏总纲!AG332</f>
        <v>93.824989433076368</v>
      </c>
      <c r="V332" s="1">
        <f>[1]节奏总纲!AH332</f>
        <v>102.69317194614273</v>
      </c>
      <c r="AN332" s="2">
        <v>329</v>
      </c>
      <c r="AO332" s="2">
        <f>[1]节奏总纲!BA332</f>
        <v>46.060505959042331</v>
      </c>
      <c r="AP332" s="2">
        <f>[1]节奏总纲!BB332</f>
        <v>47.556784931481346</v>
      </c>
      <c r="AQ332" s="2">
        <f>[1]节奏总纲!BC332</f>
        <v>49.505508189717887</v>
      </c>
      <c r="AR332" s="2">
        <f>[1]节奏总纲!BD332</f>
        <v>52.260566536184442</v>
      </c>
      <c r="AS332" s="2">
        <f>[1]节奏总纲!BE332</f>
        <v>56.987453319941828</v>
      </c>
    </row>
    <row r="333" spans="17:45" x14ac:dyDescent="0.15">
      <c r="Q333" s="1">
        <v>330</v>
      </c>
      <c r="R333" s="1">
        <f>[1]节奏总纲!AD333</f>
        <v>83.69965923095647</v>
      </c>
      <c r="S333" s="1">
        <f>[1]节奏总纲!AE333</f>
        <v>85.820415145982849</v>
      </c>
      <c r="T333" s="1">
        <f>[1]节奏总纲!AF333</f>
        <v>88.867864050862167</v>
      </c>
      <c r="U333" s="1">
        <f>[1]节奏总纲!AG333</f>
        <v>93.872202479304192</v>
      </c>
      <c r="V333" s="1">
        <f>[1]节奏总纲!AH333</f>
        <v>102.73807018488411</v>
      </c>
      <c r="AN333" s="2">
        <v>330</v>
      </c>
      <c r="AO333" s="2">
        <f>[1]节奏总纲!BA333</f>
        <v>46.079770001861057</v>
      </c>
      <c r="AP333" s="2">
        <f>[1]节奏总纲!BB333</f>
        <v>47.577572469804238</v>
      </c>
      <c r="AQ333" s="2">
        <f>[1]节奏总纲!BC333</f>
        <v>49.526167968714425</v>
      </c>
      <c r="AR333" s="2">
        <f>[1]节奏总纲!BD333</f>
        <v>52.280519876980485</v>
      </c>
      <c r="AS333" s="2">
        <f>[1]节奏总纲!BE333</f>
        <v>57.008345591208631</v>
      </c>
    </row>
    <row r="334" spans="17:45" x14ac:dyDescent="0.15">
      <c r="Q334" s="1">
        <v>331</v>
      </c>
      <c r="R334" s="1">
        <f>[1]节奏总纲!AD334</f>
        <v>83.743865833385087</v>
      </c>
      <c r="S334" s="1">
        <f>[1]节奏总纲!AE334</f>
        <v>85.865297562564862</v>
      </c>
      <c r="T334" s="1">
        <f>[1]节奏总纲!AF334</f>
        <v>88.918635101073079</v>
      </c>
      <c r="U334" s="1">
        <f>[1]节奏总纲!AG334</f>
        <v>93.919415525532017</v>
      </c>
      <c r="V334" s="1">
        <f>[1]节奏总纲!AH334</f>
        <v>102.78296842362549</v>
      </c>
      <c r="AN334" s="2">
        <v>331</v>
      </c>
      <c r="AO334" s="2">
        <f>[1]节奏总纲!BA334</f>
        <v>46.099034044679783</v>
      </c>
      <c r="AP334" s="2">
        <f>[1]节奏总纲!BB334</f>
        <v>47.598360008127131</v>
      </c>
      <c r="AQ334" s="2">
        <f>[1]节奏总纲!BC334</f>
        <v>49.546827747710964</v>
      </c>
      <c r="AR334" s="2">
        <f>[1]节奏总纲!BD334</f>
        <v>52.300473217776535</v>
      </c>
      <c r="AS334" s="2">
        <f>[1]节奏总纲!BE334</f>
        <v>57.027529471561998</v>
      </c>
    </row>
    <row r="335" spans="17:45" x14ac:dyDescent="0.15">
      <c r="Q335" s="1">
        <v>332</v>
      </c>
      <c r="R335" s="1">
        <f>[1]节奏总纲!AD335</f>
        <v>83.788072435813689</v>
      </c>
      <c r="S335" s="1">
        <f>[1]节奏总纲!AE335</f>
        <v>85.910179979146861</v>
      </c>
      <c r="T335" s="1">
        <f>[1]节奏总纲!AF335</f>
        <v>88.969406151283977</v>
      </c>
      <c r="U335" s="1">
        <f>[1]节奏总纲!AG335</f>
        <v>93.966628571759841</v>
      </c>
      <c r="V335" s="1">
        <f>[1]节奏总纲!AH335</f>
        <v>102.82786666236686</v>
      </c>
      <c r="AN335" s="2">
        <v>332</v>
      </c>
      <c r="AO335" s="2">
        <f>[1]节奏总纲!BA335</f>
        <v>46.118298087498509</v>
      </c>
      <c r="AP335" s="2">
        <f>[1]节奏总纲!BB335</f>
        <v>47.619147546450023</v>
      </c>
      <c r="AQ335" s="2">
        <f>[1]节奏总纲!BC335</f>
        <v>49.567487526707502</v>
      </c>
      <c r="AR335" s="2">
        <f>[1]节奏总纲!BD335</f>
        <v>52.320426558572585</v>
      </c>
      <c r="AS335" s="2">
        <f>[1]节奏总纲!BE335</f>
        <v>57.046713351915365</v>
      </c>
    </row>
    <row r="336" spans="17:45" x14ac:dyDescent="0.15">
      <c r="Q336" s="1">
        <v>333</v>
      </c>
      <c r="R336" s="1">
        <f>[1]节奏总纲!AD336</f>
        <v>83.832279038242305</v>
      </c>
      <c r="S336" s="1">
        <f>[1]节奏总纲!AE336</f>
        <v>85.955062395728859</v>
      </c>
      <c r="T336" s="1">
        <f>[1]节奏总纲!AF336</f>
        <v>89.018466905731287</v>
      </c>
      <c r="U336" s="1">
        <f>[1]节奏总纲!AG336</f>
        <v>94.012923283729691</v>
      </c>
      <c r="V336" s="1">
        <f>[1]节奏总纲!AH336</f>
        <v>102.87276490110824</v>
      </c>
      <c r="AN336" s="2">
        <v>333</v>
      </c>
      <c r="AO336" s="2">
        <f>[1]节奏总纲!BA336</f>
        <v>46.137562130317242</v>
      </c>
      <c r="AP336" s="2">
        <f>[1]节奏总纲!BB336</f>
        <v>47.639935084772922</v>
      </c>
      <c r="AQ336" s="2">
        <f>[1]节奏总纲!BC336</f>
        <v>49.588147305704041</v>
      </c>
      <c r="AR336" s="2">
        <f>[1]节奏总纲!BD336</f>
        <v>52.340379899368628</v>
      </c>
      <c r="AS336" s="2">
        <f>[1]节奏总纲!BE336</f>
        <v>57.065897232268732</v>
      </c>
    </row>
    <row r="337" spans="17:45" x14ac:dyDescent="0.15">
      <c r="Q337" s="1">
        <v>334</v>
      </c>
      <c r="R337" s="1">
        <f>[1]节奏总纲!AD337</f>
        <v>83.876485640670907</v>
      </c>
      <c r="S337" s="1">
        <f>[1]节奏总纲!AE337</f>
        <v>85.999944812310858</v>
      </c>
      <c r="T337" s="1">
        <f>[1]节奏总纲!AF337</f>
        <v>89.064934410075779</v>
      </c>
      <c r="U337" s="1">
        <f>[1]节奏总纲!AG337</f>
        <v>94.057003939090123</v>
      </c>
      <c r="V337" s="1">
        <f>[1]节奏总纲!AH337</f>
        <v>102.91766313984962</v>
      </c>
      <c r="AN337" s="2">
        <v>334</v>
      </c>
      <c r="AO337" s="2">
        <f>[1]节奏总纲!BA337</f>
        <v>46.156826173135968</v>
      </c>
      <c r="AP337" s="2">
        <f>[1]节奏总纲!BB337</f>
        <v>47.660722623095815</v>
      </c>
      <c r="AQ337" s="2">
        <f>[1]节奏总纲!BC337</f>
        <v>49.608807084700572</v>
      </c>
      <c r="AR337" s="2">
        <f>[1]节奏总纲!BD337</f>
        <v>52.360333240164678</v>
      </c>
      <c r="AS337" s="2">
        <f>[1]节奏总纲!BE337</f>
        <v>57.085081112622099</v>
      </c>
    </row>
    <row r="338" spans="17:45" x14ac:dyDescent="0.15">
      <c r="Q338" s="1">
        <v>335</v>
      </c>
      <c r="R338" s="1">
        <f>[1]节奏总纲!AD338</f>
        <v>83.920692243099523</v>
      </c>
      <c r="S338" s="1">
        <f>[1]节奏总纲!AE338</f>
        <v>86.041129946887025</v>
      </c>
      <c r="T338" s="1">
        <f>[1]节奏总纲!AF338</f>
        <v>89.11140191442027</v>
      </c>
      <c r="U338" s="1">
        <f>[1]节奏总纲!AG338</f>
        <v>94.101084594450555</v>
      </c>
      <c r="V338" s="1">
        <f>[1]节奏总纲!AH338</f>
        <v>102.962561378591</v>
      </c>
      <c r="AN338" s="2">
        <v>335</v>
      </c>
      <c r="AO338" s="2">
        <f>[1]节奏总纲!BA338</f>
        <v>46.176090215954694</v>
      </c>
      <c r="AP338" s="2">
        <f>[1]节奏总纲!BB338</f>
        <v>47.681510161418707</v>
      </c>
      <c r="AQ338" s="2">
        <f>[1]节奏总纲!BC338</f>
        <v>49.629466863697111</v>
      </c>
      <c r="AR338" s="2">
        <f>[1]节奏总纲!BD338</f>
        <v>52.380286580960728</v>
      </c>
      <c r="AS338" s="2">
        <f>[1]节奏总纲!BE338</f>
        <v>57.104264992975466</v>
      </c>
    </row>
    <row r="339" spans="17:45" x14ac:dyDescent="0.15">
      <c r="Q339" s="1">
        <v>336</v>
      </c>
      <c r="R339" s="1">
        <f>[1]节奏总纲!AD339</f>
        <v>83.964898845528126</v>
      </c>
      <c r="S339" s="1">
        <f>[1]节奏总纲!AE339</f>
        <v>86.082310529666103</v>
      </c>
      <c r="T339" s="1">
        <f>[1]节奏总纲!AF339</f>
        <v>89.157869418764761</v>
      </c>
      <c r="U339" s="1">
        <f>[1]节奏总纲!AG339</f>
        <v>94.145165249810972</v>
      </c>
      <c r="V339" s="1">
        <f>[1]节奏总纲!AH339</f>
        <v>103.00673656424885</v>
      </c>
      <c r="AN339" s="2">
        <v>336</v>
      </c>
      <c r="AO339" s="2">
        <f>[1]节奏总纲!BA339</f>
        <v>46.19535425877342</v>
      </c>
      <c r="AP339" s="2">
        <f>[1]节奏总纲!BB339</f>
        <v>47.7022976997416</v>
      </c>
      <c r="AQ339" s="2">
        <f>[1]节奏总纲!BC339</f>
        <v>49.65012664269365</v>
      </c>
      <c r="AR339" s="2">
        <f>[1]节奏总纲!BD339</f>
        <v>52.400239921756771</v>
      </c>
      <c r="AS339" s="2">
        <f>[1]节奏总纲!BE339</f>
        <v>57.123448873328833</v>
      </c>
    </row>
    <row r="340" spans="17:45" x14ac:dyDescent="0.15">
      <c r="Q340" s="1">
        <v>337</v>
      </c>
      <c r="R340" s="1">
        <f>[1]节奏总纲!AD340</f>
        <v>84.008495683346354</v>
      </c>
      <c r="S340" s="1">
        <f>[1]节奏总纲!AE340</f>
        <v>86.12349111244518</v>
      </c>
      <c r="T340" s="1">
        <f>[1]节奏总纲!AF340</f>
        <v>89.204336923109267</v>
      </c>
      <c r="U340" s="1">
        <f>[1]节奏总纲!AG340</f>
        <v>94.189245905171404</v>
      </c>
      <c r="V340" s="1">
        <f>[1]节奏总纲!AH340</f>
        <v>103.04728286259964</v>
      </c>
      <c r="AN340" s="2">
        <v>337</v>
      </c>
      <c r="AO340" s="2">
        <f>[1]节奏总纲!BA340</f>
        <v>46.214618301592147</v>
      </c>
      <c r="AP340" s="2">
        <f>[1]节奏总纲!BB340</f>
        <v>47.723085238064499</v>
      </c>
      <c r="AQ340" s="2">
        <f>[1]节奏总纲!BC340</f>
        <v>49.670786421690188</v>
      </c>
      <c r="AR340" s="2">
        <f>[1]节奏总纲!BD340</f>
        <v>52.420193262552822</v>
      </c>
      <c r="AS340" s="2">
        <f>[1]节奏总纲!BE340</f>
        <v>57.1426327536822</v>
      </c>
    </row>
    <row r="341" spans="17:45" x14ac:dyDescent="0.15">
      <c r="Q341" s="1">
        <v>338</v>
      </c>
      <c r="R341" s="1">
        <f>[1]节奏总纲!AD341</f>
        <v>84.049741901856009</v>
      </c>
      <c r="S341" s="1">
        <f>[1]节奏总纲!AE341</f>
        <v>86.164671695224243</v>
      </c>
      <c r="T341" s="1">
        <f>[1]节奏总纲!AF341</f>
        <v>89.250804427453758</v>
      </c>
      <c r="U341" s="1">
        <f>[1]节奏总纲!AG341</f>
        <v>94.233326560531836</v>
      </c>
      <c r="V341" s="1">
        <f>[1]节奏总纲!AH341</f>
        <v>103.08782916095045</v>
      </c>
      <c r="AN341" s="2">
        <v>338</v>
      </c>
      <c r="AO341" s="2">
        <f>[1]节奏总纲!BA341</f>
        <v>46.23388234441088</v>
      </c>
      <c r="AP341" s="2">
        <f>[1]节奏总纲!BB341</f>
        <v>47.743872776387391</v>
      </c>
      <c r="AQ341" s="2">
        <f>[1]节奏总纲!BC341</f>
        <v>49.69144620068672</v>
      </c>
      <c r="AR341" s="2">
        <f>[1]节奏总纲!BD341</f>
        <v>52.440146603348865</v>
      </c>
      <c r="AS341" s="2">
        <f>[1]节奏总纲!BE341</f>
        <v>57.161816634035567</v>
      </c>
    </row>
    <row r="342" spans="17:45" x14ac:dyDescent="0.15">
      <c r="Q342" s="1">
        <v>339</v>
      </c>
      <c r="R342" s="1">
        <f>[1]节奏总纲!AD342</f>
        <v>84.090988120365651</v>
      </c>
      <c r="S342" s="1">
        <f>[1]节奏总纲!AE342</f>
        <v>86.20585227800332</v>
      </c>
      <c r="T342" s="1">
        <f>[1]节奏总纲!AF342</f>
        <v>89.29727193179825</v>
      </c>
      <c r="U342" s="1">
        <f>[1]节奏总纲!AG342</f>
        <v>94.277407215892268</v>
      </c>
      <c r="V342" s="1">
        <f>[1]节奏总纲!AH342</f>
        <v>103.12837545930124</v>
      </c>
      <c r="AN342" s="2">
        <v>339</v>
      </c>
      <c r="AO342" s="2">
        <f>[1]节奏总纲!BA342</f>
        <v>46.253146387229606</v>
      </c>
      <c r="AP342" s="2">
        <f>[1]节奏总纲!BB342</f>
        <v>47.764660314710284</v>
      </c>
      <c r="AQ342" s="2">
        <f>[1]节奏总纲!BC342</f>
        <v>49.712105979683258</v>
      </c>
      <c r="AR342" s="2">
        <f>[1]节奏总纲!BD342</f>
        <v>52.460099944144915</v>
      </c>
      <c r="AS342" s="2">
        <f>[1]节奏总纲!BE342</f>
        <v>57.181000514388934</v>
      </c>
    </row>
    <row r="343" spans="17:45" x14ac:dyDescent="0.15">
      <c r="Q343" s="1">
        <v>340</v>
      </c>
      <c r="R343" s="1">
        <f>[1]节奏总纲!AD343</f>
        <v>84.132234338875293</v>
      </c>
      <c r="S343" s="1">
        <f>[1]节奏总纲!AE343</f>
        <v>86.247032860782397</v>
      </c>
      <c r="T343" s="1">
        <f>[1]节奏总纲!AF343</f>
        <v>89.343739436142741</v>
      </c>
      <c r="U343" s="1">
        <f>[1]节奏总纲!AG343</f>
        <v>94.3214878712527</v>
      </c>
      <c r="V343" s="1">
        <f>[1]节奏总纲!AH343</f>
        <v>103.16892175765203</v>
      </c>
      <c r="AN343" s="2">
        <v>340</v>
      </c>
      <c r="AO343" s="2">
        <f>[1]节奏总纲!BA343</f>
        <v>46.272410430048332</v>
      </c>
      <c r="AP343" s="2">
        <f>[1]节奏总纲!BB343</f>
        <v>47.785447853033176</v>
      </c>
      <c r="AQ343" s="2">
        <f>[1]节奏总纲!BC343</f>
        <v>49.732765758679797</v>
      </c>
      <c r="AR343" s="2">
        <f>[1]节奏总纲!BD343</f>
        <v>52.480053284940965</v>
      </c>
      <c r="AS343" s="2">
        <f>[1]节奏总纲!BE343</f>
        <v>57.200184394742301</v>
      </c>
    </row>
    <row r="344" spans="17:45" x14ac:dyDescent="0.15">
      <c r="Q344" s="1">
        <v>341</v>
      </c>
      <c r="R344" s="1">
        <f>[1]节奏总纲!AD344</f>
        <v>84.173480557384934</v>
      </c>
      <c r="S344" s="1">
        <f>[1]节奏总纲!AE344</f>
        <v>86.288213443561474</v>
      </c>
      <c r="T344" s="1">
        <f>[1]节奏总纲!AF344</f>
        <v>89.390206940487232</v>
      </c>
      <c r="U344" s="1">
        <f>[1]节奏总纲!AG344</f>
        <v>94.365568526613131</v>
      </c>
      <c r="V344" s="1">
        <f>[1]节奏总纲!AH344</f>
        <v>103.20946805600283</v>
      </c>
      <c r="AN344" s="2">
        <v>341</v>
      </c>
      <c r="AO344" s="2">
        <f>[1]节奏总纲!BA344</f>
        <v>46.291674472867058</v>
      </c>
      <c r="AP344" s="2">
        <f>[1]节奏总纲!BB344</f>
        <v>47.806235391356068</v>
      </c>
      <c r="AQ344" s="2">
        <f>[1]节奏总纲!BC344</f>
        <v>49.753425537676335</v>
      </c>
      <c r="AR344" s="2">
        <f>[1]节奏总纲!BD344</f>
        <v>52.500006625737008</v>
      </c>
      <c r="AS344" s="2">
        <f>[1]节奏总纲!BE344</f>
        <v>57.219368275095675</v>
      </c>
    </row>
    <row r="345" spans="17:45" x14ac:dyDescent="0.15">
      <c r="Q345" s="1">
        <v>342</v>
      </c>
      <c r="R345" s="1">
        <f>[1]节奏总纲!AD345</f>
        <v>84.214726775894576</v>
      </c>
      <c r="S345" s="1">
        <f>[1]节奏总纲!AE345</f>
        <v>86.329394026340537</v>
      </c>
      <c r="T345" s="1">
        <f>[1]节奏总纲!AF345</f>
        <v>89.436674444831723</v>
      </c>
      <c r="U345" s="1">
        <f>[1]节奏总纲!AG345</f>
        <v>94.409649181973549</v>
      </c>
      <c r="V345" s="1">
        <f>[1]节奏总纲!AH345</f>
        <v>103.25001435435362</v>
      </c>
      <c r="AN345" s="2">
        <v>342</v>
      </c>
      <c r="AO345" s="2">
        <f>[1]节奏总纲!BA345</f>
        <v>46.310938515685784</v>
      </c>
      <c r="AP345" s="2">
        <f>[1]节奏总纲!BB345</f>
        <v>47.827022929678968</v>
      </c>
      <c r="AQ345" s="2">
        <f>[1]节奏总纲!BC345</f>
        <v>49.774085316672867</v>
      </c>
      <c r="AR345" s="2">
        <f>[1]节奏总纲!BD345</f>
        <v>52.519959966533058</v>
      </c>
      <c r="AS345" s="2">
        <f>[1]节奏总纲!BE345</f>
        <v>57.238552155449042</v>
      </c>
    </row>
    <row r="346" spans="17:45" x14ac:dyDescent="0.15">
      <c r="Q346" s="1">
        <v>343</v>
      </c>
      <c r="R346" s="1">
        <f>[1]节奏总纲!AD346</f>
        <v>84.255972994404218</v>
      </c>
      <c r="S346" s="1">
        <f>[1]节奏总纲!AE346</f>
        <v>86.370574609119615</v>
      </c>
      <c r="T346" s="1">
        <f>[1]节奏总纲!AF346</f>
        <v>89.483141949176215</v>
      </c>
      <c r="U346" s="1">
        <f>[1]节奏总纲!AG346</f>
        <v>94.453729837333981</v>
      </c>
      <c r="V346" s="1">
        <f>[1]节奏总纲!AH346</f>
        <v>103.29056065270443</v>
      </c>
      <c r="AN346" s="2">
        <v>343</v>
      </c>
      <c r="AO346" s="2">
        <f>[1]节奏总纲!BA346</f>
        <v>46.330202558504517</v>
      </c>
      <c r="AP346" s="2">
        <f>[1]节奏总纲!BB346</f>
        <v>47.84781046800186</v>
      </c>
      <c r="AQ346" s="2">
        <f>[1]节奏总纲!BC346</f>
        <v>49.794745095669406</v>
      </c>
      <c r="AR346" s="2">
        <f>[1]节奏总纲!BD346</f>
        <v>52.539913307329101</v>
      </c>
      <c r="AS346" s="2">
        <f>[1]节奏总纲!BE346</f>
        <v>57.257736035802409</v>
      </c>
    </row>
    <row r="347" spans="17:45" x14ac:dyDescent="0.15">
      <c r="Q347" s="1">
        <v>344</v>
      </c>
      <c r="R347" s="1">
        <f>[1]节奏总纲!AD347</f>
        <v>84.297219212913859</v>
      </c>
      <c r="S347" s="1">
        <f>[1]节奏总纲!AE347</f>
        <v>86.411755191898692</v>
      </c>
      <c r="T347" s="1">
        <f>[1]节奏总纲!AF347</f>
        <v>89.529609453520706</v>
      </c>
      <c r="U347" s="1">
        <f>[1]节奏总纲!AG347</f>
        <v>94.497810492694413</v>
      </c>
      <c r="V347" s="1">
        <f>[1]节奏总纲!AH347</f>
        <v>103.33110695105522</v>
      </c>
      <c r="AN347" s="2">
        <v>344</v>
      </c>
      <c r="AO347" s="2">
        <f>[1]节奏总纲!BA347</f>
        <v>46.349466601323243</v>
      </c>
      <c r="AP347" s="2">
        <f>[1]节奏总纲!BB347</f>
        <v>47.868598006324753</v>
      </c>
      <c r="AQ347" s="2">
        <f>[1]节奏总纲!BC347</f>
        <v>49.815404874665944</v>
      </c>
      <c r="AR347" s="2">
        <f>[1]节奏总纲!BD347</f>
        <v>52.559866648125151</v>
      </c>
      <c r="AS347" s="2">
        <f>[1]节奏总纲!BE347</f>
        <v>57.276919916155776</v>
      </c>
    </row>
    <row r="348" spans="17:45" x14ac:dyDescent="0.15">
      <c r="Q348" s="1">
        <v>345</v>
      </c>
      <c r="R348" s="1">
        <f>[1]节奏总纲!AD348</f>
        <v>84.338465431423501</v>
      </c>
      <c r="S348" s="1">
        <f>[1]节奏总纲!AE348</f>
        <v>86.452935774677769</v>
      </c>
      <c r="T348" s="1">
        <f>[1]节奏总纲!AF348</f>
        <v>89.576076957865197</v>
      </c>
      <c r="U348" s="1">
        <f>[1]节奏总纲!AG348</f>
        <v>94.541891148054845</v>
      </c>
      <c r="V348" s="1">
        <f>[1]节奏总纲!AH348</f>
        <v>103.37165324940601</v>
      </c>
      <c r="AN348" s="2">
        <v>345</v>
      </c>
      <c r="AO348" s="2">
        <f>[1]节奏总纲!BA348</f>
        <v>46.368730644141969</v>
      </c>
      <c r="AP348" s="2">
        <f>[1]节奏总纲!BB348</f>
        <v>47.889385544647645</v>
      </c>
      <c r="AQ348" s="2">
        <f>[1]节奏总纲!BC348</f>
        <v>49.836064653662483</v>
      </c>
      <c r="AR348" s="2">
        <f>[1]节奏总纲!BD348</f>
        <v>52.579819988921201</v>
      </c>
      <c r="AS348" s="2">
        <f>[1]节奏总纲!BE348</f>
        <v>57.296103796509144</v>
      </c>
    </row>
    <row r="349" spans="17:45" x14ac:dyDescent="0.15">
      <c r="Q349" s="1">
        <v>346</v>
      </c>
      <c r="R349" s="1">
        <f>[1]节奏总纲!AD349</f>
        <v>84.379711649933142</v>
      </c>
      <c r="S349" s="1">
        <f>[1]节奏总纲!AE349</f>
        <v>86.494116357456846</v>
      </c>
      <c r="T349" s="1">
        <f>[1]节奏总纲!AF349</f>
        <v>89.622544462209689</v>
      </c>
      <c r="U349" s="1">
        <f>[1]节奏总纲!AG349</f>
        <v>94.585971803415276</v>
      </c>
      <c r="V349" s="1">
        <f>[1]节奏总纲!AH349</f>
        <v>103.41219954775681</v>
      </c>
      <c r="AN349" s="2">
        <v>346</v>
      </c>
      <c r="AO349" s="2">
        <f>[1]节奏总纲!BA349</f>
        <v>46.387994686960695</v>
      </c>
      <c r="AP349" s="2">
        <f>[1]节奏总纲!BB349</f>
        <v>47.910173082970537</v>
      </c>
      <c r="AQ349" s="2">
        <f>[1]节奏总纲!BC349</f>
        <v>49.856724432659014</v>
      </c>
      <c r="AR349" s="2">
        <f>[1]节奏总纲!BD349</f>
        <v>52.599773329717245</v>
      </c>
      <c r="AS349" s="2">
        <f>[1]节奏总纲!BE349</f>
        <v>57.315287676862511</v>
      </c>
    </row>
    <row r="350" spans="17:45" x14ac:dyDescent="0.15">
      <c r="Q350" s="1">
        <v>347</v>
      </c>
      <c r="R350" s="1">
        <f>[1]节奏总纲!AD350</f>
        <v>84.420957868442784</v>
      </c>
      <c r="S350" s="1">
        <f>[1]节奏总纲!AE350</f>
        <v>86.535296940235909</v>
      </c>
      <c r="T350" s="1">
        <f>[1]节奏总纲!AF350</f>
        <v>89.66901196655418</v>
      </c>
      <c r="U350" s="1">
        <f>[1]节奏总纲!AG350</f>
        <v>94.630052458775694</v>
      </c>
      <c r="V350" s="1">
        <f>[1]节奏总纲!AH350</f>
        <v>103.4527458461076</v>
      </c>
      <c r="AN350" s="2">
        <v>347</v>
      </c>
      <c r="AO350" s="2">
        <f>[1]节奏总纲!BA350</f>
        <v>46.407258729779421</v>
      </c>
      <c r="AP350" s="2">
        <f>[1]节奏总纲!BB350</f>
        <v>47.930960621293437</v>
      </c>
      <c r="AQ350" s="2">
        <f>[1]节奏总纲!BC350</f>
        <v>49.877384211655553</v>
      </c>
      <c r="AR350" s="2">
        <f>[1]节奏总纲!BD350</f>
        <v>52.619726670513295</v>
      </c>
      <c r="AS350" s="2">
        <f>[1]节奏总纲!BE350</f>
        <v>57.334471557215878</v>
      </c>
    </row>
    <row r="351" spans="17:45" x14ac:dyDescent="0.15">
      <c r="Q351" s="1">
        <v>348</v>
      </c>
      <c r="R351" s="1">
        <f>[1]节奏总纲!AD351</f>
        <v>84.462204086952426</v>
      </c>
      <c r="S351" s="1">
        <f>[1]节奏总纲!AE351</f>
        <v>86.576477523014987</v>
      </c>
      <c r="T351" s="1">
        <f>[1]节奏总纲!AF351</f>
        <v>89.715479470898671</v>
      </c>
      <c r="U351" s="1">
        <f>[1]节奏总纲!AG351</f>
        <v>94.674133114136126</v>
      </c>
      <c r="V351" s="1">
        <f>[1]节奏总纲!AH351</f>
        <v>103.49329214445841</v>
      </c>
      <c r="AN351" s="2">
        <v>348</v>
      </c>
      <c r="AO351" s="2">
        <f>[1]节奏总纲!BA351</f>
        <v>46.426522772598148</v>
      </c>
      <c r="AP351" s="2">
        <f>[1]节奏总纲!BB351</f>
        <v>47.951748159616329</v>
      </c>
      <c r="AQ351" s="2">
        <f>[1]节奏总纲!BC351</f>
        <v>49.898043990652091</v>
      </c>
      <c r="AR351" s="2">
        <f>[1]节奏总纲!BD351</f>
        <v>52.639680011309345</v>
      </c>
      <c r="AS351" s="2">
        <f>[1]节奏总纲!BE351</f>
        <v>57.353655437569245</v>
      </c>
    </row>
    <row r="352" spans="17:45" x14ac:dyDescent="0.15">
      <c r="Q352" s="1">
        <v>349</v>
      </c>
      <c r="R352" s="1">
        <f>[1]节奏总纲!AD352</f>
        <v>84.503450305462081</v>
      </c>
      <c r="S352" s="1">
        <f>[1]节奏总纲!AE352</f>
        <v>86.617658105794064</v>
      </c>
      <c r="T352" s="1">
        <f>[1]节奏总纲!AF352</f>
        <v>89.761946975243163</v>
      </c>
      <c r="U352" s="1">
        <f>[1]节奏总纲!AG352</f>
        <v>94.718213769496558</v>
      </c>
      <c r="V352" s="1">
        <f>[1]节奏总纲!AH352</f>
        <v>103.5338384428092</v>
      </c>
      <c r="AN352" s="2">
        <v>349</v>
      </c>
      <c r="AO352" s="2">
        <f>[1]节奏总纲!BA352</f>
        <v>46.445786815416881</v>
      </c>
      <c r="AP352" s="2">
        <f>[1]节奏总纲!BB352</f>
        <v>47.972535697939222</v>
      </c>
      <c r="AQ352" s="2">
        <f>[1]节奏总纲!BC352</f>
        <v>49.91870376964863</v>
      </c>
      <c r="AR352" s="2">
        <f>[1]节奏总纲!BD352</f>
        <v>52.659633352105388</v>
      </c>
      <c r="AS352" s="2">
        <f>[1]节奏总纲!BE352</f>
        <v>57.372839317922612</v>
      </c>
    </row>
    <row r="353" spans="17:45" x14ac:dyDescent="0.15">
      <c r="Q353" s="1">
        <v>350</v>
      </c>
      <c r="R353" s="1">
        <f>[1]节奏总纲!AD353</f>
        <v>84.544696523971723</v>
      </c>
      <c r="S353" s="1">
        <f>[1]节奏总纲!AE353</f>
        <v>86.658838688573141</v>
      </c>
      <c r="T353" s="1">
        <f>[1]节奏总纲!AF353</f>
        <v>89.808414479587654</v>
      </c>
      <c r="U353" s="1">
        <f>[1]节奏总纲!AG353</f>
        <v>94.762294424856989</v>
      </c>
      <c r="V353" s="1">
        <f>[1]节奏总纲!AH353</f>
        <v>103.57438474115999</v>
      </c>
      <c r="AN353" s="2">
        <v>350</v>
      </c>
      <c r="AO353" s="2">
        <f>[1]节奏总纲!BA353</f>
        <v>46.465050858235607</v>
      </c>
      <c r="AP353" s="2">
        <f>[1]节奏总纲!BB353</f>
        <v>47.993323236262114</v>
      </c>
      <c r="AQ353" s="2">
        <f>[1]节奏总纲!BC353</f>
        <v>49.939363548645169</v>
      </c>
      <c r="AR353" s="2">
        <f>[1]节奏总纲!BD353</f>
        <v>52.679586692901438</v>
      </c>
      <c r="AS353" s="2">
        <f>[1]节奏总纲!BE353</f>
        <v>57.392023198275979</v>
      </c>
    </row>
    <row r="354" spans="17:45" x14ac:dyDescent="0.15">
      <c r="Q354" s="1">
        <v>351</v>
      </c>
      <c r="R354" s="1">
        <f>[1]节奏总纲!AD354</f>
        <v>84.585942742481365</v>
      </c>
      <c r="S354" s="1">
        <f>[1]节奏总纲!AE354</f>
        <v>86.700019271352204</v>
      </c>
      <c r="T354" s="1">
        <f>[1]节奏总纲!AF354</f>
        <v>89.854881983932145</v>
      </c>
      <c r="U354" s="1">
        <f>[1]节奏总纲!AG354</f>
        <v>94.806375080217421</v>
      </c>
      <c r="V354" s="1">
        <f>[1]节奏总纲!AH354</f>
        <v>103.61493103951079</v>
      </c>
      <c r="AN354" s="2">
        <v>351</v>
      </c>
      <c r="AO354" s="2">
        <f>[1]节奏总纲!BA354</f>
        <v>46.484314901054333</v>
      </c>
      <c r="AP354" s="2">
        <f>[1]节奏总纲!BB354</f>
        <v>48.012182251254622</v>
      </c>
      <c r="AQ354" s="2">
        <f>[1]节奏总纲!BC354</f>
        <v>49.9600233276417</v>
      </c>
      <c r="AR354" s="2">
        <f>[1]节奏总纲!BD354</f>
        <v>52.699540033697481</v>
      </c>
      <c r="AS354" s="2">
        <f>[1]节奏总纲!BE354</f>
        <v>57.411207078629346</v>
      </c>
    </row>
    <row r="355" spans="17:45" x14ac:dyDescent="0.15">
      <c r="Q355" s="1">
        <v>352</v>
      </c>
      <c r="R355" s="1">
        <f>[1]节奏总纲!AD355</f>
        <v>84.627188960991006</v>
      </c>
      <c r="S355" s="1">
        <f>[1]节奏总纲!AE355</f>
        <v>86.741199854131281</v>
      </c>
      <c r="T355" s="1">
        <f>[1]节奏总纲!AF355</f>
        <v>89.901349488276637</v>
      </c>
      <c r="U355" s="1">
        <f>[1]节奏总纲!AG355</f>
        <v>94.850455735577853</v>
      </c>
      <c r="V355" s="1">
        <f>[1]节奏总纲!AH355</f>
        <v>103.65547733786158</v>
      </c>
      <c r="AN355" s="2">
        <v>352</v>
      </c>
      <c r="AO355" s="2">
        <f>[1]节奏总纲!BA355</f>
        <v>46.503578943873059</v>
      </c>
      <c r="AP355" s="2">
        <f>[1]节奏总纲!BB355</f>
        <v>48.030128751164234</v>
      </c>
      <c r="AQ355" s="2">
        <f>[1]节奏总纲!BC355</f>
        <v>49.980683106638239</v>
      </c>
      <c r="AR355" s="2">
        <f>[1]节奏总纲!BD355</f>
        <v>52.719493374493531</v>
      </c>
      <c r="AS355" s="2">
        <f>[1]节奏总纲!BE355</f>
        <v>57.430390958982713</v>
      </c>
    </row>
    <row r="356" spans="17:45" x14ac:dyDescent="0.15">
      <c r="Q356" s="1">
        <v>353</v>
      </c>
      <c r="R356" s="1">
        <f>[1]节奏总纲!AD356</f>
        <v>84.668435179500648</v>
      </c>
      <c r="S356" s="1">
        <f>[1]节奏总纲!AE356</f>
        <v>86.782380436910358</v>
      </c>
      <c r="T356" s="1">
        <f>[1]节奏总纲!AF356</f>
        <v>89.947816992621142</v>
      </c>
      <c r="U356" s="1">
        <f>[1]节奏总纲!AG356</f>
        <v>94.894536390938271</v>
      </c>
      <c r="V356" s="1">
        <f>[1]节奏总纲!AH356</f>
        <v>103.69602363621237</v>
      </c>
      <c r="AN356" s="2">
        <v>353</v>
      </c>
      <c r="AO356" s="2">
        <f>[1]节奏总纲!BA356</f>
        <v>46.522842986691785</v>
      </c>
      <c r="AP356" s="2">
        <f>[1]节奏总纲!BB356</f>
        <v>48.048075251073854</v>
      </c>
      <c r="AQ356" s="2">
        <f>[1]节奏总纲!BC356</f>
        <v>50.00115951426713</v>
      </c>
      <c r="AR356" s="2">
        <f>[1]节奏总纲!BD356</f>
        <v>52.739446715289581</v>
      </c>
      <c r="AS356" s="2">
        <f>[1]节奏总纲!BE356</f>
        <v>57.44957483933608</v>
      </c>
    </row>
    <row r="357" spans="17:45" x14ac:dyDescent="0.15">
      <c r="Q357" s="1">
        <v>354</v>
      </c>
      <c r="R357" s="1">
        <f>[1]节奏总纲!AD357</f>
        <v>84.709681398010289</v>
      </c>
      <c r="S357" s="1">
        <f>[1]节奏总纲!AE357</f>
        <v>86.823561019689436</v>
      </c>
      <c r="T357" s="1">
        <f>[1]节奏总纲!AF357</f>
        <v>89.994284496965633</v>
      </c>
      <c r="U357" s="1">
        <f>[1]节奏总纲!AG357</f>
        <v>94.938617046298702</v>
      </c>
      <c r="V357" s="1">
        <f>[1]节奏总纲!AH357</f>
        <v>103.73656993456318</v>
      </c>
      <c r="AN357" s="2">
        <v>354</v>
      </c>
      <c r="AO357" s="2">
        <f>[1]节奏总纲!BA357</f>
        <v>46.542107029510518</v>
      </c>
      <c r="AP357" s="2">
        <f>[1]节奏总纲!BB357</f>
        <v>48.066021750983474</v>
      </c>
      <c r="AQ357" s="2">
        <f>[1]节奏总纲!BC357</f>
        <v>50.018998195299922</v>
      </c>
      <c r="AR357" s="2">
        <f>[1]节奏总纲!BD357</f>
        <v>52.759400056085624</v>
      </c>
      <c r="AS357" s="2">
        <f>[1]节奏总纲!BE357</f>
        <v>57.468758719689447</v>
      </c>
    </row>
    <row r="358" spans="17:45" x14ac:dyDescent="0.15">
      <c r="Q358" s="1">
        <v>355</v>
      </c>
      <c r="R358" s="1">
        <f>[1]节奏总纲!AD358</f>
        <v>84.750927616519931</v>
      </c>
      <c r="S358" s="1">
        <f>[1]节奏总纲!AE358</f>
        <v>86.864741602468499</v>
      </c>
      <c r="T358" s="1">
        <f>[1]节奏总纲!AF358</f>
        <v>90.036066635925749</v>
      </c>
      <c r="U358" s="1">
        <f>[1]节奏总纲!AG358</f>
        <v>94.982697701659134</v>
      </c>
      <c r="V358" s="1">
        <f>[1]节奏总纲!AH358</f>
        <v>103.77711623291397</v>
      </c>
      <c r="AN358" s="2">
        <v>355</v>
      </c>
      <c r="AO358" s="2">
        <f>[1]节奏总纲!BA358</f>
        <v>46.561371072329244</v>
      </c>
      <c r="AP358" s="2">
        <f>[1]节奏总纲!BB358</f>
        <v>48.083968250893093</v>
      </c>
      <c r="AQ358" s="2">
        <f>[1]节奏总纲!BC358</f>
        <v>50.036836876332707</v>
      </c>
      <c r="AR358" s="2">
        <f>[1]节奏总纲!BD358</f>
        <v>52.779353396881675</v>
      </c>
      <c r="AS358" s="2">
        <f>[1]节奏总纲!BE358</f>
        <v>57.487942600042821</v>
      </c>
    </row>
    <row r="359" spans="17:45" x14ac:dyDescent="0.15">
      <c r="Q359" s="1">
        <v>356</v>
      </c>
      <c r="R359" s="1">
        <f>[1]节奏总纲!AD359</f>
        <v>84.792173835029573</v>
      </c>
      <c r="S359" s="1">
        <f>[1]节奏总纲!AE359</f>
        <v>86.905922185247576</v>
      </c>
      <c r="T359" s="1">
        <f>[1]节奏总纲!AF359</f>
        <v>90.077191648383845</v>
      </c>
      <c r="U359" s="1">
        <f>[1]节奏总纲!AG359</f>
        <v>95.024001308619916</v>
      </c>
      <c r="V359" s="1">
        <f>[1]节奏总纲!AH359</f>
        <v>103.81766253126477</v>
      </c>
      <c r="AN359" s="2">
        <v>356</v>
      </c>
      <c r="AO359" s="2">
        <f>[1]节奏总纲!BA359</f>
        <v>46.58063511514797</v>
      </c>
      <c r="AP359" s="2">
        <f>[1]节奏总纲!BB359</f>
        <v>48.101914750802706</v>
      </c>
      <c r="AQ359" s="2">
        <f>[1]节奏总纲!BC359</f>
        <v>50.054675557365492</v>
      </c>
      <c r="AR359" s="2">
        <f>[1]节奏总纲!BD359</f>
        <v>52.799306737677718</v>
      </c>
      <c r="AS359" s="2">
        <f>[1]节奏总纲!BE359</f>
        <v>57.507126480396188</v>
      </c>
    </row>
    <row r="360" spans="17:45" x14ac:dyDescent="0.15">
      <c r="Q360" s="1">
        <v>357</v>
      </c>
      <c r="R360" s="1">
        <f>[1]节奏总纲!AD360</f>
        <v>84.833420053539214</v>
      </c>
      <c r="S360" s="1">
        <f>[1]节奏总纲!AE360</f>
        <v>86.947102768026653</v>
      </c>
      <c r="T360" s="1">
        <f>[1]节奏总纲!AF360</f>
        <v>90.118316660841927</v>
      </c>
      <c r="U360" s="1">
        <f>[1]节奏总纲!AG360</f>
        <v>95.063510581451752</v>
      </c>
      <c r="V360" s="1">
        <f>[1]节奏总纲!AH360</f>
        <v>103.85820882961556</v>
      </c>
      <c r="AN360" s="2">
        <v>357</v>
      </c>
      <c r="AO360" s="2">
        <f>[1]节奏总纲!BA360</f>
        <v>46.599899157966696</v>
      </c>
      <c r="AP360" s="2">
        <f>[1]节奏总纲!BB360</f>
        <v>48.119861250712326</v>
      </c>
      <c r="AQ360" s="2">
        <f>[1]节奏总纲!BC360</f>
        <v>50.072514238398277</v>
      </c>
      <c r="AR360" s="2">
        <f>[1]节奏总纲!BD360</f>
        <v>52.819260078473768</v>
      </c>
      <c r="AS360" s="2">
        <f>[1]节奏总纲!BE360</f>
        <v>57.526310360749555</v>
      </c>
    </row>
    <row r="361" spans="17:45" x14ac:dyDescent="0.15">
      <c r="Q361" s="1">
        <v>358</v>
      </c>
      <c r="R361" s="1">
        <f>[1]节奏总纲!AD361</f>
        <v>84.874666272048856</v>
      </c>
      <c r="S361" s="1">
        <f>[1]节奏总纲!AE361</f>
        <v>86.98828335080573</v>
      </c>
      <c r="T361" s="1">
        <f>[1]节奏总纲!AF361</f>
        <v>90.159441673300023</v>
      </c>
      <c r="U361" s="1">
        <f>[1]节奏总纲!AG361</f>
        <v>95.103019854283588</v>
      </c>
      <c r="V361" s="1">
        <f>[1]节奏总纲!AH361</f>
        <v>103.89875512796635</v>
      </c>
      <c r="AN361" s="2">
        <v>358</v>
      </c>
      <c r="AO361" s="2">
        <f>[1]节奏总纲!BA361</f>
        <v>46.619163200785422</v>
      </c>
      <c r="AP361" s="2">
        <f>[1]节奏总纲!BB361</f>
        <v>48.137807750621946</v>
      </c>
      <c r="AQ361" s="2">
        <f>[1]节奏总纲!BC361</f>
        <v>50.090352919431069</v>
      </c>
      <c r="AR361" s="2">
        <f>[1]节奏总纲!BD361</f>
        <v>52.839213419269818</v>
      </c>
      <c r="AS361" s="2">
        <f>[1]节奏总纲!BE361</f>
        <v>57.545494241102922</v>
      </c>
    </row>
    <row r="362" spans="17:45" x14ac:dyDescent="0.15">
      <c r="Q362" s="1">
        <v>359</v>
      </c>
      <c r="R362" s="1">
        <f>[1]节奏总纲!AD362</f>
        <v>84.915912490558497</v>
      </c>
      <c r="S362" s="1">
        <f>[1]节奏总纲!AE362</f>
        <v>87.027010646912942</v>
      </c>
      <c r="T362" s="1">
        <f>[1]节奏总纲!AF362</f>
        <v>90.200566685758119</v>
      </c>
      <c r="U362" s="1">
        <f>[1]节奏总纲!AG362</f>
        <v>95.142529127115409</v>
      </c>
      <c r="V362" s="1">
        <f>[1]节奏总纲!AH362</f>
        <v>103.93930142631716</v>
      </c>
      <c r="AN362" s="2">
        <v>359</v>
      </c>
      <c r="AO362" s="2">
        <f>[1]节奏总纲!BA362</f>
        <v>46.638427243604156</v>
      </c>
      <c r="AP362" s="2">
        <f>[1]节奏总纲!BB362</f>
        <v>48.155754250531558</v>
      </c>
      <c r="AQ362" s="2">
        <f>[1]节奏总纲!BC362</f>
        <v>50.108191600463854</v>
      </c>
      <c r="AR362" s="2">
        <f>[1]节奏总纲!BD362</f>
        <v>52.859166760065861</v>
      </c>
      <c r="AS362" s="2">
        <f>[1]节奏总纲!BE362</f>
        <v>57.564678121456289</v>
      </c>
    </row>
    <row r="363" spans="17:45" x14ac:dyDescent="0.15">
      <c r="Q363" s="1">
        <v>360</v>
      </c>
      <c r="R363" s="1">
        <f>[1]节奏总纲!AD363</f>
        <v>84.957158709068153</v>
      </c>
      <c r="S363" s="1">
        <f>[1]节奏总纲!AE363</f>
        <v>87.064762367263285</v>
      </c>
      <c r="T363" s="1">
        <f>[1]节奏总纲!AF363</f>
        <v>90.241691698216215</v>
      </c>
      <c r="U363" s="1">
        <f>[1]节奏总纲!AG363</f>
        <v>95.182038399947245</v>
      </c>
      <c r="V363" s="1">
        <f>[1]节奏总纲!AH363</f>
        <v>103.97984772466795</v>
      </c>
      <c r="AN363" s="2">
        <v>360</v>
      </c>
      <c r="AO363" s="2">
        <f>[1]节奏总纲!BA363</f>
        <v>46.657691286422882</v>
      </c>
      <c r="AP363" s="2">
        <f>[1]节奏总纲!BB363</f>
        <v>48.173700750441178</v>
      </c>
      <c r="AQ363" s="2">
        <f>[1]节奏总纲!BC363</f>
        <v>50.126030281496639</v>
      </c>
      <c r="AR363" s="2">
        <f>[1]节奏总纲!BD363</f>
        <v>52.879120100861911</v>
      </c>
      <c r="AS363" s="2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FB83-22D6-473D-B6B3-0B94A36F1FAD}">
  <sheetPr codeName="Sheet4"/>
  <dimension ref="B2:G163"/>
  <sheetViews>
    <sheetView topLeftCell="A2" workbookViewId="0">
      <selection activeCell="K22" sqref="K22"/>
    </sheetView>
  </sheetViews>
  <sheetFormatPr defaultRowHeight="11.25" x14ac:dyDescent="0.15"/>
  <cols>
    <col min="1" max="16384" width="9" style="86"/>
  </cols>
  <sheetData>
    <row r="2" spans="2:7" x14ac:dyDescent="0.15">
      <c r="B2" s="121" t="s">
        <v>206</v>
      </c>
      <c r="C2" s="121"/>
      <c r="D2" s="121"/>
      <c r="E2" s="121"/>
      <c r="F2" s="121"/>
      <c r="G2" s="121"/>
    </row>
    <row r="3" spans="2:7" x14ac:dyDescent="0.15">
      <c r="B3" s="86" t="s">
        <v>102</v>
      </c>
      <c r="C3" s="86" t="s">
        <v>0</v>
      </c>
      <c r="D3" s="86" t="s">
        <v>1</v>
      </c>
      <c r="E3" s="86" t="s">
        <v>2</v>
      </c>
      <c r="F3" s="86" t="s">
        <v>3</v>
      </c>
      <c r="G3" s="86" t="s">
        <v>4</v>
      </c>
    </row>
    <row r="4" spans="2:7" x14ac:dyDescent="0.15">
      <c r="B4" s="86">
        <v>1</v>
      </c>
      <c r="C4" s="86">
        <f>'[1]资源-钻石'!L4</f>
        <v>1040.835041035225</v>
      </c>
      <c r="D4" s="86">
        <f>'[1]资源-钻石'!M4</f>
        <v>1168.9514075544139</v>
      </c>
      <c r="E4" s="86">
        <f>'[1]资源-钻石'!N4</f>
        <v>1452.2170921747929</v>
      </c>
      <c r="F4" s="86">
        <f>'[1]资源-钻石'!O4</f>
        <v>2510.7420810943149</v>
      </c>
      <c r="G4" s="86">
        <f>'[1]资源-钻石'!P4</f>
        <v>3045.4163259050983</v>
      </c>
    </row>
    <row r="5" spans="2:7" x14ac:dyDescent="0.15">
      <c r="B5" s="86">
        <v>2</v>
      </c>
      <c r="C5" s="86">
        <f>'[1]资源-钻石'!L5</f>
        <v>2156.374416894656</v>
      </c>
      <c r="D5" s="86">
        <f>'[1]资源-钻石'!M5</f>
        <v>2445.0611126582735</v>
      </c>
      <c r="E5" s="86">
        <f>'[1]资源-钻石'!N5</f>
        <v>3068.6811642890971</v>
      </c>
      <c r="F5" s="86">
        <f>'[1]资源-钻石'!O5</f>
        <v>5380.4252587438386</v>
      </c>
      <c r="G5" s="86">
        <f>'[1]资源-钻石'!P5</f>
        <v>6628.3383907346288</v>
      </c>
    </row>
    <row r="6" spans="2:7" x14ac:dyDescent="0.15">
      <c r="B6" s="86">
        <v>3</v>
      </c>
      <c r="C6" s="86">
        <f>'[1]资源-钻石'!L6</f>
        <v>3351.9799163550924</v>
      </c>
      <c r="D6" s="86">
        <f>'[1]资源-钻石'!M6</f>
        <v>3828.7490927985655</v>
      </c>
      <c r="E6" s="86">
        <f>'[1]资源-钻石'!N6</f>
        <v>4848.3388704559402</v>
      </c>
      <c r="F6" s="86">
        <f>'[1]资源-钻石'!O6</f>
        <v>8568.4271495352878</v>
      </c>
      <c r="G6" s="86">
        <f>'[1]资源-钻石'!P6</f>
        <v>10613.278588731744</v>
      </c>
    </row>
    <row r="7" spans="2:7" x14ac:dyDescent="0.15">
      <c r="B7" s="86">
        <v>4</v>
      </c>
      <c r="C7" s="86">
        <f>'[1]资源-钻石'!L7</f>
        <v>4633.3981623392356</v>
      </c>
      <c r="D7" s="86">
        <f>'[1]资源-钻石'!M7</f>
        <v>5317.4178485010689</v>
      </c>
      <c r="E7" s="86">
        <f>'[1]资源-钻石'!N7</f>
        <v>6773.2179808691108</v>
      </c>
      <c r="F7" s="86">
        <f>'[1]资源-钻石'!O7</f>
        <v>12026.203100390187</v>
      </c>
      <c r="G7" s="86">
        <f>'[1]资源-钻石'!P7</f>
        <v>15024.65547902332</v>
      </c>
    </row>
    <row r="8" spans="2:7" x14ac:dyDescent="0.15">
      <c r="B8" s="86">
        <v>5</v>
      </c>
      <c r="C8" s="86">
        <f>'[1]资源-钻石'!L8</f>
        <v>6006.7882327948482</v>
      </c>
      <c r="D8" s="86">
        <f>'[1]资源-钻石'!M8</f>
        <v>6890.3194072293518</v>
      </c>
      <c r="E8" s="86">
        <f>'[1]资源-钻石'!N8</f>
        <v>8791.1622092020007</v>
      </c>
      <c r="F8" s="86">
        <f>'[1]资源-钻石'!O8</f>
        <v>15638.775498799143</v>
      </c>
      <c r="G8" s="86">
        <f>'[1]资源-钻石'!P8</f>
        <v>19574.371397395094</v>
      </c>
    </row>
    <row r="9" spans="2:7" x14ac:dyDescent="0.15">
      <c r="B9" s="86">
        <v>6</v>
      </c>
      <c r="C9" s="86">
        <f>'[1]资源-钻石'!L9</f>
        <v>7478.7512640200202</v>
      </c>
      <c r="D9" s="86">
        <f>'[1]资源-钻石'!M9</f>
        <v>8590.8915374402568</v>
      </c>
      <c r="E9" s="86">
        <f>'[1]资源-钻石'!N9</f>
        <v>10971.054226523374</v>
      </c>
      <c r="F9" s="86">
        <f>'[1]资源-钻石'!O9</f>
        <v>19602.187931548884</v>
      </c>
      <c r="G9" s="86">
        <f>'[1]资源-钻石'!P9</f>
        <v>24730.552218563884</v>
      </c>
    </row>
    <row r="10" spans="2:7" x14ac:dyDescent="0.15">
      <c r="B10" s="86">
        <v>7</v>
      </c>
      <c r="C10" s="86">
        <f>'[1]资源-钻石'!L10</f>
        <v>9056.3621787216434</v>
      </c>
      <c r="D10" s="86">
        <f>'[1]资源-钻石'!M10</f>
        <v>10443.397445751798</v>
      </c>
      <c r="E10" s="86">
        <f>'[1]资源-钻石'!N10</f>
        <v>13372.602223250004</v>
      </c>
      <c r="F10" s="86">
        <f>'[1]资源-钻石'!O10</f>
        <v>23847.860572220146</v>
      </c>
      <c r="G10" s="86">
        <f>'[1]资源-钻石'!P10</f>
        <v>29846.900469614717</v>
      </c>
    </row>
    <row r="11" spans="2:7" x14ac:dyDescent="0.15">
      <c r="B11" s="86">
        <v>8</v>
      </c>
      <c r="C11" s="86">
        <f>'[1]资源-钻石'!L11</f>
        <v>10747.203691306449</v>
      </c>
      <c r="D11" s="86">
        <f>'[1]资源-钻石'!M11</f>
        <v>12335.241753294831</v>
      </c>
      <c r="E11" s="86">
        <f>'[1]资源-钻石'!N11</f>
        <v>15694.426400842287</v>
      </c>
      <c r="F11" s="86">
        <f>'[1]资源-钻石'!O11</f>
        <v>27889.162916099172</v>
      </c>
      <c r="G11" s="86">
        <f>'[1]资源-钻石'!P11</f>
        <v>34995.51148943085</v>
      </c>
    </row>
    <row r="12" spans="2:7" x14ac:dyDescent="0.15">
      <c r="B12" s="86">
        <v>9</v>
      </c>
      <c r="C12" s="86">
        <f>'[1]资源-钻石'!L12</f>
        <v>12559.402753849572</v>
      </c>
      <c r="D12" s="86">
        <f>'[1]资源-钻石'!M12</f>
        <v>14410.136663622912</v>
      </c>
      <c r="E12" s="86">
        <f>'[1]资源-钻石'!N12</f>
        <v>18405.361766949645</v>
      </c>
      <c r="F12" s="86">
        <f>'[1]资源-钻石'!O12</f>
        <v>32952.200165292699</v>
      </c>
      <c r="G12" s="86">
        <f>'[1]资源-钻石'!P12</f>
        <v>41453.729804028262</v>
      </c>
    </row>
    <row r="13" spans="2:7" x14ac:dyDescent="0.15">
      <c r="B13" s="86">
        <v>10</v>
      </c>
      <c r="C13" s="86">
        <f>'[1]资源-钻石'!L13</f>
        <v>14501.669617916437</v>
      </c>
      <c r="D13" s="86">
        <f>'[1]资源-钻石'!M13</f>
        <v>16712.90990833447</v>
      </c>
      <c r="E13" s="86">
        <f>'[1]资源-钻石'!N13</f>
        <v>21406.920453879597</v>
      </c>
      <c r="F13" s="86">
        <f>'[1]资源-钻石'!O13</f>
        <v>38510.450786271111</v>
      </c>
      <c r="G13" s="86">
        <f>'[1]资源-钻石'!P13</f>
        <v>48829.553574009988</v>
      </c>
    </row>
    <row r="14" spans="2:7" x14ac:dyDescent="0.15">
      <c r="B14" s="86">
        <v>11</v>
      </c>
      <c r="C14" s="86">
        <f>'[1]资源-钻石'!L14</f>
        <v>15726.076164537446</v>
      </c>
      <c r="D14" s="86">
        <f>'[1]资源-钻石'!M14</f>
        <v>19167.892841191657</v>
      </c>
      <c r="E14" s="86">
        <f>'[1]资源-钻石'!N14</f>
        <v>24667.987800292423</v>
      </c>
      <c r="F14" s="86">
        <f>'[1]资源-钻石'!O14</f>
        <v>44364.522942034891</v>
      </c>
      <c r="G14" s="86">
        <f>'[1]资源-钻石'!P14</f>
        <v>56779.072060653169</v>
      </c>
    </row>
    <row r="15" spans="2:7" x14ac:dyDescent="0.15">
      <c r="B15" s="86">
        <v>12</v>
      </c>
      <c r="C15" s="86">
        <f>'[1]资源-钻石'!L15</f>
        <v>17038.362608561554</v>
      </c>
      <c r="D15" s="86">
        <f>'[1]资源-钻石'!M15</f>
        <v>20825.048291306714</v>
      </c>
      <c r="E15" s="86">
        <f>'[1]资源-钻石'!N15</f>
        <v>28123.706794598067</v>
      </c>
      <c r="F15" s="86">
        <f>'[1]资源-钻石'!O15</f>
        <v>51022.978650687284</v>
      </c>
      <c r="G15" s="86">
        <f>'[1]资源-钻石'!P15</f>
        <v>65345.523235560933</v>
      </c>
    </row>
    <row r="16" spans="2:7" x14ac:dyDescent="0.15">
      <c r="B16" s="86">
        <v>13</v>
      </c>
      <c r="C16" s="86">
        <f>'[1]资源-钻石'!L16</f>
        <v>18444.836394512706</v>
      </c>
      <c r="D16" s="86">
        <f>'[1]资源-钻石'!M16</f>
        <v>22522.535670001602</v>
      </c>
      <c r="E16" s="86">
        <f>'[1]资源-钻石'!N16</f>
        <v>31563.033799916746</v>
      </c>
      <c r="F16" s="86">
        <f>'[1]资源-钻石'!O16</f>
        <v>58217.556541480983</v>
      </c>
      <c r="G16" s="86">
        <f>'[1]资源-钻石'!P16</f>
        <v>74826.695848425647</v>
      </c>
    </row>
    <row r="17" spans="2:7" x14ac:dyDescent="0.15">
      <c r="B17" s="86">
        <v>14</v>
      </c>
      <c r="C17" s="86">
        <f>'[1]资源-钻石'!L17</f>
        <v>19952.257674048102</v>
      </c>
      <c r="D17" s="86">
        <f>'[1]资源-钻石'!M17</f>
        <v>24227.181037351893</v>
      </c>
      <c r="E17" s="86">
        <f>'[1]资源-钻石'!N17</f>
        <v>33754.396140102763</v>
      </c>
      <c r="F17" s="86">
        <f>'[1]资源-钻石'!O17</f>
        <v>65190.377600126143</v>
      </c>
      <c r="G17" s="86">
        <f>'[1]资源-钻石'!P17</f>
        <v>83664.921462532249</v>
      </c>
    </row>
    <row r="18" spans="2:7" x14ac:dyDescent="0.15">
      <c r="B18" s="86">
        <v>15</v>
      </c>
      <c r="C18" s="86">
        <f>'[1]资源-钻石'!L18</f>
        <v>21567.871798316643</v>
      </c>
      <c r="D18" s="86">
        <f>'[1]资源-钻石'!M18</f>
        <v>26100.525893686823</v>
      </c>
      <c r="E18" s="86">
        <f>'[1]资源-钻石'!N18</f>
        <v>36178.552658079228</v>
      </c>
      <c r="F18" s="86">
        <f>'[1]资源-钻石'!O18</f>
        <v>73118.515216453117</v>
      </c>
      <c r="G18" s="86">
        <f>'[1]资源-钻石'!P18</f>
        <v>94215.933727436743</v>
      </c>
    </row>
    <row r="19" spans="2:7" x14ac:dyDescent="0.15">
      <c r="B19" s="86">
        <v>16</v>
      </c>
      <c r="C19" s="86">
        <f>'[1]资源-钻石'!L19</f>
        <v>23299.444142406479</v>
      </c>
      <c r="D19" s="86">
        <f>'[1]资源-钻石'!M19</f>
        <v>28126.140963708571</v>
      </c>
      <c r="E19" s="86">
        <f>'[1]资源-钻石'!N19</f>
        <v>38754.105595914298</v>
      </c>
      <c r="F19" s="86">
        <f>'[1]资源-钻石'!O19</f>
        <v>79658.045062188001</v>
      </c>
      <c r="G19" s="86">
        <f>'[1]资源-钻石'!P19</f>
        <v>106274.06990245648</v>
      </c>
    </row>
    <row r="20" spans="2:7" x14ac:dyDescent="0.15">
      <c r="B20" s="86">
        <v>17</v>
      </c>
      <c r="C20" s="86">
        <f>'[1]资源-钻石'!L20</f>
        <v>25155.29742926373</v>
      </c>
      <c r="D20" s="86">
        <f>'[1]资源-钻石'!M20</f>
        <v>30214.386223092777</v>
      </c>
      <c r="E20" s="86">
        <f>'[1]资源-钻石'!N20</f>
        <v>41393.097983093241</v>
      </c>
      <c r="F20" s="86">
        <f>'[1]资源-钻石'!O20</f>
        <v>84395.104267291987</v>
      </c>
      <c r="G20" s="86">
        <f>'[1]资源-钻石'!P20</f>
        <v>116732.01363545773</v>
      </c>
    </row>
    <row r="21" spans="2:7" x14ac:dyDescent="0.15">
      <c r="B21" s="86">
        <v>18</v>
      </c>
      <c r="C21" s="86">
        <f>'[1]资源-钻石'!L21</f>
        <v>27144.351732478088</v>
      </c>
      <c r="D21" s="86">
        <f>'[1]资源-钻石'!M21</f>
        <v>32567.635248777504</v>
      </c>
      <c r="E21" s="86">
        <f>'[1]资源-钻石'!N21</f>
        <v>44521.732522196733</v>
      </c>
      <c r="F21" s="86">
        <f>'[1]资源-钻石'!O21</f>
        <v>89977.143341197036</v>
      </c>
      <c r="G21" s="86">
        <f>'[1]资源-钻石'!P21</f>
        <v>129678.5182875696</v>
      </c>
    </row>
    <row r="22" spans="2:7" x14ac:dyDescent="0.15">
      <c r="B22" s="86">
        <v>19</v>
      </c>
      <c r="C22" s="86">
        <f>'[1]资源-钻石'!L22</f>
        <v>29276.167350206852</v>
      </c>
      <c r="D22" s="86">
        <f>'[1]资源-钻石'!M22</f>
        <v>35074.898336608647</v>
      </c>
      <c r="E22" s="86">
        <f>'[1]资源-钻石'!N22</f>
        <v>47709.656421677602</v>
      </c>
      <c r="F22" s="86">
        <f>'[1]资源-钻石'!O22</f>
        <v>95580.499402156187</v>
      </c>
      <c r="G22" s="86">
        <f>'[1]资源-钻石'!P22</f>
        <v>143468.1581316232</v>
      </c>
    </row>
    <row r="23" spans="2:7" x14ac:dyDescent="0.15">
      <c r="B23" s="86">
        <v>20</v>
      </c>
      <c r="C23" s="86">
        <f>'[1]资源-钻石'!L23</f>
        <v>31560.990756308958</v>
      </c>
      <c r="D23" s="86">
        <f>'[1]资源-钻石'!M23</f>
        <v>37677.85890001012</v>
      </c>
      <c r="E23" s="86">
        <f>'[1]资源-钻石'!N23</f>
        <v>50971.775536819776</v>
      </c>
      <c r="F23" s="86">
        <f>'[1]资源-钻石'!O23</f>
        <v>101504.66492547667</v>
      </c>
      <c r="G23" s="86">
        <f>'[1]资源-钻石'!P23</f>
        <v>157266.19395963172</v>
      </c>
    </row>
    <row r="24" spans="2:7" x14ac:dyDescent="0.15">
      <c r="B24" s="86">
        <v>21</v>
      </c>
      <c r="C24" s="86">
        <f>'[1]资源-钻石'!L24</f>
        <v>34009.803849550975</v>
      </c>
      <c r="D24" s="86">
        <f>'[1]资源-钻石'!M24</f>
        <v>40482.974438534104</v>
      </c>
      <c r="E24" s="86">
        <f>'[1]资源-钻石'!N24</f>
        <v>54641.636173264473</v>
      </c>
      <c r="F24" s="86">
        <f>'[1]资源-钻石'!O24</f>
        <v>108100.412287677</v>
      </c>
      <c r="G24" s="86">
        <f>'[1]资源-钻石'!P24</f>
        <v>173667.51590922949</v>
      </c>
    </row>
    <row r="25" spans="2:7" x14ac:dyDescent="0.15">
      <c r="B25" s="86">
        <v>22</v>
      </c>
      <c r="C25" s="86">
        <f>'[1]资源-钻石'!L25</f>
        <v>36634.376737599181</v>
      </c>
      <c r="D25" s="86">
        <f>'[1]资源-钻石'!M25</f>
        <v>43561.271213555854</v>
      </c>
      <c r="E25" s="86">
        <f>'[1]资源-钻石'!N25</f>
        <v>58641.554051869723</v>
      </c>
      <c r="F25" s="86">
        <f>'[1]资源-钻石'!O25</f>
        <v>115316.37774460955</v>
      </c>
      <c r="G25" s="86">
        <f>'[1]资源-钻石'!P25</f>
        <v>185363.73475842547</v>
      </c>
    </row>
    <row r="26" spans="2:7" x14ac:dyDescent="0.15">
      <c r="B26" s="86">
        <v>23</v>
      </c>
      <c r="C26" s="86">
        <f>'[1]资源-钻石'!L26</f>
        <v>39447.324309501484</v>
      </c>
      <c r="D26" s="86">
        <f>'[1]资源-钻石'!M26</f>
        <v>46769.728312955136</v>
      </c>
      <c r="E26" s="86">
        <f>'[1]资源-钻石'!N26</f>
        <v>62697.901915471855</v>
      </c>
      <c r="F26" s="86">
        <f>'[1]资源-钻石'!O26</f>
        <v>122561.49803839554</v>
      </c>
      <c r="G26" s="86">
        <f>'[1]资源-钻石'!P26</f>
        <v>194255.8999611715</v>
      </c>
    </row>
    <row r="27" spans="2:7" x14ac:dyDescent="0.15">
      <c r="B27" s="86">
        <v>24</v>
      </c>
      <c r="C27" s="86">
        <f>'[1]资源-钻石'!L27</f>
        <v>42462.166868572283</v>
      </c>
      <c r="D27" s="86">
        <f>'[1]资源-钻石'!M27</f>
        <v>50311.479744375174</v>
      </c>
      <c r="E27" s="86">
        <f>'[1]资源-钻石'!N27</f>
        <v>67313.780674291833</v>
      </c>
      <c r="F27" s="86">
        <f>'[1]资源-钻石'!O27</f>
        <v>130763.11545599645</v>
      </c>
      <c r="G27" s="86">
        <f>'[1]资源-钻石'!P27</f>
        <v>204715.41420967627</v>
      </c>
    </row>
    <row r="28" spans="2:7" x14ac:dyDescent="0.15">
      <c r="B28" s="86">
        <v>25</v>
      </c>
      <c r="C28" s="86">
        <f>'[1]资源-钻石'!L28</f>
        <v>45693.395117109379</v>
      </c>
      <c r="D28" s="86">
        <f>'[1]资源-钻石'!M28</f>
        <v>54072.966570293283</v>
      </c>
      <c r="E28" s="86">
        <f>'[1]资源-钻石'!N28</f>
        <v>72125.668911170214</v>
      </c>
      <c r="F28" s="86">
        <f>'[1]资源-钻石'!O28</f>
        <v>139369.75079341503</v>
      </c>
      <c r="G28" s="86">
        <f>'[1]资源-钻石'!P28</f>
        <v>215425.57532037748</v>
      </c>
    </row>
    <row r="29" spans="2:7" x14ac:dyDescent="0.15">
      <c r="B29" s="86">
        <v>26</v>
      </c>
      <c r="C29" s="86">
        <f>'[1]资源-钻石'!L29</f>
        <v>49156.539805289045</v>
      </c>
      <c r="D29" s="86">
        <f>'[1]资源-钻石'!M29</f>
        <v>58079.59664807489</v>
      </c>
      <c r="E29" s="86">
        <f>'[1]资源-钻石'!N29</f>
        <v>77252.463396304316</v>
      </c>
      <c r="F29" s="86">
        <f>'[1]资源-钻石'!O29</f>
        <v>148350.10032860559</v>
      </c>
      <c r="G29" s="86">
        <f>'[1]资源-钻石'!P29</f>
        <v>226939.46229293998</v>
      </c>
    </row>
    <row r="30" spans="2:7" x14ac:dyDescent="0.15">
      <c r="B30" s="86">
        <v>27</v>
      </c>
      <c r="C30" s="86">
        <f>'[1]资源-钻石'!L30</f>
        <v>52868.246379003547</v>
      </c>
      <c r="D30" s="86">
        <f>'[1]资源-钻石'!M30</f>
        <v>62368.728153745236</v>
      </c>
      <c r="E30" s="86">
        <f>'[1]资源-钻石'!N30</f>
        <v>82720.102977940507</v>
      </c>
      <c r="F30" s="86">
        <f>'[1]资源-钻石'!O30</f>
        <v>158008.53114752041</v>
      </c>
      <c r="G30" s="86">
        <f>'[1]资源-钻石'!P30</f>
        <v>239429.10662795004</v>
      </c>
    </row>
    <row r="31" spans="2:7" x14ac:dyDescent="0.15">
      <c r="B31" s="86">
        <v>28</v>
      </c>
      <c r="C31" s="86">
        <f>'[1]资源-钻石'!L31</f>
        <v>56846.354985432248</v>
      </c>
      <c r="D31" s="86">
        <f>'[1]资源-钻石'!M31</f>
        <v>66925.865677337453</v>
      </c>
      <c r="E31" s="86">
        <f>'[1]资源-钻石'!N31</f>
        <v>88432.92874273815</v>
      </c>
      <c r="F31" s="86">
        <f>'[1]资源-钻石'!O31</f>
        <v>168325.96524921531</v>
      </c>
      <c r="G31" s="86">
        <f>'[1]资源-钻石'!P31</f>
        <v>253395.86369261745</v>
      </c>
    </row>
    <row r="32" spans="2:7" x14ac:dyDescent="0.15">
      <c r="B32" s="86">
        <v>29</v>
      </c>
      <c r="C32" s="86">
        <f>'[1]资源-钻石'!L32</f>
        <v>61109.986220889768</v>
      </c>
      <c r="D32" s="86">
        <f>'[1]资源-钻石'!M32</f>
        <v>71909.142689994362</v>
      </c>
      <c r="E32" s="86">
        <f>'[1]资源-钻石'!N32</f>
        <v>95016.451060014617</v>
      </c>
      <c r="F32" s="86">
        <f>'[1]资源-钻石'!O32</f>
        <v>180461.82121345436</v>
      </c>
      <c r="G32" s="86">
        <f>'[1]资源-钻石'!P32</f>
        <v>269111.83298230742</v>
      </c>
    </row>
    <row r="33" spans="2:7" x14ac:dyDescent="0.15">
      <c r="B33" s="86">
        <v>30</v>
      </c>
      <c r="C33" s="86">
        <f>'[1]资源-钻石'!L33</f>
        <v>65679.633033093996</v>
      </c>
      <c r="D33" s="86">
        <f>'[1]资源-钻石'!M33</f>
        <v>77224.619202126982</v>
      </c>
      <c r="E33" s="86">
        <f>'[1]资源-钻石'!N33</f>
        <v>101868.20683164423</v>
      </c>
      <c r="F33" s="86">
        <f>'[1]资源-钻石'!O33</f>
        <v>192673.12621450244</v>
      </c>
      <c r="G33" s="86">
        <f>'[1]资源-钻石'!P33</f>
        <v>284936.53992411529</v>
      </c>
    </row>
    <row r="34" spans="2:7" x14ac:dyDescent="0.15">
      <c r="B34" s="86">
        <v>31</v>
      </c>
      <c r="C34" s="86">
        <f>'[1]资源-钻石'!L34</f>
        <v>68946.414422100366</v>
      </c>
      <c r="D34" s="86">
        <f>'[1]资源-钻石'!M34</f>
        <v>82976.621326828375</v>
      </c>
      <c r="E34" s="86">
        <f>'[1]资源-钻石'!N34</f>
        <v>109247.3323915014</v>
      </c>
      <c r="F34" s="86">
        <f>'[1]资源-钻石'!O34</f>
        <v>205710.63853714615</v>
      </c>
      <c r="G34" s="86">
        <f>'[1]资源-钻石'!P34</f>
        <v>302074.36877897341</v>
      </c>
    </row>
    <row r="35" spans="2:7" x14ac:dyDescent="0.15">
      <c r="B35" s="86">
        <v>32</v>
      </c>
      <c r="C35" s="86">
        <f>'[1]资源-钻石'!L35</f>
        <v>72447.664022744866</v>
      </c>
      <c r="D35" s="86">
        <f>'[1]资源-钻石'!M35</f>
        <v>88592.190927420321</v>
      </c>
      <c r="E35" s="86">
        <f>'[1]资源-钻石'!N35</f>
        <v>117010.28548958738</v>
      </c>
      <c r="F35" s="86">
        <f>'[1]资源-钻石'!O35</f>
        <v>219761.63126870093</v>
      </c>
      <c r="G35" s="86">
        <f>'[1]资源-钻石'!P35</f>
        <v>320093.55226307816</v>
      </c>
    </row>
    <row r="36" spans="2:7" x14ac:dyDescent="0.15">
      <c r="B36" s="86">
        <v>33</v>
      </c>
      <c r="C36" s="86">
        <f>'[1]资源-钻石'!L36</f>
        <v>76200.210430431442</v>
      </c>
      <c r="D36" s="86">
        <f>'[1]资源-钻石'!M36</f>
        <v>93105.444599275739</v>
      </c>
      <c r="E36" s="86">
        <f>'[1]资源-钻石'!N36</f>
        <v>125127.57264337523</v>
      </c>
      <c r="F36" s="86">
        <f>'[1]资源-钻石'!O36</f>
        <v>234538.11192016784</v>
      </c>
      <c r="G36" s="86">
        <f>'[1]资源-钻石'!P36</f>
        <v>339163.99620031868</v>
      </c>
    </row>
    <row r="37" spans="2:7" x14ac:dyDescent="0.15">
      <c r="B37" s="86">
        <v>34</v>
      </c>
      <c r="C37" s="86">
        <f>'[1]资源-钻石'!L37</f>
        <v>80222.090087125791</v>
      </c>
      <c r="D37" s="86">
        <f>'[1]资源-钻石'!M37</f>
        <v>98093.047869989445</v>
      </c>
      <c r="E37" s="86">
        <f>'[1]资源-钻石'!N37</f>
        <v>134277.1711699669</v>
      </c>
      <c r="F37" s="86">
        <f>'[1]资源-钻石'!O37</f>
        <v>251090.37437911981</v>
      </c>
      <c r="G37" s="86">
        <f>'[1]资源-钻石'!P37</f>
        <v>360241.1122185922</v>
      </c>
    </row>
    <row r="38" spans="2:7" x14ac:dyDescent="0.15">
      <c r="B38" s="86">
        <v>35</v>
      </c>
      <c r="C38" s="86">
        <f>'[1]资源-钻石'!L38</f>
        <v>84532.633972685391</v>
      </c>
      <c r="D38" s="86">
        <f>'[1]资源-钻石'!M38</f>
        <v>103523.74514549437</v>
      </c>
      <c r="E38" s="86">
        <f>'[1]资源-钻石'!N38</f>
        <v>142372.47416216935</v>
      </c>
      <c r="F38" s="86">
        <f>'[1]资源-钻石'!O38</f>
        <v>268448.34019889223</v>
      </c>
      <c r="G38" s="86">
        <f>'[1]资源-钻石'!P38</f>
        <v>382381.44736431562</v>
      </c>
    </row>
    <row r="39" spans="2:7" x14ac:dyDescent="0.15">
      <c r="B39" s="86">
        <v>36</v>
      </c>
      <c r="C39" s="86">
        <f>'[1]资源-钻石'!L39</f>
        <v>89152.560518326238</v>
      </c>
      <c r="D39" s="86">
        <f>'[1]资源-钻石'!M39</f>
        <v>109335.54990863096</v>
      </c>
      <c r="E39" s="86">
        <f>'[1]资源-钻石'!N39</f>
        <v>150359.62152258429</v>
      </c>
      <c r="F39" s="86">
        <f>'[1]资源-钻石'!O39</f>
        <v>286554.8936392396</v>
      </c>
      <c r="G39" s="86">
        <f>'[1]资源-钻石'!P39</f>
        <v>404401.79423212062</v>
      </c>
    </row>
    <row r="40" spans="2:7" x14ac:dyDescent="0.15">
      <c r="B40" s="86">
        <v>37</v>
      </c>
      <c r="C40" s="86">
        <f>'[1]资源-钻石'!L40</f>
        <v>94104.075188811068</v>
      </c>
      <c r="D40" s="86">
        <f>'[1]资源-钻石'!M40</f>
        <v>115437.50342372782</v>
      </c>
      <c r="E40" s="86">
        <f>'[1]资源-钻石'!N40</f>
        <v>158902.39405592703</v>
      </c>
      <c r="F40" s="86">
        <f>'[1]资源-钻石'!O40</f>
        <v>305380.95462916966</v>
      </c>
      <c r="G40" s="86">
        <f>'[1]资源-钻石'!P40</f>
        <v>429602.48382192344</v>
      </c>
    </row>
    <row r="41" spans="2:7" x14ac:dyDescent="0.15">
      <c r="B41" s="86">
        <v>38</v>
      </c>
      <c r="C41" s="86">
        <f>'[1]资源-钻石'!L41</f>
        <v>99410.977211995836</v>
      </c>
      <c r="D41" s="86">
        <f>'[1]资源-钻石'!M41</f>
        <v>121954.14984730988</v>
      </c>
      <c r="E41" s="86">
        <f>'[1]资源-钻石'!N41</f>
        <v>167791.16136745675</v>
      </c>
      <c r="F41" s="86">
        <f>'[1]资源-钻石'!O41</f>
        <v>325595.23906733689</v>
      </c>
      <c r="G41" s="86">
        <f>'[1]资源-钻石'!P41</f>
        <v>455738.67921687185</v>
      </c>
    </row>
    <row r="42" spans="2:7" x14ac:dyDescent="0.15">
      <c r="B42" s="86">
        <v>39</v>
      </c>
      <c r="C42" s="86">
        <f>'[1]资源-钻石'!L42</f>
        <v>105098.77396872545</v>
      </c>
      <c r="D42" s="86">
        <f>'[1]资源-钻石'!M42</f>
        <v>128844.40872083814</v>
      </c>
      <c r="E42" s="86">
        <f>'[1]资源-钻石'!N42</f>
        <v>177293.07114321354</v>
      </c>
      <c r="F42" s="86">
        <f>'[1]资源-钻石'!O42</f>
        <v>345267.62017907808</v>
      </c>
      <c r="G42" s="86">
        <f>'[1]资源-钻石'!P42</f>
        <v>484619.14708949189</v>
      </c>
    </row>
    <row r="43" spans="2:7" x14ac:dyDescent="0.15">
      <c r="B43" s="86">
        <v>40</v>
      </c>
      <c r="C43" s="86">
        <f>'[1]资源-钻石'!L43</f>
        <v>111194.66475055939</v>
      </c>
      <c r="D43" s="86">
        <f>'[1]资源-钻石'!M43</f>
        <v>136193.0538694</v>
      </c>
      <c r="E43" s="86">
        <f>'[1]资源-钻石'!N43</f>
        <v>187736.78519743646</v>
      </c>
      <c r="F43" s="86">
        <f>'[1]资源-钻石'!O43</f>
        <v>366453.62565543572</v>
      </c>
      <c r="G43" s="86">
        <f>'[1]资源-钻石'!P43</f>
        <v>516440.86062535236</v>
      </c>
    </row>
    <row r="44" spans="2:7" x14ac:dyDescent="0.15">
      <c r="B44" s="86">
        <v>41</v>
      </c>
      <c r="C44" s="86">
        <f>'[1]资源-钻石'!L44</f>
        <v>117728.0680854571</v>
      </c>
      <c r="D44" s="86">
        <f>'[1]资源-钻石'!M44</f>
        <v>144286.94550351414</v>
      </c>
      <c r="E44" s="86">
        <f>'[1]资源-钻石'!N44</f>
        <v>199189.29368187545</v>
      </c>
      <c r="F44" s="86">
        <f>'[1]资源-钻石'!O44</f>
        <v>389367.92493179109</v>
      </c>
      <c r="G44" s="86">
        <f>'[1]资源-钻石'!P44</f>
        <v>551240.41832300276</v>
      </c>
    </row>
    <row r="45" spans="2:7" x14ac:dyDescent="0.15">
      <c r="B45" s="86">
        <v>42</v>
      </c>
      <c r="C45" s="86">
        <f>'[1]资源-钻石'!L45</f>
        <v>124730.39639984665</v>
      </c>
      <c r="D45" s="86">
        <f>'[1]资源-钻石'!M45</f>
        <v>153038.26516565747</v>
      </c>
      <c r="E45" s="86">
        <f>'[1]资源-钻石'!N45</f>
        <v>211811.50273130697</v>
      </c>
      <c r="F45" s="86">
        <f>'[1]资源-钻石'!O45</f>
        <v>414607.76734107314</v>
      </c>
      <c r="G45" s="86">
        <f>'[1]资源-钻石'!P45</f>
        <v>588663.34367313969</v>
      </c>
    </row>
    <row r="46" spans="2:7" x14ac:dyDescent="0.15">
      <c r="B46" s="86">
        <v>43</v>
      </c>
      <c r="C46" s="86">
        <f>'[1]资源-钻石'!L46</f>
        <v>132235.30606317584</v>
      </c>
      <c r="D46" s="86">
        <f>'[1]资源-钻石'!M46</f>
        <v>162094.50350397083</v>
      </c>
      <c r="E46" s="86">
        <f>'[1]资源-钻石'!N46</f>
        <v>224924.38373098284</v>
      </c>
      <c r="F46" s="86">
        <f>'[1]资源-钻石'!O46</f>
        <v>440056.78055408294</v>
      </c>
      <c r="G46" s="86">
        <f>'[1]资源-钻石'!P46</f>
        <v>626380.61364181258</v>
      </c>
    </row>
    <row r="47" spans="2:7" x14ac:dyDescent="0.15">
      <c r="B47" s="86">
        <v>44</v>
      </c>
      <c r="C47" s="86">
        <f>'[1]资源-钻石'!L47</f>
        <v>140278.86907906426</v>
      </c>
      <c r="D47" s="86">
        <f>'[1]资源-钻石'!M47</f>
        <v>171771.55840970713</v>
      </c>
      <c r="E47" s="86">
        <f>'[1]资源-钻石'!N47</f>
        <v>238274.6932228136</v>
      </c>
      <c r="F47" s="86">
        <f>'[1]资源-钻石'!O47</f>
        <v>467305.28448905109</v>
      </c>
      <c r="G47" s="86">
        <f>'[1]资源-钻石'!P47</f>
        <v>666359.52900459396</v>
      </c>
    </row>
    <row r="48" spans="2:7" x14ac:dyDescent="0.15">
      <c r="B48" s="86">
        <v>45</v>
      </c>
      <c r="C48" s="86">
        <f>'[1]资源-钻石'!L48</f>
        <v>148899.74646373183</v>
      </c>
      <c r="D48" s="86">
        <f>'[1]资源-钻石'!M48</f>
        <v>182160.11020518572</v>
      </c>
      <c r="E48" s="86">
        <f>'[1]资源-钻石'!N48</f>
        <v>252129.42597476879</v>
      </c>
      <c r="F48" s="86">
        <f>'[1]资源-钻石'!O48</f>
        <v>496638.23900656134</v>
      </c>
      <c r="G48" s="86">
        <f>'[1]资源-钻石'!P48</f>
        <v>709324.66893442092</v>
      </c>
    </row>
    <row r="49" spans="2:7" x14ac:dyDescent="0.15">
      <c r="B49" s="86">
        <v>46</v>
      </c>
      <c r="C49" s="86">
        <f>'[1]资源-钻石'!L49</f>
        <v>158139.3740683978</v>
      </c>
      <c r="D49" s="86">
        <f>'[1]资源-钻石'!M49</f>
        <v>193204.54620878515</v>
      </c>
      <c r="E49" s="86">
        <f>'[1]资源-钻石'!N49</f>
        <v>266878.49825077143</v>
      </c>
      <c r="F49" s="86">
        <f>'[1]资源-钻石'!O49</f>
        <v>527718.99474196602</v>
      </c>
      <c r="G49" s="86">
        <f>'[1]资源-钻石'!P49</f>
        <v>753272.6078759908</v>
      </c>
    </row>
    <row r="50" spans="2:7" x14ac:dyDescent="0.15">
      <c r="B50" s="86">
        <v>47</v>
      </c>
      <c r="C50" s="86">
        <f>'[1]资源-钻石'!L50</f>
        <v>168042.16173879663</v>
      </c>
      <c r="D50" s="86">
        <f>'[1]资源-钻石'!M50</f>
        <v>205055.5776799398</v>
      </c>
      <c r="E50" s="86">
        <f>'[1]资源-钻石'!N50</f>
        <v>282731.54881384032</v>
      </c>
      <c r="F50" s="86">
        <f>'[1]资源-钻石'!O50</f>
        <v>560893.19390363805</v>
      </c>
      <c r="G50" s="86">
        <f>'[1]资源-钻石'!P50</f>
        <v>796206.61137623014</v>
      </c>
    </row>
    <row r="51" spans="2:7" x14ac:dyDescent="0.15">
      <c r="B51" s="86">
        <v>48</v>
      </c>
      <c r="C51" s="86">
        <f>'[1]资源-钻石'!L51</f>
        <v>178655.70676906168</v>
      </c>
      <c r="D51" s="86">
        <f>'[1]资源-钻石'!M51</f>
        <v>217605.37966176262</v>
      </c>
      <c r="E51" s="86">
        <f>'[1]资源-钻石'!N51</f>
        <v>299776.2635994812</v>
      </c>
      <c r="F51" s="86">
        <f>'[1]资源-钻石'!O51</f>
        <v>593950.98405621317</v>
      </c>
      <c r="G51" s="86">
        <f>'[1]资源-钻石'!P51</f>
        <v>841310.2743151118</v>
      </c>
    </row>
    <row r="52" spans="2:7" x14ac:dyDescent="0.15">
      <c r="B52" s="86">
        <v>49</v>
      </c>
      <c r="C52" s="86">
        <f>'[1]资源-钻石'!L52</f>
        <v>190031.02267593372</v>
      </c>
      <c r="D52" s="86">
        <f>'[1]资源-钻石'!M52</f>
        <v>231243.13855378734</v>
      </c>
      <c r="E52" s="86">
        <f>'[1]资源-钻石'!N52</f>
        <v>317553.92435627885</v>
      </c>
      <c r="F52" s="86">
        <f>'[1]资源-钻石'!O52</f>
        <v>626750.12164847367</v>
      </c>
      <c r="G52" s="86">
        <f>'[1]资源-钻石'!P52</f>
        <v>892414.11980283039</v>
      </c>
    </row>
    <row r="53" spans="2:7" x14ac:dyDescent="0.15">
      <c r="B53" s="86">
        <v>50</v>
      </c>
      <c r="C53" s="86">
        <f>'[1]资源-钻石'!L53</f>
        <v>202460.77150011496</v>
      </c>
      <c r="D53" s="86">
        <f>'[1]资源-钻石'!M53</f>
        <v>245882.27466174675</v>
      </c>
      <c r="E53" s="86">
        <f>'[1]资源-钻石'!N53</f>
        <v>336559.39382662793</v>
      </c>
      <c r="F53" s="86">
        <f>'[1]资源-钻石'!O53</f>
        <v>663473.9316090222</v>
      </c>
      <c r="G53" s="86">
        <f>'[1]资源-钻石'!P53</f>
        <v>948227.08385455236</v>
      </c>
    </row>
    <row r="54" spans="2:7" x14ac:dyDescent="0.15">
      <c r="B54" s="86">
        <v>51</v>
      </c>
      <c r="C54" s="86">
        <f>'[1]资源-钻石'!L54</f>
        <v>216074.17524910433</v>
      </c>
      <c r="D54" s="86">
        <f>'[1]资源-钻石'!M54</f>
        <v>260711.40774225458</v>
      </c>
      <c r="E54" s="86">
        <f>'[1]资源-钻石'!N54</f>
        <v>356749.68966652756</v>
      </c>
      <c r="F54" s="86">
        <f>'[1]资源-钻石'!O54</f>
        <v>702903.98769564752</v>
      </c>
      <c r="G54" s="86">
        <f>'[1]资源-钻石'!P54</f>
        <v>1005477.6594224552</v>
      </c>
    </row>
    <row r="55" spans="2:7" x14ac:dyDescent="0.15">
      <c r="B55" s="86">
        <v>52</v>
      </c>
      <c r="C55" s="86">
        <f>'[1]资源-钻石'!L55</f>
        <v>230664.66012206342</v>
      </c>
      <c r="D55" s="86">
        <f>'[1]资源-钻石'!M55</f>
        <v>277972.32144470641</v>
      </c>
      <c r="E55" s="86">
        <f>'[1]资源-钻石'!N55</f>
        <v>380062.26944797102</v>
      </c>
      <c r="F55" s="86">
        <f>'[1]资源-钻石'!O55</f>
        <v>747009.57279136905</v>
      </c>
      <c r="G55" s="86">
        <f>'[1]资源-钻石'!P55</f>
        <v>1068551.1820132434</v>
      </c>
    </row>
    <row r="56" spans="2:7" x14ac:dyDescent="0.15">
      <c r="B56" s="86">
        <v>53</v>
      </c>
      <c r="C56" s="86">
        <f>'[1]资源-钻石'!L56</f>
        <v>246302.35461443799</v>
      </c>
      <c r="D56" s="86">
        <f>'[1]资源-钻石'!M56</f>
        <v>297217.18069448252</v>
      </c>
      <c r="E56" s="86">
        <f>'[1]资源-钻石'!N56</f>
        <v>405306.9067153121</v>
      </c>
      <c r="F56" s="86">
        <f>'[1]资源-钻石'!O56</f>
        <v>792622.34259208362</v>
      </c>
      <c r="G56" s="86">
        <f>'[1]资源-钻石'!P56</f>
        <v>1135459.396298388</v>
      </c>
    </row>
    <row r="57" spans="2:7" x14ac:dyDescent="0.15">
      <c r="B57" s="86">
        <v>54</v>
      </c>
      <c r="C57" s="86">
        <f>'[1]资源-钻石'!L57</f>
        <v>263062.42058661516</v>
      </c>
      <c r="D57" s="86">
        <f>'[1]资源-钻石'!M57</f>
        <v>317876.59517674573</v>
      </c>
      <c r="E57" s="86">
        <f>'[1]资源-钻石'!N57</f>
        <v>430546.85723958787</v>
      </c>
      <c r="F57" s="86">
        <f>'[1]资源-钻石'!O57</f>
        <v>840000.76122888306</v>
      </c>
      <c r="G57" s="86">
        <f>'[1]资源-钻石'!P57</f>
        <v>1202786.3389670113</v>
      </c>
    </row>
    <row r="58" spans="2:7" x14ac:dyDescent="0.15">
      <c r="B58" s="86">
        <v>55</v>
      </c>
      <c r="C58" s="86">
        <f>'[1]资源-钻石'!L58</f>
        <v>281025.41452595219</v>
      </c>
      <c r="D58" s="86">
        <f>'[1]资源-钻石'!M58</f>
        <v>339074.62393771962</v>
      </c>
      <c r="E58" s="86">
        <f>'[1]资源-钻石'!N58</f>
        <v>458379.31501573889</v>
      </c>
      <c r="F58" s="86">
        <f>'[1]资源-钻石'!O58</f>
        <v>889920.63455856242</v>
      </c>
      <c r="G58" s="86">
        <f>'[1]资源-钻石'!P58</f>
        <v>1275311.0814513923</v>
      </c>
    </row>
    <row r="59" spans="2:7" x14ac:dyDescent="0.15">
      <c r="B59" s="86">
        <v>56</v>
      </c>
      <c r="C59" s="86">
        <f>'[1]资源-钻石'!L59</f>
        <v>300277.67473783367</v>
      </c>
      <c r="D59" s="86">
        <f>'[1]资源-钻石'!M59</f>
        <v>361563.95766727335</v>
      </c>
      <c r="E59" s="86">
        <f>'[1]资源-钻石'!N59</f>
        <v>488642.52439504786</v>
      </c>
      <c r="F59" s="86">
        <f>'[1]资源-钻石'!O59</f>
        <v>943383.18795575271</v>
      </c>
      <c r="G59" s="86">
        <f>'[1]资源-钻石'!P59</f>
        <v>1353079.0087540871</v>
      </c>
    </row>
    <row r="60" spans="2:7" x14ac:dyDescent="0.15">
      <c r="B60" s="86">
        <v>57</v>
      </c>
      <c r="C60" s="86">
        <f>'[1]资源-钻石'!L60</f>
        <v>320911.7363267719</v>
      </c>
      <c r="D60" s="86">
        <f>'[1]资源-钻石'!M60</f>
        <v>386451.12367402425</v>
      </c>
      <c r="E60" s="86">
        <f>'[1]资源-钻石'!N60</f>
        <v>521344.67212707683</v>
      </c>
      <c r="F60" s="86">
        <f>'[1]资源-钻石'!O60</f>
        <v>1000986.8548422724</v>
      </c>
      <c r="G60" s="86">
        <f>'[1]资源-钻石'!P60</f>
        <v>1430244.5659359123</v>
      </c>
    </row>
    <row r="61" spans="2:7" x14ac:dyDescent="0.15">
      <c r="B61" s="86">
        <v>58</v>
      </c>
      <c r="C61" s="86">
        <f>'[1]资源-钻石'!L61</f>
        <v>343026.77596213506</v>
      </c>
      <c r="D61" s="86">
        <f>'[1]资源-钻石'!M61</f>
        <v>412278.30425887648</v>
      </c>
      <c r="E61" s="86">
        <f>'[1]资源-钻石'!N61</f>
        <v>556337.6110908431</v>
      </c>
      <c r="F61" s="86">
        <f>'[1]资源-钻石'!O61</f>
        <v>1063628.1509771484</v>
      </c>
      <c r="G61" s="86">
        <f>'[1]资源-钻石'!P61</f>
        <v>1510607.0006319527</v>
      </c>
    </row>
    <row r="62" spans="2:7" x14ac:dyDescent="0.15">
      <c r="B62" s="86">
        <v>59</v>
      </c>
      <c r="C62" s="86">
        <f>'[1]资源-钻石'!L62</f>
        <v>366729.08856625599</v>
      </c>
      <c r="D62" s="86">
        <f>'[1]资源-钻石'!M62</f>
        <v>440817.20879392774</v>
      </c>
      <c r="E62" s="86">
        <f>'[1]资源-钻石'!N62</f>
        <v>594256.38754723337</v>
      </c>
      <c r="F62" s="86">
        <f>'[1]资源-钻石'!O62</f>
        <v>1131681.7094343728</v>
      </c>
      <c r="G62" s="86">
        <f>'[1]资源-钻石'!P62</f>
        <v>1599206.7074256099</v>
      </c>
    </row>
    <row r="63" spans="2:7" x14ac:dyDescent="0.15">
      <c r="B63" s="86">
        <v>60</v>
      </c>
      <c r="C63" s="86">
        <f>'[1]资源-钻石'!L63</f>
        <v>392132.59821609186</v>
      </c>
      <c r="D63" s="86">
        <f>'[1]资源-钻石'!M63</f>
        <v>470740.0183985075</v>
      </c>
      <c r="E63" s="86">
        <f>'[1]资源-钻石'!N63</f>
        <v>634527.87920609</v>
      </c>
      <c r="F63" s="86">
        <f>'[1]资源-钻石'!O63</f>
        <v>1208423.1067335366</v>
      </c>
      <c r="G63" s="86">
        <f>'[1]资源-钻石'!P63</f>
        <v>1697504.3112048719</v>
      </c>
    </row>
    <row r="64" spans="2:7" x14ac:dyDescent="0.15">
      <c r="B64" s="86">
        <v>61</v>
      </c>
      <c r="C64" s="86">
        <f>'[1]资源-钻石'!L64</f>
        <v>419359.40571407066</v>
      </c>
      <c r="D64" s="86">
        <f>'[1]资源-钻石'!M64</f>
        <v>503599.80796600773</v>
      </c>
      <c r="E64" s="86">
        <f>'[1]资源-钻石'!N64</f>
        <v>678452.78549535968</v>
      </c>
      <c r="F64" s="86">
        <f>'[1]资源-钻石'!O64</f>
        <v>1292710.6435888133</v>
      </c>
      <c r="G64" s="86">
        <f>'[1]资源-钻石'!P64</f>
        <v>1799904.8510779799</v>
      </c>
    </row>
    <row r="65" spans="2:7" x14ac:dyDescent="0.15">
      <c r="B65" s="86">
        <v>62</v>
      </c>
      <c r="C65" s="86">
        <f>'[1]资源-钻石'!L65</f>
        <v>448540.37545998866</v>
      </c>
      <c r="D65" s="86">
        <f>'[1]资源-钻石'!M65</f>
        <v>538418.19758123276</v>
      </c>
      <c r="E65" s="86">
        <f>'[1]资源-钻石'!N65</f>
        <v>726018.8056215453</v>
      </c>
      <c r="F65" s="86">
        <f>'[1]资源-钻石'!O65</f>
        <v>1383875.3232681956</v>
      </c>
      <c r="G65" s="86">
        <f>'[1]资源-钻石'!P65</f>
        <v>1917457.7014228147</v>
      </c>
    </row>
    <row r="66" spans="2:7" x14ac:dyDescent="0.15">
      <c r="B66" s="86">
        <v>63</v>
      </c>
      <c r="C66" s="86">
        <f>'[1]资源-钻石'!L66</f>
        <v>479815.76444473793</v>
      </c>
      <c r="D66" s="86">
        <f>'[1]资源-钻石'!M66</f>
        <v>576360.36893851194</v>
      </c>
      <c r="E66" s="86">
        <f>'[1]资源-钻石'!N66</f>
        <v>776825.22432911792</v>
      </c>
      <c r="F66" s="86">
        <f>'[1]资源-钻石'!O66</f>
        <v>1482526.7148168012</v>
      </c>
      <c r="G66" s="86">
        <f>'[1]资源-钻石'!P66</f>
        <v>2039177.9895627568</v>
      </c>
    </row>
    <row r="67" spans="2:7" x14ac:dyDescent="0.15">
      <c r="B67" s="86">
        <v>64</v>
      </c>
      <c r="C67" s="86">
        <f>'[1]资源-钻石'!L67</f>
        <v>513335.89638909214</v>
      </c>
      <c r="D67" s="86">
        <f>'[1]资源-钻石'!M67</f>
        <v>616784.94431292021</v>
      </c>
      <c r="E67" s="86">
        <f>'[1]资源-钻石'!N67</f>
        <v>831863.44967939856</v>
      </c>
      <c r="F67" s="86">
        <f>'[1]资源-钻石'!O67</f>
        <v>1588458.1835041833</v>
      </c>
      <c r="G67" s="86">
        <f>'[1]资源-钻石'!P67</f>
        <v>2165988.598774923</v>
      </c>
    </row>
    <row r="68" spans="2:7" x14ac:dyDescent="0.15">
      <c r="B68" s="86">
        <v>65</v>
      </c>
      <c r="C68" s="86">
        <f>'[1]资源-钻石'!L68</f>
        <v>549261.88426776615</v>
      </c>
      <c r="D68" s="86">
        <f>'[1]资源-钻石'!M68</f>
        <v>659832.42779441259</v>
      </c>
      <c r="E68" s="86">
        <f>'[1]资源-钻石'!N68</f>
        <v>891641.57990938867</v>
      </c>
      <c r="F68" s="86">
        <f>'[1]资源-钻石'!O68</f>
        <v>1700335.3216925128</v>
      </c>
      <c r="G68" s="86">
        <f>'[1]资源-钻石'!P68</f>
        <v>2293557.4453785233</v>
      </c>
    </row>
    <row r="69" spans="2:7" x14ac:dyDescent="0.15">
      <c r="B69" s="86">
        <v>66</v>
      </c>
      <c r="C69" s="86">
        <f>'[1]资源-钻石'!L69</f>
        <v>578193.08271131397</v>
      </c>
      <c r="D69" s="86">
        <f>'[1]资源-钻石'!M69</f>
        <v>706593.98857294978</v>
      </c>
      <c r="E69" s="86">
        <f>'[1]资源-钻石'!N69</f>
        <v>954799.36016067839</v>
      </c>
      <c r="F69" s="86">
        <f>'[1]资源-钻石'!O69</f>
        <v>1812975.3181423638</v>
      </c>
      <c r="G69" s="86">
        <f>'[1]资源-钻石'!P69</f>
        <v>2437037.9805586222</v>
      </c>
    </row>
    <row r="70" spans="2:7" x14ac:dyDescent="0.15">
      <c r="B70" s="86">
        <v>67</v>
      </c>
      <c r="C70" s="86">
        <f>'[1]资源-钻石'!L70</f>
        <v>608363.08854293334</v>
      </c>
      <c r="D70" s="86">
        <f>'[1]资源-钻石'!M70</f>
        <v>756752.16475218767</v>
      </c>
      <c r="E70" s="86">
        <f>'[1]资源-钻石'!N70</f>
        <v>1019495.24370119</v>
      </c>
      <c r="F70" s="86">
        <f>'[1]资源-钻石'!O70</f>
        <v>1933617.4907177035</v>
      </c>
      <c r="G70" s="86">
        <f>'[1]资源-钻石'!P70</f>
        <v>2587472.4826778704</v>
      </c>
    </row>
    <row r="71" spans="2:7" x14ac:dyDescent="0.15">
      <c r="B71" s="86">
        <v>68</v>
      </c>
      <c r="C71" s="86">
        <f>'[1]资源-钻石'!L71</f>
        <v>640698.50015782821</v>
      </c>
      <c r="D71" s="86">
        <f>'[1]资源-钻石'!M71</f>
        <v>798698.62074769591</v>
      </c>
      <c r="E71" s="86">
        <f>'[1]资源-钻石'!N71</f>
        <v>1086291.8347718469</v>
      </c>
      <c r="F71" s="86">
        <f>'[1]资源-钻石'!O71</f>
        <v>2065550.2044772638</v>
      </c>
      <c r="G71" s="86">
        <f>'[1]资源-钻石'!P71</f>
        <v>2755779.4978033509</v>
      </c>
    </row>
    <row r="72" spans="2:7" x14ac:dyDescent="0.15">
      <c r="B72" s="86">
        <v>69</v>
      </c>
      <c r="C72" s="86">
        <f>'[1]资源-钻石'!L72</f>
        <v>675354.73622686043</v>
      </c>
      <c r="D72" s="86">
        <f>'[1]资源-钻石'!M72</f>
        <v>841761.11998430872</v>
      </c>
      <c r="E72" s="86">
        <f>'[1]资源-钻石'!N72</f>
        <v>1162321.1518883156</v>
      </c>
      <c r="F72" s="86">
        <f>'[1]资源-钻石'!O72</f>
        <v>2209174.7280686991</v>
      </c>
      <c r="G72" s="86">
        <f>'[1]资源-钻石'!P72</f>
        <v>2936634.1956873862</v>
      </c>
    </row>
    <row r="73" spans="2:7" x14ac:dyDescent="0.15">
      <c r="B73" s="86">
        <v>70</v>
      </c>
      <c r="C73" s="86">
        <f>'[1]资源-钻石'!L73</f>
        <v>712498.37035704229</v>
      </c>
      <c r="D73" s="86">
        <f>'[1]资源-钻石'!M73</f>
        <v>889838.56388145185</v>
      </c>
      <c r="E73" s="86">
        <f>'[1]资源-钻石'!N73</f>
        <v>1245802.878406188</v>
      </c>
      <c r="F73" s="86">
        <f>'[1]资源-钻石'!O73</f>
        <v>2362132.4260761165</v>
      </c>
      <c r="G73" s="86">
        <f>'[1]资源-钻石'!P73</f>
        <v>3137135.8133194884</v>
      </c>
    </row>
    <row r="74" spans="2:7" x14ac:dyDescent="0.15">
      <c r="B74" s="86">
        <v>71</v>
      </c>
      <c r="C74" s="86">
        <f>'[1]资源-钻石'!L74</f>
        <v>752307.9317199284</v>
      </c>
      <c r="D74" s="86">
        <f>'[1]资源-钻石'!M74</f>
        <v>941823.5683095007</v>
      </c>
      <c r="E74" s="86">
        <f>'[1]资源-钻石'!N74</f>
        <v>1320572.1026993566</v>
      </c>
      <c r="F74" s="86">
        <f>'[1]资源-钻石'!O74</f>
        <v>2525432.6795643969</v>
      </c>
      <c r="G74" s="86">
        <f>'[1]资源-钻石'!P74</f>
        <v>3352995.1112255133</v>
      </c>
    </row>
    <row r="75" spans="2:7" x14ac:dyDescent="0.15">
      <c r="B75" s="86">
        <v>72</v>
      </c>
      <c r="C75" s="86">
        <f>'[1]资源-钻石'!L75</f>
        <v>794974.76314387983</v>
      </c>
      <c r="D75" s="86">
        <f>'[1]资源-钻石'!M75</f>
        <v>996931.87662420981</v>
      </c>
      <c r="E75" s="86">
        <f>'[1]资源-钻石'!N75</f>
        <v>1398313.4510641582</v>
      </c>
      <c r="F75" s="86">
        <f>'[1]资源-钻石'!O75</f>
        <v>2698719.929154498</v>
      </c>
      <c r="G75" s="86">
        <f>'[1]资源-钻石'!P75</f>
        <v>3580665.6498166975</v>
      </c>
    </row>
    <row r="76" spans="2:7" x14ac:dyDescent="0.15">
      <c r="B76" s="86">
        <v>73</v>
      </c>
      <c r="C76" s="86">
        <f>'[1]资源-钻石'!L76</f>
        <v>840703.94079458085</v>
      </c>
      <c r="D76" s="86">
        <f>'[1]资源-钻石'!M76</f>
        <v>1053882.5115484819</v>
      </c>
      <c r="E76" s="86">
        <f>'[1]资源-钻石'!N76</f>
        <v>1482149.0736799857</v>
      </c>
      <c r="F76" s="86">
        <f>'[1]资源-钻石'!O76</f>
        <v>2885748.0618788595</v>
      </c>
      <c r="G76" s="86">
        <f>'[1]资源-钻石'!P76</f>
        <v>3825614.4364031143</v>
      </c>
    </row>
    <row r="77" spans="2:7" x14ac:dyDescent="0.15">
      <c r="B77" s="86">
        <v>74</v>
      </c>
      <c r="C77" s="86">
        <f>'[1]资源-钻石'!L77</f>
        <v>889715.25986420969</v>
      </c>
      <c r="D77" s="86">
        <f>'[1]资源-钻石'!M77</f>
        <v>1116722.1855716594</v>
      </c>
      <c r="E77" s="86">
        <f>'[1]资源-钻石'!N77</f>
        <v>1575901.0191297359</v>
      </c>
      <c r="F77" s="86">
        <f>'[1]资源-钻石'!O77</f>
        <v>3091811.3126886017</v>
      </c>
      <c r="G77" s="86">
        <f>'[1]资源-钻石'!P77</f>
        <v>4096141.9052127399</v>
      </c>
    </row>
    <row r="78" spans="2:7" x14ac:dyDescent="0.15">
      <c r="B78" s="86">
        <v>75</v>
      </c>
      <c r="C78" s="86">
        <f>'[1]资源-钻石'!L78</f>
        <v>942235.66947868746</v>
      </c>
      <c r="D78" s="86">
        <f>'[1]资源-钻石'!M78</f>
        <v>1184984.7647291548</v>
      </c>
      <c r="E78" s="86">
        <f>'[1]资源-钻石'!N78</f>
        <v>1676078.8728202805</v>
      </c>
      <c r="F78" s="86">
        <f>'[1]资源-钻石'!O78</f>
        <v>3306015.4898633086</v>
      </c>
      <c r="G78" s="86">
        <f>'[1]资源-钻石'!P78</f>
        <v>4390824.7863592003</v>
      </c>
    </row>
    <row r="79" spans="2:7" x14ac:dyDescent="0.15">
      <c r="B79" s="86">
        <v>76</v>
      </c>
      <c r="C79" s="86">
        <f>'[1]资源-钻石'!L79</f>
        <v>992741.84678232833</v>
      </c>
      <c r="D79" s="86">
        <f>'[1]资源-钻石'!M79</f>
        <v>1257326.3321354499</v>
      </c>
      <c r="E79" s="86">
        <f>'[1]资源-钻石'!N79</f>
        <v>1781532.1387018331</v>
      </c>
      <c r="F79" s="86">
        <f>'[1]资源-钻石'!O79</f>
        <v>3529278.8456289577</v>
      </c>
      <c r="G79" s="86">
        <f>'[1]资源-钻石'!P79</f>
        <v>4712060.6303917561</v>
      </c>
    </row>
    <row r="80" spans="2:7" x14ac:dyDescent="0.15">
      <c r="B80" s="86">
        <v>77</v>
      </c>
      <c r="C80" s="86">
        <f>'[1]资源-钻石'!L80</f>
        <v>1046873.0273105236</v>
      </c>
      <c r="D80" s="86">
        <f>'[1]资源-钻石'!M80</f>
        <v>1335651.5004051947</v>
      </c>
      <c r="E80" s="86">
        <f>'[1]资源-钻石'!N80</f>
        <v>1897133.2691686742</v>
      </c>
      <c r="F80" s="86">
        <f>'[1]资源-钻石'!O80</f>
        <v>3770826.6917057256</v>
      </c>
      <c r="G80" s="86">
        <f>'[1]资源-钻石'!P80</f>
        <v>5030178.8351574987</v>
      </c>
    </row>
    <row r="81" spans="2:7" x14ac:dyDescent="0.15">
      <c r="B81" s="86">
        <v>78</v>
      </c>
      <c r="C81" s="86">
        <f>'[1]资源-钻石'!L81</f>
        <v>1104889.3900964044</v>
      </c>
      <c r="D81" s="86">
        <f>'[1]资源-钻石'!M81</f>
        <v>1413024.9283677761</v>
      </c>
      <c r="E81" s="86">
        <f>'[1]资源-钻石'!N81</f>
        <v>2020657.7774502486</v>
      </c>
      <c r="F81" s="86">
        <f>'[1]资源-钻石'!O81</f>
        <v>4024296.7740012375</v>
      </c>
      <c r="G81" s="86">
        <f>'[1]资源-钻石'!P81</f>
        <v>5368443.6286368724</v>
      </c>
    </row>
    <row r="82" spans="2:7" x14ac:dyDescent="0.15">
      <c r="B82" s="86">
        <v>79</v>
      </c>
      <c r="C82" s="86">
        <f>'[1]资源-钻石'!L82</f>
        <v>1167069.7881231895</v>
      </c>
      <c r="D82" s="86">
        <f>'[1]资源-钻石'!M82</f>
        <v>1496624.7608805022</v>
      </c>
      <c r="E82" s="86">
        <f>'[1]资源-钻石'!N82</f>
        <v>2153433.9115108359</v>
      </c>
      <c r="F82" s="86">
        <f>'[1]资源-钻石'!O82</f>
        <v>4284286.1605098322</v>
      </c>
      <c r="G82" s="86">
        <f>'[1]资源-钻石'!P82</f>
        <v>5735794.5310839284</v>
      </c>
    </row>
    <row r="83" spans="2:7" x14ac:dyDescent="0.15">
      <c r="B83" s="86">
        <v>80</v>
      </c>
      <c r="C83" s="86">
        <f>'[1]资源-钻石'!L83</f>
        <v>1233713.0886182424</v>
      </c>
      <c r="D83" s="86">
        <f>'[1]资源-钻石'!M83</f>
        <v>1586003.1105398117</v>
      </c>
      <c r="E83" s="86">
        <f>'[1]资源-钻石'!N83</f>
        <v>2287161.4573655371</v>
      </c>
      <c r="F83" s="86">
        <f>'[1]资源-钻石'!O83</f>
        <v>4561256.7228277707</v>
      </c>
      <c r="G83" s="86">
        <f>'[1]资源-钻石'!P83</f>
        <v>6118326.4134436566</v>
      </c>
    </row>
    <row r="84" spans="2:7" x14ac:dyDescent="0.15">
      <c r="B84" s="86">
        <v>81</v>
      </c>
      <c r="C84" s="86">
        <f>'[1]资源-钻石'!L84</f>
        <v>1305139.6095446711</v>
      </c>
      <c r="D84" s="86">
        <f>'[1]资源-钻石'!M84</f>
        <v>1676977.6403088388</v>
      </c>
      <c r="E84" s="86">
        <f>'[1]资源-钻石'!N84</f>
        <v>2422925.2904371223</v>
      </c>
      <c r="F84" s="86">
        <f>'[1]资源-钻石'!O84</f>
        <v>4861612.8844266506</v>
      </c>
      <c r="G84" s="86">
        <f>'[1]资源-钻石'!P84</f>
        <v>6535784.2350349613</v>
      </c>
    </row>
    <row r="85" spans="2:7" x14ac:dyDescent="0.15">
      <c r="B85" s="86">
        <v>82</v>
      </c>
      <c r="C85" s="86">
        <f>'[1]资源-钻石'!L85</f>
        <v>1381692.6591949102</v>
      </c>
      <c r="D85" s="86">
        <f>'[1]资源-钻石'!M85</f>
        <v>1776992.0580115258</v>
      </c>
      <c r="E85" s="86">
        <f>'[1]资源-钻石'!N85</f>
        <v>2573716.085641453</v>
      </c>
      <c r="F85" s="86">
        <f>'[1]资源-钻石'!O85</f>
        <v>5190486.0776572078</v>
      </c>
      <c r="G85" s="86">
        <f>'[1]资源-钻石'!P85</f>
        <v>6977413.1895274259</v>
      </c>
    </row>
    <row r="86" spans="2:7" x14ac:dyDescent="0.15">
      <c r="B86" s="86">
        <v>83</v>
      </c>
      <c r="C86" s="86">
        <f>'[1]资源-钻石'!L86</f>
        <v>1463740.1862862627</v>
      </c>
      <c r="D86" s="86">
        <f>'[1]资源-钻石'!M86</f>
        <v>1886516.5674247157</v>
      </c>
      <c r="E86" s="86">
        <f>'[1]资源-钻石'!N86</f>
        <v>2740721.148298745</v>
      </c>
      <c r="F86" s="86">
        <f>'[1]资源-钻石'!O86</f>
        <v>5542755.7713506911</v>
      </c>
      <c r="G86" s="86">
        <f>'[1]资源-钻石'!P86</f>
        <v>7467419.7834469248</v>
      </c>
    </row>
    <row r="87" spans="2:7" x14ac:dyDescent="0.15">
      <c r="B87" s="86">
        <v>84</v>
      </c>
      <c r="C87" s="86">
        <f>'[1]资源-钻石'!L87</f>
        <v>1551676.5484894984</v>
      </c>
      <c r="D87" s="86">
        <f>'[1]资源-钻石'!M87</f>
        <v>2003969.6105418983</v>
      </c>
      <c r="E87" s="86">
        <f>'[1]资源-钻石'!N87</f>
        <v>2913662.2726687724</v>
      </c>
      <c r="F87" s="86">
        <f>'[1]资源-钻石'!O87</f>
        <v>5915678.7140376261</v>
      </c>
      <c r="G87" s="86">
        <f>'[1]资源-钻石'!P87</f>
        <v>7984760.1342338435</v>
      </c>
    </row>
    <row r="88" spans="2:7" x14ac:dyDescent="0.15">
      <c r="B88" s="86">
        <v>85</v>
      </c>
      <c r="C88" s="86">
        <f>'[1]资源-钻石'!L88</f>
        <v>1645558.0719424491</v>
      </c>
      <c r="D88" s="86">
        <f>'[1]资源-钻石'!M88</f>
        <v>2125839.3510513669</v>
      </c>
      <c r="E88" s="86">
        <f>'[1]资源-钻石'!N88</f>
        <v>3096842.2973454497</v>
      </c>
      <c r="F88" s="86">
        <f>'[1]资源-钻石'!O88</f>
        <v>6324496.3497360647</v>
      </c>
      <c r="G88" s="86">
        <f>'[1]资源-钻石'!P88</f>
        <v>8534526.4962922726</v>
      </c>
    </row>
    <row r="89" spans="2:7" x14ac:dyDescent="0.15">
      <c r="B89" s="86">
        <v>86</v>
      </c>
      <c r="C89" s="86">
        <f>'[1]资源-钻石'!L89</f>
        <v>1737405.689927869</v>
      </c>
      <c r="D89" s="86">
        <f>'[1]资源-钻石'!M89</f>
        <v>2258543.9832172454</v>
      </c>
      <c r="E89" s="86">
        <f>'[1]资源-钻石'!N89</f>
        <v>3298362.0284952996</v>
      </c>
      <c r="F89" s="86">
        <f>'[1]资源-钻石'!O89</f>
        <v>6768470.4817987308</v>
      </c>
      <c r="G89" s="86">
        <f>'[1]资源-钻石'!P89</f>
        <v>9046497.4465792254</v>
      </c>
    </row>
    <row r="90" spans="2:7" x14ac:dyDescent="0.15">
      <c r="B90" s="86">
        <v>87</v>
      </c>
      <c r="C90" s="86">
        <f>'[1]资源-钻石'!L90</f>
        <v>1835845.5294818119</v>
      </c>
      <c r="D90" s="86">
        <f>'[1]资源-钻石'!M90</f>
        <v>2403177.7931655813</v>
      </c>
      <c r="E90" s="86">
        <f>'[1]资源-钻石'!N90</f>
        <v>3520310.9434052585</v>
      </c>
      <c r="F90" s="86">
        <f>'[1]资源-钻石'!O90</f>
        <v>7192076.8263135627</v>
      </c>
      <c r="G90" s="86">
        <f>'[1]资源-钻石'!P90</f>
        <v>9589640.8807141967</v>
      </c>
    </row>
    <row r="91" spans="2:7" x14ac:dyDescent="0.15">
      <c r="B91" s="86">
        <v>88</v>
      </c>
      <c r="C91" s="86">
        <f>'[1]资源-钻石'!L91</f>
        <v>1941350.7371720613</v>
      </c>
      <c r="D91" s="86">
        <f>'[1]资源-钻石'!M91</f>
        <v>2551336.9765501898</v>
      </c>
      <c r="E91" s="86">
        <f>'[1]资源-钻石'!N91</f>
        <v>3745927.4891351936</v>
      </c>
      <c r="F91" s="86">
        <f>'[1]资源-钻石'!O91</f>
        <v>7623394.8001260012</v>
      </c>
      <c r="G91" s="86">
        <f>'[1]资源-钻石'!P91</f>
        <v>10183549.4144447</v>
      </c>
    </row>
    <row r="92" spans="2:7" x14ac:dyDescent="0.15">
      <c r="B92" s="86">
        <v>89</v>
      </c>
      <c r="C92" s="86">
        <f>'[1]资源-钻石'!L92</f>
        <v>2054428.4189338493</v>
      </c>
      <c r="D92" s="86">
        <f>'[1]资源-钻石'!M92</f>
        <v>2701739.1780132162</v>
      </c>
      <c r="E92" s="86">
        <f>'[1]资源-钻石'!N92</f>
        <v>3962659.5637297323</v>
      </c>
      <c r="F92" s="86">
        <f>'[1]资源-钻石'!O92</f>
        <v>8082875.40785194</v>
      </c>
      <c r="G92" s="86">
        <f>'[1]资源-钻石'!P92</f>
        <v>10776901.948630381</v>
      </c>
    </row>
    <row r="93" spans="2:7" x14ac:dyDescent="0.15">
      <c r="B93" s="86">
        <v>90</v>
      </c>
      <c r="C93" s="86">
        <f>'[1]资源-钻石'!L93</f>
        <v>2175622.077451258</v>
      </c>
      <c r="D93" s="86">
        <f>'[1]资源-钻石'!M93</f>
        <v>2848441.8314843313</v>
      </c>
      <c r="E93" s="86">
        <f>'[1]资源-钻石'!N93</f>
        <v>4199464.0832919627</v>
      </c>
      <c r="F93" s="86">
        <f>'[1]资源-钻石'!O93</f>
        <v>8551110.6743539069</v>
      </c>
      <c r="G93" s="86">
        <f>'[1]资源-钻石'!P93</f>
        <v>11404611.365267668</v>
      </c>
    </row>
    <row r="94" spans="2:7" x14ac:dyDescent="0.15">
      <c r="B94" s="86">
        <v>91</v>
      </c>
      <c r="C94" s="86">
        <f>'[1]资源-钻石'!L94</f>
        <v>2305514.2244779021</v>
      </c>
      <c r="D94" s="86">
        <f>'[1]资源-钻石'!M94</f>
        <v>3023881.3246313361</v>
      </c>
      <c r="E94" s="86">
        <f>'[1]资源-钻石'!N94</f>
        <v>4459162.4194747172</v>
      </c>
      <c r="F94" s="86">
        <f>'[1]资源-钻石'!O94</f>
        <v>9120586.7557984497</v>
      </c>
      <c r="G94" s="86">
        <f>'[1]资源-钻石'!P94</f>
        <v>12156023.231311075</v>
      </c>
    </row>
    <row r="95" spans="2:7" x14ac:dyDescent="0.15">
      <c r="B95" s="86">
        <v>92</v>
      </c>
      <c r="C95" s="86">
        <f>'[1]资源-钻石'!L95</f>
        <v>2444729.1806529197</v>
      </c>
      <c r="D95" s="86">
        <f>'[1]资源-钻石'!M95</f>
        <v>3205701.1598805604</v>
      </c>
      <c r="E95" s="86">
        <f>'[1]资源-钻石'!N95</f>
        <v>4741387.7960959515</v>
      </c>
      <c r="F95" s="86">
        <f>'[1]资源-钻石'!O95</f>
        <v>9729541.8240975179</v>
      </c>
      <c r="G95" s="86">
        <f>'[1]资源-钻石'!P95</f>
        <v>12934776.450145163</v>
      </c>
    </row>
    <row r="96" spans="2:7" x14ac:dyDescent="0.15">
      <c r="B96" s="86">
        <v>93</v>
      </c>
      <c r="C96" s="86">
        <f>'[1]资源-钻石'!L96</f>
        <v>2593936.0762694604</v>
      </c>
      <c r="D96" s="86">
        <f>'[1]资源-钻石'!M96</f>
        <v>3406431.2041925588</v>
      </c>
      <c r="E96" s="86">
        <f>'[1]资源-钻石'!N96</f>
        <v>5043466.9514683168</v>
      </c>
      <c r="F96" s="86">
        <f>'[1]资源-钻石'!O96</f>
        <v>10370600.950609375</v>
      </c>
      <c r="G96" s="86">
        <f>'[1]资源-钻石'!P96</f>
        <v>13789484.105817867</v>
      </c>
    </row>
    <row r="97" spans="2:7" x14ac:dyDescent="0.15">
      <c r="B97" s="86">
        <v>94</v>
      </c>
      <c r="C97" s="86">
        <f>'[1]资源-钻石'!L97</f>
        <v>2753852.0674186898</v>
      </c>
      <c r="D97" s="86">
        <f>'[1]资源-钻石'!M97</f>
        <v>3617786.9077585824</v>
      </c>
      <c r="E97" s="86">
        <f>'[1]资源-钻石'!N97</f>
        <v>5364655.4935809486</v>
      </c>
      <c r="F97" s="86">
        <f>'[1]资源-钻石'!O97</f>
        <v>11051007.937921636</v>
      </c>
      <c r="G97" s="86">
        <f>'[1]资源-钻石'!P97</f>
        <v>14691146.630442608</v>
      </c>
    </row>
    <row r="98" spans="2:7" x14ac:dyDescent="0.15">
      <c r="B98" s="86">
        <v>95</v>
      </c>
      <c r="C98" s="86">
        <f>'[1]资源-钻石'!L98</f>
        <v>2924415.7793038557</v>
      </c>
      <c r="D98" s="86">
        <f>'[1]资源-钻石'!M98</f>
        <v>3850859.4388750191</v>
      </c>
      <c r="E98" s="86">
        <f>'[1]资源-钻石'!N98</f>
        <v>5702162.1321197227</v>
      </c>
      <c r="F98" s="86">
        <f>'[1]资源-钻石'!O98</f>
        <v>11779764.946705725</v>
      </c>
      <c r="G98" s="86">
        <f>'[1]资源-钻石'!P98</f>
        <v>15736860.379284777</v>
      </c>
    </row>
    <row r="99" spans="2:7" x14ac:dyDescent="0.15">
      <c r="B99" s="86">
        <v>96</v>
      </c>
      <c r="C99" s="86">
        <f>'[1]资源-钻石'!L99</f>
        <v>3094094.087705594</v>
      </c>
      <c r="D99" s="86">
        <f>'[1]资源-钻石'!M99</f>
        <v>4089613.7788059195</v>
      </c>
      <c r="E99" s="86">
        <f>'[1]资源-钻石'!N99</f>
        <v>6061972.1504050065</v>
      </c>
      <c r="F99" s="86">
        <f>'[1]资源-钻石'!O99</f>
        <v>12583123.27707411</v>
      </c>
      <c r="G99" s="86">
        <f>'[1]资源-钻石'!P99</f>
        <v>16846751.769342024</v>
      </c>
    </row>
    <row r="100" spans="2:7" x14ac:dyDescent="0.15">
      <c r="B100" s="86">
        <v>97</v>
      </c>
      <c r="C100" s="86">
        <f>'[1]资源-钻石'!L100</f>
        <v>3275950.7958186241</v>
      </c>
      <c r="D100" s="86">
        <f>'[1]资源-钻石'!M100</f>
        <v>4349508.970539622</v>
      </c>
      <c r="E100" s="86">
        <f>'[1]资源-钻石'!N100</f>
        <v>6478000.5649687108</v>
      </c>
      <c r="F100" s="86">
        <f>'[1]资源-钻石'!O100</f>
        <v>13504406.381960735</v>
      </c>
      <c r="G100" s="86">
        <f>'[1]资源-钻石'!P100</f>
        <v>18149026.922231399</v>
      </c>
    </row>
    <row r="101" spans="2:7" x14ac:dyDescent="0.15">
      <c r="B101" s="86">
        <v>98</v>
      </c>
      <c r="C101" s="86">
        <f>'[1]资源-钻石'!L101</f>
        <v>3470859.9895583829</v>
      </c>
      <c r="D101" s="86">
        <f>'[1]资源-钻石'!M101</f>
        <v>4630628.0284939269</v>
      </c>
      <c r="E101" s="86">
        <f>'[1]资源-钻石'!N101</f>
        <v>6939906.1318451175</v>
      </c>
      <c r="F101" s="86">
        <f>'[1]资源-钻石'!O101</f>
        <v>14521154.317098457</v>
      </c>
      <c r="G101" s="86">
        <f>'[1]资源-钻石'!P101</f>
        <v>19532609.287606977</v>
      </c>
    </row>
    <row r="102" spans="2:7" x14ac:dyDescent="0.15">
      <c r="B102" s="86">
        <v>99</v>
      </c>
      <c r="C102" s="86">
        <f>'[1]资源-钻石'!L102</f>
        <v>3679758.4910129989</v>
      </c>
      <c r="D102" s="86">
        <f>'[1]资源-钻石'!M102</f>
        <v>4926679.7539730156</v>
      </c>
      <c r="E102" s="86">
        <f>'[1]资源-钻石'!N102</f>
        <v>7422931.6089484841</v>
      </c>
      <c r="F102" s="86">
        <f>'[1]资源-钻石'!O102</f>
        <v>15580706.157435667</v>
      </c>
      <c r="G102" s="86">
        <f>'[1]资源-钻石'!P102</f>
        <v>20864889.123261806</v>
      </c>
    </row>
    <row r="103" spans="2:7" x14ac:dyDescent="0.15">
      <c r="B103" s="86">
        <v>100</v>
      </c>
      <c r="C103" s="86">
        <f>'[1]资源-钻石'!L103</f>
        <v>3903650.3612356558</v>
      </c>
      <c r="D103" s="86">
        <f>'[1]资源-钻石'!M103</f>
        <v>5237009.3448348707</v>
      </c>
      <c r="E103" s="86">
        <f>'[1]资源-钻石'!N103</f>
        <v>7931039.5859523583</v>
      </c>
      <c r="F103" s="86">
        <f>'[1]资源-钻石'!O103</f>
        <v>16619830.654701956</v>
      </c>
      <c r="G103" s="86">
        <f>'[1]资源-钻石'!P103</f>
        <v>22225262.886818055</v>
      </c>
    </row>
    <row r="104" spans="2:7" x14ac:dyDescent="0.15">
      <c r="B104" s="86">
        <v>101</v>
      </c>
      <c r="C104" s="86">
        <f>'[1]资源-钻石'!L104</f>
        <v>4143611.7262179158</v>
      </c>
      <c r="D104" s="86">
        <f>'[1]资源-钻石'!M104</f>
        <v>5573158.002972086</v>
      </c>
      <c r="E104" s="86">
        <f>'[1]资源-钻石'!N104</f>
        <v>8443453.8395632785</v>
      </c>
      <c r="F104" s="86">
        <f>'[1]资源-钻石'!O104</f>
        <v>17688858.289318532</v>
      </c>
      <c r="G104" s="86">
        <f>'[1]资源-钻石'!P104</f>
        <v>23701751.606441565</v>
      </c>
    </row>
    <row r="105" spans="2:7" x14ac:dyDescent="0.15">
      <c r="B105" s="86">
        <v>102</v>
      </c>
      <c r="C105" s="86">
        <f>'[1]资源-钻石'!L105</f>
        <v>4400795.949239891</v>
      </c>
      <c r="D105" s="86">
        <f>'[1]资源-钻石'!M105</f>
        <v>5916418.6852669548</v>
      </c>
      <c r="E105" s="86">
        <f>'[1]资源-钻石'!N105</f>
        <v>8955778.0341024622</v>
      </c>
      <c r="F105" s="86">
        <f>'[1]资源-钻石'!O105</f>
        <v>18828374.381195396</v>
      </c>
      <c r="G105" s="86">
        <f>'[1]资源-钻石'!P105</f>
        <v>25296583.581661798</v>
      </c>
    </row>
    <row r="106" spans="2:7" x14ac:dyDescent="0.15">
      <c r="B106" s="86">
        <v>103</v>
      </c>
      <c r="C106" s="86">
        <f>'[1]资源-钻石'!L106</f>
        <v>4676439.174457863</v>
      </c>
      <c r="D106" s="86">
        <f>'[1]资源-钻石'!M106</f>
        <v>6280769.3738048393</v>
      </c>
      <c r="E106" s="86">
        <f>'[1]资源-钻石'!N106</f>
        <v>9522328.9439811669</v>
      </c>
      <c r="F106" s="86">
        <f>'[1]资源-钻石'!O106</f>
        <v>20126728.43345426</v>
      </c>
      <c r="G106" s="86">
        <f>'[1]资源-钻石'!P106</f>
        <v>27060383.174256839</v>
      </c>
    </row>
    <row r="107" spans="2:7" x14ac:dyDescent="0.15">
      <c r="B107" s="86">
        <v>104</v>
      </c>
      <c r="C107" s="86">
        <f>'[1]资源-钻石'!L107</f>
        <v>4971866.2683743965</v>
      </c>
      <c r="D107" s="86">
        <f>'[1]资源-钻石'!M107</f>
        <v>6688630.3175444501</v>
      </c>
      <c r="E107" s="86">
        <f>'[1]资源-钻石'!N107</f>
        <v>10177418.247611826</v>
      </c>
      <c r="F107" s="86">
        <f>'[1]资源-钻石'!O107</f>
        <v>21585506.202110097</v>
      </c>
      <c r="G107" s="86">
        <f>'[1]资源-钻石'!P107</f>
        <v>29013239.344368137</v>
      </c>
    </row>
    <row r="108" spans="2:7" x14ac:dyDescent="0.15">
      <c r="B108" s="86">
        <v>105</v>
      </c>
      <c r="C108" s="86">
        <f>'[1]资源-钻石'!L108</f>
        <v>5287142.595091057</v>
      </c>
      <c r="D108" s="86">
        <f>'[1]资源-钻石'!M108</f>
        <v>7131970.0587444119</v>
      </c>
      <c r="E108" s="86">
        <f>'[1]资源-钻石'!N108</f>
        <v>10872117.294617573</v>
      </c>
      <c r="F108" s="86">
        <f>'[1]资源-钻石'!O108</f>
        <v>23120605.596151121</v>
      </c>
      <c r="G108" s="86">
        <f>'[1]资源-钻石'!P108</f>
        <v>31050396.275423549</v>
      </c>
    </row>
    <row r="109" spans="2:7" x14ac:dyDescent="0.15">
      <c r="B109" s="86">
        <v>106</v>
      </c>
      <c r="C109" s="86">
        <f>'[1]资源-钻石'!L109</f>
        <v>5606820.490469682</v>
      </c>
      <c r="D109" s="86">
        <f>'[1]资源-钻石'!M109</f>
        <v>7604407.5095479935</v>
      </c>
      <c r="E109" s="86">
        <f>'[1]资源-钻石'!N109</f>
        <v>11604917.14280984</v>
      </c>
      <c r="F109" s="86">
        <f>'[1]资源-钻石'!O109</f>
        <v>24712319.533483163</v>
      </c>
      <c r="G109" s="86">
        <f>'[1]资源-钻石'!P109</f>
        <v>33111734.537100207</v>
      </c>
    </row>
    <row r="110" spans="2:7" x14ac:dyDescent="0.15">
      <c r="B110" s="86">
        <v>107</v>
      </c>
      <c r="C110" s="86">
        <f>'[1]资源-钻石'!L110</f>
        <v>5949442.7752959486</v>
      </c>
      <c r="D110" s="86">
        <f>'[1]资源-钻石'!M110</f>
        <v>8102342.2474621274</v>
      </c>
      <c r="E110" s="86">
        <f>'[1]资源-钻石'!N110</f>
        <v>12393835.147102714</v>
      </c>
      <c r="F110" s="86">
        <f>'[1]资源-钻石'!O110</f>
        <v>26331518.106822722</v>
      </c>
      <c r="G110" s="86">
        <f>'[1]资源-钻石'!P110</f>
        <v>35286092.833120786</v>
      </c>
    </row>
    <row r="111" spans="2:7" x14ac:dyDescent="0.15">
      <c r="B111" s="86">
        <v>108</v>
      </c>
      <c r="C111" s="86">
        <f>'[1]资源-钻石'!L111</f>
        <v>6316656.2478462998</v>
      </c>
      <c r="D111" s="86">
        <f>'[1]资源-钻石'!M111</f>
        <v>8622684.6952408925</v>
      </c>
      <c r="E111" s="86">
        <f>'[1]资源-钻石'!N111</f>
        <v>13177641.50473636</v>
      </c>
      <c r="F111" s="86">
        <f>'[1]资源-钻石'!O111</f>
        <v>28070981.554587901</v>
      </c>
      <c r="G111" s="86">
        <f>'[1]资源-钻石'!P111</f>
        <v>37717385.674777366</v>
      </c>
    </row>
    <row r="112" spans="2:7" x14ac:dyDescent="0.15">
      <c r="B112" s="86">
        <v>109</v>
      </c>
      <c r="C112" s="86">
        <f>'[1]资源-钻石'!L112</f>
        <v>6710225.9028115589</v>
      </c>
      <c r="D112" s="86">
        <f>'[1]资源-钻石'!M112</f>
        <v>9148596.7668882236</v>
      </c>
      <c r="E112" s="86">
        <f>'[1]资源-钻石'!N112</f>
        <v>14033212.904790752</v>
      </c>
      <c r="F112" s="86">
        <f>'[1]资源-钻石'!O112</f>
        <v>29952388.502311274</v>
      </c>
      <c r="G112" s="86">
        <f>'[1]资源-钻石'!P112</f>
        <v>40349203.087457478</v>
      </c>
    </row>
    <row r="113" spans="2:7" x14ac:dyDescent="0.15">
      <c r="B113" s="86">
        <v>110</v>
      </c>
      <c r="C113" s="86">
        <f>'[1]资源-钻石'!L113</f>
        <v>7132043.4146628883</v>
      </c>
      <c r="D113" s="86">
        <f>'[1]资源-钻石'!M113</f>
        <v>9739330.1893099211</v>
      </c>
      <c r="E113" s="86">
        <f>'[1]资源-钻石'!N113</f>
        <v>15014383.306518577</v>
      </c>
      <c r="F113" s="86">
        <f>'[1]资源-钻石'!O113</f>
        <v>32129809.575409979</v>
      </c>
      <c r="G113" s="86">
        <f>'[1]资源-钻石'!P113</f>
        <v>43296594.349445909</v>
      </c>
    </row>
    <row r="114" spans="2:7" x14ac:dyDescent="0.15">
      <c r="B114" s="86">
        <v>111</v>
      </c>
      <c r="C114" s="86">
        <f>'[1]资源-钻石'!L114</f>
        <v>7584136.2298982274</v>
      </c>
      <c r="D114" s="86">
        <f>'[1]资源-钻石'!M114</f>
        <v>10385792.914284958</v>
      </c>
      <c r="E114" s="86">
        <f>'[1]资源-钻石'!N114</f>
        <v>16058278.641152065</v>
      </c>
      <c r="F114" s="86">
        <f>'[1]资源-钻石'!O114</f>
        <v>34483227.38008634</v>
      </c>
      <c r="G114" s="86">
        <f>'[1]资源-钻石'!P114</f>
        <v>46531517.273902252</v>
      </c>
    </row>
    <row r="115" spans="2:7" x14ac:dyDescent="0.15">
      <c r="B115" s="86">
        <v>112</v>
      </c>
      <c r="C115" s="86">
        <f>'[1]资源-钻石'!L115</f>
        <v>8068677.311870791</v>
      </c>
      <c r="D115" s="86">
        <f>'[1]资源-钻石'!M115</f>
        <v>11072468.383451544</v>
      </c>
      <c r="E115" s="86">
        <f>'[1]资源-钻石'!N115</f>
        <v>17149810.063459232</v>
      </c>
      <c r="F115" s="86">
        <f>'[1]资源-钻石'!O115</f>
        <v>36946723.548383601</v>
      </c>
      <c r="G115" s="86">
        <f>'[1]资源-钻石'!P115</f>
        <v>49678009.1177627</v>
      </c>
    </row>
    <row r="116" spans="2:7" x14ac:dyDescent="0.15">
      <c r="B116" s="86">
        <v>113</v>
      </c>
      <c r="C116" s="86">
        <f>'[1]资源-钻石'!L116</f>
        <v>8587995.585037617</v>
      </c>
      <c r="D116" s="86">
        <f>'[1]资源-钻石'!M116</f>
        <v>11806389.860534446</v>
      </c>
      <c r="E116" s="86">
        <f>'[1]资源-钻石'!N116</f>
        <v>18325582.508544412</v>
      </c>
      <c r="F116" s="86">
        <f>'[1]资源-钻石'!O116</f>
        <v>39464001.96036721</v>
      </c>
      <c r="G116" s="86">
        <f>'[1]资源-钻石'!P116</f>
        <v>53019874.50672397</v>
      </c>
    </row>
    <row r="117" spans="2:7" x14ac:dyDescent="0.15">
      <c r="B117" s="86">
        <v>114</v>
      </c>
      <c r="C117" s="86">
        <f>'[1]资源-钻石'!L117</f>
        <v>9144587.1288279872</v>
      </c>
      <c r="D117" s="86">
        <f>'[1]资源-钻石'!M117</f>
        <v>12590618.587584667</v>
      </c>
      <c r="E117" s="86">
        <f>'[1]资源-钻石'!N117</f>
        <v>19524749.479385361</v>
      </c>
      <c r="F117" s="86">
        <f>'[1]资源-钻石'!O117</f>
        <v>42080201.852823667</v>
      </c>
      <c r="G117" s="86">
        <f>'[1]资源-钻石'!P117</f>
        <v>56588778.122578196</v>
      </c>
    </row>
    <row r="118" spans="2:7" x14ac:dyDescent="0.15">
      <c r="B118" s="86">
        <v>115</v>
      </c>
      <c r="C118" s="86">
        <f>'[1]资源-钻石'!L118</f>
        <v>9738971.0387969632</v>
      </c>
      <c r="D118" s="86">
        <f>'[1]资源-钻石'!M118</f>
        <v>13393215.900042122</v>
      </c>
      <c r="E118" s="86">
        <f>'[1]资源-钻石'!N118</f>
        <v>20763350.619827822</v>
      </c>
      <c r="F118" s="86">
        <f>'[1]资源-钻石'!O118</f>
        <v>44827332.863771528</v>
      </c>
      <c r="G118" s="86">
        <f>'[1]资源-钻石'!P118</f>
        <v>60339192.218955062</v>
      </c>
    </row>
    <row r="119" spans="2:7" x14ac:dyDescent="0.15">
      <c r="B119" s="86">
        <v>116</v>
      </c>
      <c r="C119" s="86">
        <f>'[1]资源-钻石'!L119</f>
        <v>10349049.764023628</v>
      </c>
      <c r="D119" s="86">
        <f>'[1]资源-钻石'!M119</f>
        <v>14272888.305495575</v>
      </c>
      <c r="E119" s="86">
        <f>'[1]资源-钻石'!N119</f>
        <v>22155916.972318336</v>
      </c>
      <c r="F119" s="86">
        <f>'[1]资源-钻石'!O119</f>
        <v>48000821.939325437</v>
      </c>
      <c r="G119" s="86">
        <f>'[1]资源-钻石'!P119</f>
        <v>64604279.535831437</v>
      </c>
    </row>
    <row r="120" spans="2:7" x14ac:dyDescent="0.15">
      <c r="B120" s="86">
        <v>117</v>
      </c>
      <c r="C120" s="86">
        <f>'[1]资源-钻石'!L120</f>
        <v>11002915.951779539</v>
      </c>
      <c r="D120" s="86">
        <f>'[1]资源-钻石'!M120</f>
        <v>15234777.531176174</v>
      </c>
      <c r="E120" s="86">
        <f>'[1]资源-钻石'!N120</f>
        <v>23696642.935575712</v>
      </c>
      <c r="F120" s="86">
        <f>'[1]资源-钻石'!O120</f>
        <v>51384953.577316478</v>
      </c>
      <c r="G120" s="86">
        <f>'[1]资源-钻石'!P120</f>
        <v>69279630.502757639</v>
      </c>
    </row>
    <row r="121" spans="2:7" x14ac:dyDescent="0.15">
      <c r="B121" s="86">
        <v>118</v>
      </c>
      <c r="C121" s="86">
        <f>'[1]资源-钻石'!L121</f>
        <v>11703712.379866134</v>
      </c>
      <c r="D121" s="86">
        <f>'[1]资源-钻石'!M121</f>
        <v>16242644.206902737</v>
      </c>
      <c r="E121" s="86">
        <f>'[1]资源-钻石'!N121</f>
        <v>25335337.988974229</v>
      </c>
      <c r="F121" s="86">
        <f>'[1]资源-钻石'!O121</f>
        <v>55090923.652445495</v>
      </c>
      <c r="G121" s="86">
        <f>'[1]资源-钻石'!P121</f>
        <v>74214311.418471232</v>
      </c>
    </row>
    <row r="122" spans="2:7" x14ac:dyDescent="0.15">
      <c r="B122" s="86">
        <v>119</v>
      </c>
      <c r="C122" s="86">
        <f>'[1]资源-钻石'!L122</f>
        <v>12454807.394129533</v>
      </c>
      <c r="D122" s="86">
        <f>'[1]资源-钻石'!M122</f>
        <v>17321760.706106771</v>
      </c>
      <c r="E122" s="86">
        <f>'[1]资源-钻石'!N122</f>
        <v>27123048.88173325</v>
      </c>
      <c r="F122" s="86">
        <f>'[1]资源-钻石'!O122</f>
        <v>58998871.31937407</v>
      </c>
      <c r="G122" s="86">
        <f>'[1]资源-钻石'!P122</f>
        <v>79235998.496226966</v>
      </c>
    </row>
    <row r="123" spans="2:7" x14ac:dyDescent="0.15">
      <c r="B123" s="86">
        <v>120</v>
      </c>
      <c r="C123" s="86">
        <f>'[1]资源-钻石'!L123</f>
        <v>13259811.098260373</v>
      </c>
      <c r="D123" s="86">
        <f>'[1]资源-钻石'!M123</f>
        <v>18479137.137995131</v>
      </c>
      <c r="E123" s="86">
        <f>'[1]资源-钻石'!N123</f>
        <v>29001056.440831129</v>
      </c>
      <c r="F123" s="86">
        <f>'[1]资源-钻石'!O123</f>
        <v>62884764.049579173</v>
      </c>
      <c r="G123" s="86">
        <f>'[1]资源-钻石'!P123</f>
        <v>84536815.829425484</v>
      </c>
    </row>
    <row r="124" spans="2:7" x14ac:dyDescent="0.15">
      <c r="B124" s="86">
        <v>121</v>
      </c>
      <c r="C124" s="86">
        <f>'[1]资源-钻石'!L124</f>
        <v>14122592.705591226</v>
      </c>
      <c r="D124" s="86">
        <f>'[1]资源-钻石'!M124</f>
        <v>19683826.532139763</v>
      </c>
      <c r="E124" s="86">
        <f>'[1]资源-钻石'!N124</f>
        <v>30856562.752762023</v>
      </c>
      <c r="F124" s="86">
        <f>'[1]资源-钻石'!O124</f>
        <v>67030390.757503167</v>
      </c>
      <c r="G124" s="86">
        <f>'[1]资源-钻石'!P124</f>
        <v>90435571.876954556</v>
      </c>
    </row>
    <row r="125" spans="2:7" x14ac:dyDescent="0.15">
      <c r="B125" s="86">
        <v>122</v>
      </c>
      <c r="C125" s="86">
        <f>'[1]资源-钻石'!L125</f>
        <v>15047299.13629283</v>
      </c>
      <c r="D125" s="86">
        <f>'[1]资源-钻石'!M125</f>
        <v>20950190.263734274</v>
      </c>
      <c r="E125" s="86">
        <f>'[1]资源-钻石'!N125</f>
        <v>32875151.059766777</v>
      </c>
      <c r="F125" s="86">
        <f>'[1]资源-钻石'!O125</f>
        <v>71657461.993985146</v>
      </c>
      <c r="G125" s="86">
        <f>'[1]资源-钻石'!P125</f>
        <v>96750300.922906265</v>
      </c>
    </row>
    <row r="126" spans="2:7" x14ac:dyDescent="0.15">
      <c r="B126" s="86">
        <v>123</v>
      </c>
      <c r="C126" s="86">
        <f>'[1]资源-钻石'!L126</f>
        <v>16038374.949355489</v>
      </c>
      <c r="D126" s="86">
        <f>'[1]资源-钻石'!M126</f>
        <v>22355931.115644921</v>
      </c>
      <c r="E126" s="86">
        <f>'[1]资源-钻石'!N126</f>
        <v>35201165.934915461</v>
      </c>
      <c r="F126" s="86">
        <f>'[1]资源-钻石'!O126</f>
        <v>76984930.008975729</v>
      </c>
      <c r="G126" s="86">
        <f>'[1]资源-钻石'!P126</f>
        <v>103983932.53081658</v>
      </c>
    </row>
    <row r="127" spans="2:7" x14ac:dyDescent="0.15">
      <c r="B127" s="86">
        <v>124</v>
      </c>
      <c r="C127" s="86">
        <f>'[1]资源-钻石'!L127</f>
        <v>17100583.7051576</v>
      </c>
      <c r="D127" s="86">
        <f>'[1]资源-钻石'!M127</f>
        <v>23905003.391709842</v>
      </c>
      <c r="E127" s="86">
        <f>'[1]资源-钻石'!N127</f>
        <v>37678183.260454133</v>
      </c>
      <c r="F127" s="86">
        <f>'[1]资源-钻石'!O127</f>
        <v>82613223.116949111</v>
      </c>
      <c r="G127" s="86">
        <f>'[1]资源-钻石'!P127</f>
        <v>111762251.23281986</v>
      </c>
    </row>
    <row r="128" spans="2:7" x14ac:dyDescent="0.15">
      <c r="B128" s="86">
        <v>125</v>
      </c>
      <c r="C128" s="86">
        <f>'[1]资源-钻石'!L128</f>
        <v>18235680.063363619</v>
      </c>
      <c r="D128" s="86">
        <f>'[1]资源-钻石'!M128</f>
        <v>25511451.247479346</v>
      </c>
      <c r="E128" s="86">
        <f>'[1]资源-钻石'!N128</f>
        <v>40325778.235202461</v>
      </c>
      <c r="F128" s="86">
        <f>'[1]资源-钻石'!O128</f>
        <v>88586810.051572904</v>
      </c>
      <c r="G128" s="86">
        <f>'[1]资源-钻石'!P128</f>
        <v>119109399.86009653</v>
      </c>
    </row>
    <row r="129" spans="2:7" x14ac:dyDescent="0.15">
      <c r="B129" s="86">
        <v>126</v>
      </c>
      <c r="C129" s="86">
        <f>'[1]资源-钻石'!L129</f>
        <v>19411777.729560923</v>
      </c>
      <c r="D129" s="86">
        <f>'[1]资源-钻石'!M129</f>
        <v>27281130.976422139</v>
      </c>
      <c r="E129" s="86">
        <f>'[1]资源-钻石'!N129</f>
        <v>43142627.215919189</v>
      </c>
      <c r="F129" s="86">
        <f>'[1]资源-钻石'!O129</f>
        <v>94473379.994099244</v>
      </c>
      <c r="G129" s="86">
        <f>'[1]资源-钻石'!P129</f>
        <v>126934513.79283579</v>
      </c>
    </row>
    <row r="130" spans="2:7" x14ac:dyDescent="0.15">
      <c r="B130" s="86">
        <v>127</v>
      </c>
      <c r="C130" s="86">
        <f>'[1]资源-钻石'!L130</f>
        <v>20672287.997542065</v>
      </c>
      <c r="D130" s="86">
        <f>'[1]资源-钻石'!M130</f>
        <v>29141266.209874645</v>
      </c>
      <c r="E130" s="86">
        <f>'[1]资源-钻石'!N130</f>
        <v>45927905.740344137</v>
      </c>
      <c r="F130" s="86">
        <f>'[1]资源-钻石'!O130</f>
        <v>100538270.95431761</v>
      </c>
      <c r="G130" s="86">
        <f>'[1]资源-钻石'!P130</f>
        <v>135483651.49213481</v>
      </c>
    </row>
    <row r="131" spans="2:7" x14ac:dyDescent="0.15">
      <c r="B131" s="86">
        <v>128</v>
      </c>
      <c r="C131" s="86">
        <f>'[1]资源-钻石'!L131</f>
        <v>22023269.452018794</v>
      </c>
      <c r="D131" s="86">
        <f>'[1]资源-钻石'!M131</f>
        <v>30962739.884104647</v>
      </c>
      <c r="E131" s="86">
        <f>'[1]资源-钻石'!N131</f>
        <v>48856360.431765094</v>
      </c>
      <c r="F131" s="86">
        <f>'[1]资源-钻石'!O131</f>
        <v>107193738.10418305</v>
      </c>
      <c r="G131" s="86">
        <f>'[1]资源-钻石'!P131</f>
        <v>144779719.39877108</v>
      </c>
    </row>
    <row r="132" spans="2:7" x14ac:dyDescent="0.15">
      <c r="B132" s="86">
        <v>129</v>
      </c>
      <c r="C132" s="86">
        <f>'[1]资源-钻石'!L132</f>
        <v>23471215.52330564</v>
      </c>
      <c r="D132" s="86">
        <f>'[1]资源-钻石'!M132</f>
        <v>33038915.597263657</v>
      </c>
      <c r="E132" s="86">
        <f>'[1]资源-钻石'!N132</f>
        <v>52337714.341107279</v>
      </c>
      <c r="F132" s="86">
        <f>'[1]资源-钻石'!O132</f>
        <v>115144235.24571466</v>
      </c>
      <c r="G132" s="86">
        <f>'[1]资源-钻石'!P132</f>
        <v>155434396.11675525</v>
      </c>
    </row>
    <row r="133" spans="2:7" x14ac:dyDescent="0.15">
      <c r="B133" s="86">
        <v>130</v>
      </c>
      <c r="C133" s="86">
        <f>'[1]资源-钻石'!L133</f>
        <v>25023085.69769454</v>
      </c>
      <c r="D133" s="86">
        <f>'[1]资源-钻石'!M133</f>
        <v>35303354.416100398</v>
      </c>
      <c r="E133" s="86">
        <f>'[1]资源-钻石'!N133</f>
        <v>56107158.657668903</v>
      </c>
      <c r="F133" s="86">
        <f>'[1]资源-钻石'!O133</f>
        <v>123616631.71920326</v>
      </c>
      <c r="G133" s="86">
        <f>'[1]资源-钻石'!P133</f>
        <v>167071151.25383592</v>
      </c>
    </row>
    <row r="134" spans="2:7" x14ac:dyDescent="0.15">
      <c r="B134" s="86">
        <v>131</v>
      </c>
      <c r="C134" s="86">
        <f>'[1]资源-钻石'!L134</f>
        <v>26686338.96790614</v>
      </c>
      <c r="D134" s="86">
        <f>'[1]资源-钻石'!M134</f>
        <v>37707897.868109673</v>
      </c>
      <c r="E134" s="86">
        <f>'[1]资源-钻石'!N134</f>
        <v>60054266.543630913</v>
      </c>
      <c r="F134" s="86">
        <f>'[1]资源-钻石'!O134</f>
        <v>132666532.38131481</v>
      </c>
      <c r="G134" s="86">
        <f>'[1]资源-钻石'!P134</f>
        <v>178831133.91022751</v>
      </c>
    </row>
    <row r="135" spans="2:7" x14ac:dyDescent="0.15">
      <c r="B135" s="86">
        <v>132</v>
      </c>
      <c r="C135" s="86">
        <f>'[1]资源-钻石'!L135</f>
        <v>28468969.684395615</v>
      </c>
      <c r="D135" s="86">
        <f>'[1]资源-钻石'!M135</f>
        <v>40295248.84361539</v>
      </c>
      <c r="E135" s="86">
        <f>'[1]资源-钻石'!N135</f>
        <v>64340727.828569002</v>
      </c>
      <c r="F135" s="86">
        <f>'[1]资源-钻石'!O135</f>
        <v>141922838.84265536</v>
      </c>
      <c r="G135" s="86">
        <f>'[1]资源-钻石'!P135</f>
        <v>190984974.41441336</v>
      </c>
    </row>
    <row r="136" spans="2:7" x14ac:dyDescent="0.15">
      <c r="B136" s="86">
        <v>133</v>
      </c>
      <c r="C136" s="86">
        <f>'[1]资源-钻石'!L136</f>
        <v>30379545.97983114</v>
      </c>
      <c r="D136" s="86">
        <f>'[1]资源-钻石'!M136</f>
        <v>43070244.94542972</v>
      </c>
      <c r="E136" s="86">
        <f>'[1]资源-钻石'!N136</f>
        <v>68630932.667530671</v>
      </c>
      <c r="F136" s="86">
        <f>'[1]资源-钻石'!O136</f>
        <v>151272974.37649736</v>
      </c>
      <c r="G136" s="86">
        <f>'[1]资源-钻石'!P136</f>
        <v>203811662.32802075</v>
      </c>
    </row>
    <row r="137" spans="2:7" x14ac:dyDescent="0.15">
      <c r="B137" s="86">
        <v>134</v>
      </c>
      <c r="C137" s="86">
        <f>'[1]资源-钻石'!L137</f>
        <v>32427250.951429788</v>
      </c>
      <c r="D137" s="86">
        <f>'[1]资源-钻石'!M137</f>
        <v>45891121.638941728</v>
      </c>
      <c r="E137" s="86">
        <f>'[1]资源-钻石'!N137</f>
        <v>73069970.162524119</v>
      </c>
      <c r="F137" s="86">
        <f>'[1]资源-钻石'!O137</f>
        <v>161376226.21735916</v>
      </c>
      <c r="G137" s="86">
        <f>'[1]资源-钻石'!P137</f>
        <v>217839731.54167435</v>
      </c>
    </row>
    <row r="138" spans="2:7" x14ac:dyDescent="0.15">
      <c r="B138" s="86">
        <v>135</v>
      </c>
      <c r="C138" s="86">
        <f>'[1]资源-钻石'!L138</f>
        <v>34616821.97570309</v>
      </c>
      <c r="D138" s="86">
        <f>'[1]资源-钻石'!M138</f>
        <v>48983250.919365264</v>
      </c>
      <c r="E138" s="86">
        <f>'[1]资源-钻石'!N138</f>
        <v>78052016.801077932</v>
      </c>
      <c r="F138" s="86">
        <f>'[1]资源-钻石'!O138</f>
        <v>172909770.65865353</v>
      </c>
      <c r="G138" s="86">
        <f>'[1]资源-钻石'!P138</f>
        <v>233721425.98623991</v>
      </c>
    </row>
    <row r="139" spans="2:7" x14ac:dyDescent="0.15">
      <c r="B139" s="86">
        <v>136</v>
      </c>
      <c r="C139" s="86">
        <f>'[1]资源-钻石'!L139</f>
        <v>36902938.696316682</v>
      </c>
      <c r="D139" s="86">
        <f>'[1]资源-钻石'!M139</f>
        <v>52388516.334771439</v>
      </c>
      <c r="E139" s="86">
        <f>'[1]资源-钻石'!N139</f>
        <v>83770658.696275473</v>
      </c>
      <c r="F139" s="86">
        <f>'[1]资源-钻石'!O139</f>
        <v>185783394.27809614</v>
      </c>
      <c r="G139" s="86">
        <f>'[1]资源-钻石'!P139</f>
        <v>251228762.91278711</v>
      </c>
    </row>
    <row r="140" spans="2:7" x14ac:dyDescent="0.15">
      <c r="B140" s="86">
        <v>137</v>
      </c>
      <c r="C140" s="86">
        <f>'[1]资源-钻石'!L140</f>
        <v>39353137.929730825</v>
      </c>
      <c r="D140" s="86">
        <f>'[1]资源-钻石'!M140</f>
        <v>56066256.975797266</v>
      </c>
      <c r="E140" s="86">
        <f>'[1]资源-钻石'!N140</f>
        <v>89712667.710442379</v>
      </c>
      <c r="F140" s="86">
        <f>'[1]资源-钻石'!O140</f>
        <v>199306774.64980674</v>
      </c>
      <c r="G140" s="86">
        <f>'[1]资源-钻石'!P140</f>
        <v>269433923.08411831</v>
      </c>
    </row>
    <row r="141" spans="2:7" x14ac:dyDescent="0.15">
      <c r="B141" s="86">
        <v>138</v>
      </c>
      <c r="C141" s="86">
        <f>'[1]资源-钻石'!L141</f>
        <v>41979196.446030945</v>
      </c>
      <c r="D141" s="86">
        <f>'[1]资源-钻石'!M141</f>
        <v>59894873.109987818</v>
      </c>
      <c r="E141" s="86">
        <f>'[1]资源-钻石'!N141</f>
        <v>96059922.881508112</v>
      </c>
      <c r="F141" s="86">
        <f>'[1]资源-钻石'!O141</f>
        <v>213564343.30262405</v>
      </c>
      <c r="G141" s="86">
        <f>'[1]资源-钻石'!P141</f>
        <v>287525614.78077847</v>
      </c>
    </row>
    <row r="142" spans="2:7" x14ac:dyDescent="0.15">
      <c r="B142" s="86">
        <v>139</v>
      </c>
      <c r="C142" s="86">
        <f>'[1]资源-钻石'!L142</f>
        <v>44793736.274868831</v>
      </c>
      <c r="D142" s="86">
        <f>'[1]资源-钻石'!M142</f>
        <v>64004089.500927396</v>
      </c>
      <c r="E142" s="86">
        <f>'[1]资源-钻石'!N142</f>
        <v>102808270.82699633</v>
      </c>
      <c r="F142" s="86">
        <f>'[1]资源-钻石'!O142</f>
        <v>227821747.38144231</v>
      </c>
      <c r="G142" s="86">
        <f>'[1]资源-钻石'!P142</f>
        <v>306955081.46726733</v>
      </c>
    </row>
    <row r="143" spans="2:7" x14ac:dyDescent="0.15">
      <c r="B143" s="86">
        <v>140</v>
      </c>
      <c r="C143" s="86">
        <f>'[1]资源-钻石'!L143</f>
        <v>47810285.372668676</v>
      </c>
      <c r="D143" s="86">
        <f>'[1]资源-钻石'!M143</f>
        <v>68348647.109153748</v>
      </c>
      <c r="E143" s="86">
        <f>'[1]资源-钻石'!N143</f>
        <v>109564168.77379413</v>
      </c>
      <c r="F143" s="86">
        <f>'[1]资源-钻石'!O143</f>
        <v>242937778.72647399</v>
      </c>
      <c r="G143" s="86">
        <f>'[1]资源-钻石'!P143</f>
        <v>328084604.91583538</v>
      </c>
    </row>
    <row r="144" spans="2:7" x14ac:dyDescent="0.15">
      <c r="B144" s="86">
        <v>141</v>
      </c>
      <c r="C144" s="86">
        <f>'[1]资源-钻石'!L144</f>
        <v>51043342.644128293</v>
      </c>
      <c r="D144" s="86">
        <f>'[1]资源-钻石'!M144</f>
        <v>72854131.819895953</v>
      </c>
      <c r="E144" s="86">
        <f>'[1]资源-钻石'!N144</f>
        <v>116848362.97970985</v>
      </c>
      <c r="F144" s="86">
        <f>'[1]资源-钻石'!O144</f>
        <v>259925805.97412655</v>
      </c>
      <c r="G144" s="86">
        <f>'[1]资源-钻石'!P144</f>
        <v>351222185.41022617</v>
      </c>
    </row>
    <row r="145" spans="2:7" x14ac:dyDescent="0.15">
      <c r="B145" s="86">
        <v>142</v>
      </c>
      <c r="C145" s="86">
        <f>'[1]资源-钻石'!L145</f>
        <v>54508447.630538821</v>
      </c>
      <c r="D145" s="86">
        <f>'[1]资源-钻石'!M145</f>
        <v>77864714.830096498</v>
      </c>
      <c r="E145" s="86">
        <f>'[1]资源-钻石'!N145</f>
        <v>125302379.05516258</v>
      </c>
      <c r="F145" s="86">
        <f>'[1]资源-钻石'!O145</f>
        <v>279038624.92162037</v>
      </c>
      <c r="G145" s="86">
        <f>'[1]资源-钻石'!P145</f>
        <v>377172082.82340437</v>
      </c>
    </row>
    <row r="146" spans="2:7" x14ac:dyDescent="0.15">
      <c r="B146" s="86">
        <v>143</v>
      </c>
      <c r="C146" s="86">
        <f>'[1]资源-钻石'!L146</f>
        <v>58222255.199875817</v>
      </c>
      <c r="D146" s="86">
        <f>'[1]资源-钻石'!M146</f>
        <v>83329810.424338534</v>
      </c>
      <c r="E146" s="86">
        <f>'[1]资源-钻石'!N146</f>
        <v>134229939.51039585</v>
      </c>
      <c r="F146" s="86">
        <f>'[1]资源-钻石'!O146</f>
        <v>299506925.71393383</v>
      </c>
      <c r="G146" s="86">
        <f>'[1]资源-钻石'!P146</f>
        <v>405361383.65829158</v>
      </c>
    </row>
    <row r="147" spans="2:7" x14ac:dyDescent="0.15">
      <c r="B147" s="86">
        <v>144</v>
      </c>
      <c r="C147" s="86">
        <f>'[1]资源-钻石'!L147</f>
        <v>62202615.597657517</v>
      </c>
      <c r="D147" s="86">
        <f>'[1]资源-钻石'!M147</f>
        <v>89092269.498039722</v>
      </c>
      <c r="E147" s="86">
        <f>'[1]资源-钻石'!N147</f>
        <v>143769184.16262266</v>
      </c>
      <c r="F147" s="86">
        <f>'[1]资源-钻石'!O147</f>
        <v>321355978.4037751</v>
      </c>
      <c r="G147" s="86">
        <f>'[1]资源-钻石'!P147</f>
        <v>433477699.94335592</v>
      </c>
    </row>
    <row r="148" spans="2:7" x14ac:dyDescent="0.15">
      <c r="B148" s="86">
        <v>145</v>
      </c>
      <c r="C148" s="86">
        <f>'[1]资源-钻石'!L148</f>
        <v>66460953.909228235</v>
      </c>
      <c r="D148" s="86">
        <f>'[1]资源-钻石'!M148</f>
        <v>95399115.097684681</v>
      </c>
      <c r="E148" s="86">
        <f>'[1]资源-钻石'!N148</f>
        <v>154025854.6475544</v>
      </c>
      <c r="F148" s="86">
        <f>'[1]资源-钻石'!O148</f>
        <v>343601530.79847765</v>
      </c>
      <c r="G148" s="86">
        <f>'[1]资源-钻石'!P148</f>
        <v>462985035.44815344</v>
      </c>
    </row>
    <row r="149" spans="2:7" x14ac:dyDescent="0.15">
      <c r="B149" s="86">
        <v>146</v>
      </c>
      <c r="C149" s="86">
        <f>'[1]资源-钻石'!L149</f>
        <v>70934204.323786035</v>
      </c>
      <c r="D149" s="86">
        <f>'[1]资源-钻石'!M149</f>
        <v>102004466.54795414</v>
      </c>
      <c r="E149" s="86">
        <f>'[1]资源-钻石'!N149</f>
        <v>164314324.18176514</v>
      </c>
      <c r="F149" s="86">
        <f>'[1]资源-钻石'!O149</f>
        <v>366371545.85117048</v>
      </c>
      <c r="G149" s="86">
        <f>'[1]资源-钻石'!P149</f>
        <v>493893104.34400183</v>
      </c>
    </row>
    <row r="150" spans="2:7" x14ac:dyDescent="0.15">
      <c r="B150" s="86">
        <v>147</v>
      </c>
      <c r="C150" s="86">
        <f>'[1]资源-钻石'!L150</f>
        <v>75728515.409388557</v>
      </c>
      <c r="D150" s="86">
        <f>'[1]资源-钻石'!M150</f>
        <v>108756699.70273985</v>
      </c>
      <c r="E150" s="86">
        <f>'[1]资源-钻石'!N150</f>
        <v>175072890.13131616</v>
      </c>
      <c r="F150" s="86">
        <f>'[1]资源-钻石'!O150</f>
        <v>390364381.12920755</v>
      </c>
      <c r="G150" s="86">
        <f>'[1]资源-钻石'!P150</f>
        <v>527280604.8819595</v>
      </c>
    </row>
    <row r="151" spans="2:7" x14ac:dyDescent="0.15">
      <c r="B151" s="86">
        <v>148</v>
      </c>
      <c r="C151" s="86">
        <f>'[1]资源-钻石'!L151</f>
        <v>80866930.802081034</v>
      </c>
      <c r="D151" s="86">
        <f>'[1]资源-钻石'!M151</f>
        <v>116275792.76869337</v>
      </c>
      <c r="E151" s="86">
        <f>'[1]资源-钻石'!N151</f>
        <v>187507737.75645947</v>
      </c>
      <c r="F151" s="86">
        <f>'[1]资源-钻石'!O151</f>
        <v>418989061.5143469</v>
      </c>
      <c r="G151" s="86">
        <f>'[1]资源-钻石'!P151</f>
        <v>565145693.10666561</v>
      </c>
    </row>
    <row r="152" spans="2:7" x14ac:dyDescent="0.15">
      <c r="B152" s="86">
        <v>149</v>
      </c>
      <c r="C152" s="86">
        <f>'[1]资源-钻石'!L152</f>
        <v>86374148.059456855</v>
      </c>
      <c r="D152" s="86">
        <f>'[1]资源-钻石'!M152</f>
        <v>124322990.40684396</v>
      </c>
      <c r="E152" s="86">
        <f>'[1]资源-钻石'!N152</f>
        <v>200901824.47019178</v>
      </c>
      <c r="F152" s="86">
        <f>'[1]资源-钻石'!O152</f>
        <v>449075840.52126032</v>
      </c>
      <c r="G152" s="86">
        <f>'[1]资源-钻石'!P152</f>
        <v>605981757.8834312</v>
      </c>
    </row>
    <row r="153" spans="2:7" x14ac:dyDescent="0.15">
      <c r="B153" s="86">
        <v>150</v>
      </c>
      <c r="C153" s="86">
        <f>'[1]资源-钻石'!L153</f>
        <v>92276637.36833404</v>
      </c>
      <c r="D153" s="86">
        <f>'[1]资源-钻石'!M153</f>
        <v>132919399.23072517</v>
      </c>
      <c r="E153" s="86">
        <f>'[1]资源-钻石'!N153</f>
        <v>215112207.14432383</v>
      </c>
      <c r="F153" s="86">
        <f>'[1]资源-钻石'!O153</f>
        <v>481342203.03059143</v>
      </c>
      <c r="G153" s="86">
        <f>'[1]资源-钻石'!P153</f>
        <v>651563703.70137095</v>
      </c>
    </row>
    <row r="154" spans="2:7" x14ac:dyDescent="0.15">
      <c r="B154" s="86">
        <v>151</v>
      </c>
      <c r="C154" s="86">
        <f>'[1]资源-钻石'!L154</f>
        <v>98602768.772492707</v>
      </c>
      <c r="D154" s="86">
        <f>'[1]资源-钻石'!M154</f>
        <v>142197965.99100167</v>
      </c>
      <c r="E154" s="86">
        <f>'[1]资源-钻石'!N154</f>
        <v>230440197.66468024</v>
      </c>
      <c r="F154" s="86">
        <f>'[1]资源-钻石'!O154</f>
        <v>518095965.48027289</v>
      </c>
      <c r="G154" s="86">
        <f>'[1]资源-钻石'!P154</f>
        <v>709034303.99197984</v>
      </c>
    </row>
    <row r="155" spans="2:7" x14ac:dyDescent="0.15">
      <c r="B155" s="86">
        <v>152</v>
      </c>
      <c r="C155" s="86">
        <f>'[1]资源-钻石'!L155</f>
        <v>105382948.53198764</v>
      </c>
      <c r="D155" s="86">
        <f>'[1]资源-钻石'!M155</f>
        <v>152042403.29731771</v>
      </c>
      <c r="E155" s="86">
        <f>'[1]资源-钻石'!N155</f>
        <v>247950656.43083337</v>
      </c>
      <c r="F155" s="86">
        <f>'[1]资源-钻石'!O155</f>
        <v>562504054.91756916</v>
      </c>
      <c r="G155" s="86">
        <f>'[1]资源-钻石'!P155</f>
        <v>1098419216.0039763</v>
      </c>
    </row>
    <row r="156" spans="2:7" x14ac:dyDescent="0.15">
      <c r="B156" s="86">
        <v>153</v>
      </c>
      <c r="C156" s="86">
        <f>'[1]资源-钻石'!L156</f>
        <v>112649765.26944001</v>
      </c>
      <c r="D156" s="86">
        <f>'[1]资源-钻石'!M156</f>
        <v>163807280.17162213</v>
      </c>
      <c r="E156" s="86">
        <f>'[1]资源-钻石'!N156</f>
        <v>268278110.71782511</v>
      </c>
      <c r="F156" s="86">
        <f>'[1]资源-钻石'!O156</f>
        <v>744522404.74258518</v>
      </c>
      <c r="G156" s="86">
        <f>'[1]资源-钻石'!P156</f>
        <v>1880536848.1282055</v>
      </c>
    </row>
    <row r="157" spans="2:7" x14ac:dyDescent="0.15">
      <c r="B157" s="86">
        <v>154</v>
      </c>
      <c r="C157" s="86">
        <f>'[1]资源-钻石'!L157</f>
        <v>120438146.60575587</v>
      </c>
      <c r="D157" s="86">
        <f>'[1]资源-钻石'!M157</f>
        <v>176039881.47491232</v>
      </c>
      <c r="E157" s="86">
        <f>'[1]资源-钻石'!N157</f>
        <v>329311182.25354558</v>
      </c>
      <c r="F157" s="86">
        <f>'[1]资源-钻石'!O157</f>
        <v>1048366425.5557858</v>
      </c>
      <c r="G157" s="86">
        <f>'[1]资源-钻石'!P157</f>
        <v>2651221534.3012562</v>
      </c>
    </row>
    <row r="158" spans="2:7" x14ac:dyDescent="0.15">
      <c r="B158" s="86">
        <v>155</v>
      </c>
      <c r="C158" s="86">
        <f>'[1]资源-钻石'!L158</f>
        <v>128772171.47289588</v>
      </c>
      <c r="D158" s="86">
        <f>'[1]资源-钻石'!M158</f>
        <v>209027559.51887181</v>
      </c>
      <c r="E158" s="86">
        <f>'[1]资源-钻石'!N158</f>
        <v>429274091.88127488</v>
      </c>
      <c r="F158" s="86">
        <f>'[1]资源-钻石'!O158</f>
        <v>1361178391.8983619</v>
      </c>
      <c r="G158" s="86">
        <f>'[1]资源-钻石'!P158</f>
        <v>3455418395.3409452</v>
      </c>
    </row>
    <row r="159" spans="2:7" x14ac:dyDescent="0.15">
      <c r="B159" s="86">
        <v>156</v>
      </c>
      <c r="C159" s="86">
        <f>'[1]资源-钻石'!L159</f>
        <v>137547788.35663012</v>
      </c>
      <c r="D159" s="86">
        <f>'[1]资源-钻石'!M159</f>
        <v>234743967.95066649</v>
      </c>
      <c r="E159" s="86">
        <f>'[1]资源-钻石'!N159</f>
        <v>484052633.85409045</v>
      </c>
      <c r="F159" s="86">
        <f>'[1]资源-钻石'!O159</f>
        <v>1536744389.5671546</v>
      </c>
      <c r="G159" s="86">
        <f>'[1]资源-钻石'!P159</f>
        <v>3901895010.8805704</v>
      </c>
    </row>
    <row r="160" spans="2:7" x14ac:dyDescent="0.15">
      <c r="B160" s="86">
        <v>157</v>
      </c>
      <c r="C160" s="86">
        <f>'[1]资源-钻石'!L160</f>
        <v>146953261.65000191</v>
      </c>
      <c r="D160" s="86">
        <f>'[1]资源-钻石'!M160</f>
        <v>251078806.53497377</v>
      </c>
      <c r="E160" s="86">
        <f>'[1]资源-钻石'!N160</f>
        <v>518229710.79547375</v>
      </c>
      <c r="F160" s="86">
        <f>'[1]资源-钻石'!O160</f>
        <v>1646419589.0521469</v>
      </c>
      <c r="G160" s="86">
        <f>'[1]资源-钻石'!P160</f>
        <v>4168907237.9799809</v>
      </c>
    </row>
    <row r="161" spans="2:7" x14ac:dyDescent="0.15">
      <c r="B161" s="86">
        <v>158</v>
      </c>
      <c r="C161" s="86">
        <f>'[1]资源-钻石'!L161</f>
        <v>157033798.3284319</v>
      </c>
      <c r="D161" s="86">
        <f>'[1]资源-钻石'!M161</f>
        <v>268586053.04444873</v>
      </c>
      <c r="E161" s="86">
        <f>'[1]资源-钻石'!N161</f>
        <v>554859794.88831043</v>
      </c>
      <c r="F161" s="86">
        <f>'[1]资源-钻石'!O161</f>
        <v>1763966557.3585384</v>
      </c>
      <c r="G161" s="86">
        <f>'[1]资源-钻石'!P161</f>
        <v>4467438110.0798645</v>
      </c>
    </row>
    <row r="162" spans="2:7" x14ac:dyDescent="0.15">
      <c r="B162" s="86">
        <v>159</v>
      </c>
      <c r="C162" s="86">
        <f>'[1]资源-钻石'!L162</f>
        <v>167837850.02849692</v>
      </c>
      <c r="D162" s="86">
        <f>'[1]资源-钻石'!M162</f>
        <v>287349855.2553851</v>
      </c>
      <c r="E162" s="86">
        <f>'[1]资源-钻石'!N162</f>
        <v>594118946.94948554</v>
      </c>
      <c r="F162" s="86">
        <f>'[1]资源-钻石'!O162</f>
        <v>1889950278.5909238</v>
      </c>
      <c r="G162" s="86">
        <f>'[1]资源-钻石'!P162</f>
        <v>4787395576.5443373</v>
      </c>
    </row>
    <row r="163" spans="2:7" x14ac:dyDescent="0.15">
      <c r="B163" s="86">
        <v>160</v>
      </c>
      <c r="C163" s="86">
        <f>'[1]资源-钻石'!L163</f>
        <v>179417345.92849648</v>
      </c>
      <c r="D163" s="86">
        <f>'[1]资源-钻石'!M163</f>
        <v>307460400.52134615</v>
      </c>
      <c r="E163" s="86">
        <f>'[1]资源-钻石'!N163</f>
        <v>636195864.29032934</v>
      </c>
      <c r="F163" s="86">
        <f>'[1]资源-钻石'!O163</f>
        <v>2024976287.7193623</v>
      </c>
      <c r="G163" s="86">
        <f>'[1]资源-钻石'!P163</f>
        <v>5130317498.2412987</v>
      </c>
    </row>
  </sheetData>
  <mergeCells count="1">
    <mergeCell ref="B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E08C4-54F0-467F-97F5-4E6F28C802D8}">
  <sheetPr codeName="Sheet5"/>
  <dimension ref="C3:W105"/>
  <sheetViews>
    <sheetView workbookViewId="0">
      <selection activeCell="S26" sqref="S26"/>
    </sheetView>
  </sheetViews>
  <sheetFormatPr defaultRowHeight="11.25" x14ac:dyDescent="0.15"/>
  <cols>
    <col min="1" max="2" width="9" style="9"/>
    <col min="3" max="3" width="10.5" style="9" bestFit="1" customWidth="1"/>
    <col min="4" max="4" width="10.5" style="9" customWidth="1"/>
    <col min="5" max="5" width="8.25" style="58" bestFit="1" customWidth="1"/>
    <col min="6" max="6" width="10.5" style="58" customWidth="1"/>
    <col min="7" max="7" width="9" style="9"/>
    <col min="8" max="8" width="10.5" style="9" bestFit="1" customWidth="1"/>
    <col min="9" max="13" width="5.25" style="58" bestFit="1" customWidth="1"/>
    <col min="14" max="23" width="5.25" style="65" bestFit="1" customWidth="1"/>
    <col min="24" max="16384" width="9" style="9"/>
  </cols>
  <sheetData>
    <row r="3" spans="3:23" x14ac:dyDescent="0.15">
      <c r="E3" s="9"/>
      <c r="F3" s="9"/>
    </row>
    <row r="4" spans="3:23" x14ac:dyDescent="0.15">
      <c r="E4" s="9"/>
      <c r="F4" s="9"/>
    </row>
    <row r="8" spans="3:23" x14ac:dyDescent="0.15">
      <c r="C8" s="9" t="s">
        <v>0</v>
      </c>
      <c r="I8" s="122" t="s">
        <v>136</v>
      </c>
      <c r="J8" s="122"/>
      <c r="K8" s="122"/>
      <c r="L8" s="122"/>
      <c r="M8" s="122"/>
      <c r="N8" s="122" t="s">
        <v>156</v>
      </c>
      <c r="O8" s="122"/>
      <c r="P8" s="122"/>
      <c r="Q8" s="122"/>
      <c r="R8" s="122"/>
      <c r="S8" s="122" t="s">
        <v>158</v>
      </c>
      <c r="T8" s="122"/>
      <c r="U8" s="122"/>
      <c r="V8" s="122"/>
      <c r="W8" s="122"/>
    </row>
    <row r="9" spans="3:23" x14ac:dyDescent="0.15">
      <c r="C9" s="9" t="s">
        <v>21</v>
      </c>
      <c r="D9" s="9" t="s">
        <v>121</v>
      </c>
      <c r="E9" s="58" t="s">
        <v>122</v>
      </c>
      <c r="F9" s="58" t="s">
        <v>103</v>
      </c>
      <c r="G9" s="9" t="s">
        <v>134</v>
      </c>
      <c r="H9" s="9" t="s">
        <v>135</v>
      </c>
      <c r="I9" s="58" t="s">
        <v>104</v>
      </c>
      <c r="J9" s="58" t="s">
        <v>105</v>
      </c>
      <c r="K9" s="58" t="s">
        <v>106</v>
      </c>
      <c r="L9" s="58" t="s">
        <v>107</v>
      </c>
      <c r="M9" s="58" t="s">
        <v>108</v>
      </c>
      <c r="N9" s="65" t="s">
        <v>104</v>
      </c>
      <c r="O9" s="65" t="s">
        <v>105</v>
      </c>
      <c r="P9" s="65" t="s">
        <v>106</v>
      </c>
      <c r="Q9" s="65" t="s">
        <v>107</v>
      </c>
      <c r="R9" s="65" t="s">
        <v>108</v>
      </c>
      <c r="S9" s="65" t="s">
        <v>104</v>
      </c>
      <c r="T9" s="65" t="s">
        <v>105</v>
      </c>
      <c r="U9" s="65" t="s">
        <v>106</v>
      </c>
      <c r="V9" s="65" t="s">
        <v>107</v>
      </c>
      <c r="W9" s="65" t="s">
        <v>108</v>
      </c>
    </row>
    <row r="10" spans="3:23" x14ac:dyDescent="0.15">
      <c r="C10" s="9">
        <v>1</v>
      </c>
      <c r="D10" s="57">
        <f>[2]升级建筑所需大殿等级!AR6</f>
        <v>16</v>
      </c>
      <c r="E10" s="58">
        <f>求节点(节奏总纲!$Z$4:$Z$83,节奏总纲!AA$4:AA$83,$D10)</f>
        <v>2.5387719203926467</v>
      </c>
      <c r="F10" s="58">
        <f>求节点(节奏总纲!D$4:D$163,节奏总纲!$C$4:$C$163,E10)</f>
        <v>18.226342304552581</v>
      </c>
      <c r="G10" s="9">
        <v>1</v>
      </c>
      <c r="H10" s="66">
        <v>3</v>
      </c>
      <c r="I10" s="115">
        <v>1</v>
      </c>
      <c r="S10" s="75">
        <v>1</v>
      </c>
      <c r="T10" s="75">
        <v>1</v>
      </c>
      <c r="U10" s="75">
        <v>1</v>
      </c>
      <c r="V10" s="75">
        <v>1</v>
      </c>
      <c r="W10" s="75">
        <v>1</v>
      </c>
    </row>
    <row r="11" spans="3:23" x14ac:dyDescent="0.15">
      <c r="C11" s="9">
        <v>2</v>
      </c>
      <c r="D11" s="57">
        <f>[2]升级建筑所需大殿等级!AR7</f>
        <v>19.5</v>
      </c>
      <c r="E11" s="58">
        <f>求节点(节奏总纲!$Z$4:$Z$83,节奏总纲!AA$4:AA$83,$D11)</f>
        <v>4.8228975321654577</v>
      </c>
      <c r="F11" s="58">
        <f>求节点(节奏总纲!D$4:D$163,节奏总纲!$C$4:$C$163,E11)</f>
        <v>25.408961498441148</v>
      </c>
      <c r="G11" s="9">
        <v>2</v>
      </c>
      <c r="H11" s="66">
        <v>6</v>
      </c>
      <c r="I11" s="115">
        <v>1</v>
      </c>
      <c r="S11" s="75">
        <v>1</v>
      </c>
      <c r="T11" s="75">
        <v>1</v>
      </c>
      <c r="U11" s="75">
        <v>1</v>
      </c>
      <c r="V11" s="75">
        <v>1</v>
      </c>
      <c r="W11" s="75">
        <v>1</v>
      </c>
    </row>
    <row r="12" spans="3:23" x14ac:dyDescent="0.15">
      <c r="C12" s="9">
        <v>3</v>
      </c>
      <c r="D12" s="57">
        <f>[2]升级建筑所需大殿等级!AR8</f>
        <v>23.5</v>
      </c>
      <c r="E12" s="58">
        <f>求节点(节奏总纲!$Z$4:$Z$83,节奏总纲!AA$4:AA$83,$D12)</f>
        <v>9.6550138771594227</v>
      </c>
      <c r="F12" s="58">
        <f>求节点(节奏总纲!D$4:D$163,节奏总纲!$C$4:$C$163,E12)</f>
        <v>34.130602806306101</v>
      </c>
      <c r="G12" s="9">
        <v>3</v>
      </c>
      <c r="H12" s="66">
        <v>9</v>
      </c>
      <c r="I12" s="115">
        <v>1</v>
      </c>
      <c r="S12" s="75">
        <v>1</v>
      </c>
      <c r="T12" s="75">
        <v>1</v>
      </c>
      <c r="U12" s="75">
        <v>1</v>
      </c>
      <c r="V12" s="75">
        <v>1</v>
      </c>
      <c r="W12" s="75">
        <v>1</v>
      </c>
    </row>
    <row r="13" spans="3:23" x14ac:dyDescent="0.15">
      <c r="C13" s="9">
        <v>4</v>
      </c>
      <c r="D13" s="57">
        <f>[2]升级建筑所需大殿等级!AR9</f>
        <v>27.5</v>
      </c>
      <c r="E13" s="58">
        <f>求节点(节奏总纲!$Z$4:$Z$83,节奏总纲!AA$4:AA$83,$D13)</f>
        <v>18.870223137985384</v>
      </c>
      <c r="F13" s="58">
        <f>求节点(节奏总纲!D$4:D$163,节奏总纲!$C$4:$C$163,E13)</f>
        <v>43.121594697945582</v>
      </c>
      <c r="G13" s="9">
        <v>4</v>
      </c>
      <c r="H13" s="66">
        <v>12</v>
      </c>
      <c r="I13" s="115">
        <v>0.5</v>
      </c>
      <c r="J13" s="115">
        <v>0.5</v>
      </c>
      <c r="O13" s="115"/>
      <c r="S13" s="75">
        <v>1</v>
      </c>
      <c r="T13" s="75">
        <v>2</v>
      </c>
      <c r="U13" s="75">
        <v>1</v>
      </c>
      <c r="V13" s="75">
        <v>1</v>
      </c>
      <c r="W13" s="75">
        <v>1</v>
      </c>
    </row>
    <row r="14" spans="3:23" x14ac:dyDescent="0.15">
      <c r="C14" s="9">
        <v>5</v>
      </c>
      <c r="D14" s="57">
        <f>[2]升级建筑所需大殿等级!AR10</f>
        <v>31.5</v>
      </c>
      <c r="E14" s="58">
        <f>求节点(节奏总纲!$Z$4:$Z$83,节奏总纲!AA$4:AA$83,$D14)</f>
        <v>36.28923876358067</v>
      </c>
      <c r="F14" s="58">
        <f>求节点(节奏总纲!D$4:D$163,节奏总纲!$C$4:$C$163,E14)</f>
        <v>52.20122679843417</v>
      </c>
      <c r="G14" s="9">
        <v>5</v>
      </c>
      <c r="H14" s="66">
        <v>15</v>
      </c>
      <c r="J14" s="115">
        <v>0.5</v>
      </c>
      <c r="K14" s="115">
        <v>0.5</v>
      </c>
      <c r="O14" s="115"/>
      <c r="S14" s="75">
        <v>1</v>
      </c>
      <c r="T14" s="75">
        <v>3</v>
      </c>
      <c r="U14" s="75">
        <v>1</v>
      </c>
      <c r="V14" s="75">
        <v>1</v>
      </c>
      <c r="W14" s="75">
        <v>1</v>
      </c>
    </row>
    <row r="15" spans="3:23" x14ac:dyDescent="0.15">
      <c r="C15" s="9">
        <v>6</v>
      </c>
      <c r="D15" s="57">
        <f>[2]升级建筑所需大殿等级!AR11</f>
        <v>35.5</v>
      </c>
      <c r="E15" s="58">
        <f>求节点(节奏总纲!$Z$4:$Z$83,节奏总纲!AA$4:AA$83,$D15)</f>
        <v>68.623430833504159</v>
      </c>
      <c r="F15" s="58">
        <f>求节点(节奏总纲!D$4:D$163,节奏总纲!$C$4:$C$163,E15)</f>
        <v>61.20919943756077</v>
      </c>
      <c r="G15" s="9">
        <v>6</v>
      </c>
      <c r="H15" s="66">
        <v>18</v>
      </c>
      <c r="K15" s="58">
        <v>1</v>
      </c>
      <c r="O15" s="65">
        <v>1</v>
      </c>
      <c r="S15" s="75">
        <v>1</v>
      </c>
      <c r="T15" s="75">
        <v>3</v>
      </c>
      <c r="U15" s="75">
        <v>1</v>
      </c>
      <c r="V15" s="75">
        <v>1</v>
      </c>
      <c r="W15" s="75">
        <v>1</v>
      </c>
    </row>
    <row r="16" spans="3:23" x14ac:dyDescent="0.15">
      <c r="C16" s="9">
        <v>7</v>
      </c>
      <c r="D16" s="57">
        <f>[2]升级建筑所需大殿等级!AR12</f>
        <v>39.5</v>
      </c>
      <c r="E16" s="58">
        <f>求节点(节奏总纲!$Z$4:$Z$83,节奏总纲!AA$4:AA$83,$D16)</f>
        <v>124.62134549299002</v>
      </c>
      <c r="F16" s="58">
        <f>求节点(节奏总纲!D$4:D$163,节奏总纲!$C$4:$C$163,E16)</f>
        <v>69.722501590522299</v>
      </c>
      <c r="G16" s="9">
        <v>7</v>
      </c>
      <c r="H16" s="66">
        <v>21</v>
      </c>
      <c r="K16" s="58">
        <v>0.75</v>
      </c>
      <c r="L16" s="58">
        <v>0.25</v>
      </c>
      <c r="O16" s="65">
        <v>1</v>
      </c>
      <c r="P16" s="96">
        <v>0.5</v>
      </c>
      <c r="S16" s="75">
        <v>1</v>
      </c>
      <c r="T16" s="75">
        <v>3</v>
      </c>
      <c r="U16" s="75">
        <v>2</v>
      </c>
      <c r="V16" s="75">
        <v>1</v>
      </c>
      <c r="W16" s="75">
        <v>1</v>
      </c>
    </row>
    <row r="17" spans="3:23" x14ac:dyDescent="0.15">
      <c r="C17" s="9">
        <v>8</v>
      </c>
      <c r="D17" s="57">
        <f>[2]升级建筑所需大殿等级!AR13</f>
        <v>43.5</v>
      </c>
      <c r="E17" s="58">
        <f>求节点(节奏总纲!$Z$4:$Z$83,节奏总纲!AA$4:AA$83,$D17)</f>
        <v>225.68304366827394</v>
      </c>
      <c r="F17" s="58">
        <f>求节点(节奏总纲!D$4:D$163,节奏总纲!$C$4:$C$163,E17)</f>
        <v>78.238948396428512</v>
      </c>
      <c r="G17" s="9">
        <v>8</v>
      </c>
      <c r="H17" s="66">
        <v>24</v>
      </c>
      <c r="K17" s="58">
        <v>0.5</v>
      </c>
      <c r="L17" s="58">
        <v>0.5</v>
      </c>
      <c r="O17" s="65">
        <v>1</v>
      </c>
      <c r="P17" s="96">
        <v>1</v>
      </c>
      <c r="S17" s="75">
        <v>1</v>
      </c>
      <c r="T17" s="75">
        <v>3</v>
      </c>
      <c r="U17" s="75">
        <v>2</v>
      </c>
      <c r="V17" s="75">
        <v>1</v>
      </c>
      <c r="W17" s="75">
        <v>1</v>
      </c>
    </row>
    <row r="18" spans="3:23" x14ac:dyDescent="0.15">
      <c r="C18" s="9">
        <v>9</v>
      </c>
      <c r="D18" s="57">
        <f>[2]升级建筑所需大殿等级!AR14</f>
        <v>47.5</v>
      </c>
      <c r="E18" s="58">
        <f>求节点(节奏总纲!$Z$4:$Z$83,节奏总纲!AA$4:AA$83,$D18)</f>
        <v>407.83539826846607</v>
      </c>
      <c r="F18" s="58">
        <f>求节点(节奏总纲!D$4:D$163,节奏总纲!$C$4:$C$163,E18)</f>
        <v>86.747293257864058</v>
      </c>
      <c r="G18" s="9">
        <v>9</v>
      </c>
      <c r="H18" s="66">
        <v>27</v>
      </c>
      <c r="K18" s="58">
        <v>0.25</v>
      </c>
      <c r="L18" s="58">
        <v>0.75</v>
      </c>
      <c r="O18" s="65">
        <v>1</v>
      </c>
      <c r="P18" s="96">
        <v>1</v>
      </c>
      <c r="S18" s="75">
        <v>1</v>
      </c>
      <c r="T18" s="75">
        <v>3</v>
      </c>
      <c r="U18" s="75">
        <v>3</v>
      </c>
      <c r="V18" s="75">
        <v>1</v>
      </c>
      <c r="W18" s="75">
        <v>1</v>
      </c>
    </row>
    <row r="19" spans="3:23" x14ac:dyDescent="0.15">
      <c r="C19" s="9">
        <v>10</v>
      </c>
      <c r="D19" s="57">
        <f>[2]升级建筑所需大殿等级!AR15</f>
        <v>52</v>
      </c>
      <c r="E19" s="58">
        <f>求节点(节奏总纲!$Z$4:$Z$83,节奏总纲!AA$4:AA$83,$D19)</f>
        <v>789.85301886939453</v>
      </c>
      <c r="F19" s="58">
        <f>求节点(节奏总纲!D$4:D$163,节奏总纲!$C$4:$C$163,E19)</f>
        <v>96.265821375882837</v>
      </c>
      <c r="G19" s="9">
        <v>10</v>
      </c>
      <c r="H19" s="66">
        <v>30</v>
      </c>
      <c r="L19" s="58">
        <v>1</v>
      </c>
      <c r="O19" s="65">
        <v>1</v>
      </c>
      <c r="P19" s="96">
        <v>1</v>
      </c>
      <c r="S19" s="75">
        <v>1</v>
      </c>
      <c r="T19" s="75">
        <v>3</v>
      </c>
      <c r="U19" s="75">
        <v>3</v>
      </c>
      <c r="V19" s="75">
        <v>2</v>
      </c>
      <c r="W19" s="75">
        <v>2</v>
      </c>
    </row>
    <row r="20" spans="3:23" x14ac:dyDescent="0.15">
      <c r="C20" s="9">
        <v>11</v>
      </c>
      <c r="D20" s="57">
        <f>[2]升级建筑所需大殿等级!AR16</f>
        <v>57</v>
      </c>
      <c r="E20" s="58">
        <f>求节点(节奏总纲!$Z$4:$Z$83,节奏总纲!AA$4:AA$83,$D20)</f>
        <v>1647.8248427703616</v>
      </c>
      <c r="F20" s="58">
        <f>求节点(节奏总纲!D$4:D$163,节奏总纲!$C$4:$C$163,E20)</f>
        <v>106.86832874572353</v>
      </c>
      <c r="G20" s="9">
        <v>11</v>
      </c>
      <c r="H20" s="66">
        <v>30</v>
      </c>
      <c r="L20" s="58">
        <v>0.8</v>
      </c>
      <c r="M20" s="58">
        <v>0.2</v>
      </c>
      <c r="O20" s="65">
        <v>1</v>
      </c>
      <c r="P20" s="65">
        <v>1</v>
      </c>
      <c r="Q20" s="96">
        <v>0.5</v>
      </c>
      <c r="S20" s="75">
        <v>1</v>
      </c>
      <c r="T20" s="75">
        <v>3</v>
      </c>
      <c r="U20" s="75">
        <v>3</v>
      </c>
      <c r="V20" s="75">
        <v>2</v>
      </c>
      <c r="W20" s="75">
        <v>2</v>
      </c>
    </row>
    <row r="21" spans="3:23" x14ac:dyDescent="0.15">
      <c r="C21" s="9">
        <v>12</v>
      </c>
      <c r="D21" s="57">
        <f>[2]升级建筑所需大殿等级!AR17</f>
        <v>62</v>
      </c>
      <c r="E21" s="58">
        <f>求节点(节奏总纲!$Z$4:$Z$83,节奏总纲!AA$4:AA$83,$D21)</f>
        <v>3431.3522956038646</v>
      </c>
      <c r="F21" s="58">
        <f>求节点(节奏总纲!D$4:D$163,节奏总纲!$C$4:$C$163,E21)</f>
        <v>117.44125295293078</v>
      </c>
      <c r="G21" s="9">
        <v>12</v>
      </c>
      <c r="H21" s="66">
        <v>30</v>
      </c>
      <c r="L21" s="96">
        <v>0.6</v>
      </c>
      <c r="M21" s="58">
        <v>0.4</v>
      </c>
      <c r="O21" s="65">
        <v>1</v>
      </c>
      <c r="P21" s="65">
        <v>1</v>
      </c>
      <c r="Q21" s="96">
        <v>1</v>
      </c>
      <c r="S21" s="75">
        <v>1</v>
      </c>
      <c r="T21" s="75">
        <v>3</v>
      </c>
      <c r="U21" s="75">
        <v>3</v>
      </c>
      <c r="V21" s="75">
        <v>2</v>
      </c>
      <c r="W21" s="75">
        <v>2</v>
      </c>
    </row>
    <row r="22" spans="3:23" x14ac:dyDescent="0.15">
      <c r="C22" s="9">
        <v>13</v>
      </c>
      <c r="D22" s="57">
        <f>[2]升级建筑所需大殿等级!AR18</f>
        <v>67</v>
      </c>
      <c r="E22" s="58">
        <f>求节点(节奏总纲!$Z$4:$Z$83,节奏总纲!AA$4:AA$83,$D22)</f>
        <v>7133.5498113340191</v>
      </c>
      <c r="F22" s="58">
        <f>求节点(节奏总纲!D$4:D$163,节奏总纲!$C$4:$C$163,E22)</f>
        <v>128.00586023511804</v>
      </c>
      <c r="G22" s="9">
        <v>13</v>
      </c>
      <c r="H22" s="66">
        <v>30</v>
      </c>
      <c r="L22" s="96">
        <v>0.4</v>
      </c>
      <c r="M22" s="96">
        <v>0.6</v>
      </c>
      <c r="O22" s="65">
        <v>1</v>
      </c>
      <c r="P22" s="65">
        <v>1</v>
      </c>
      <c r="Q22" s="96">
        <v>1.5</v>
      </c>
      <c r="S22" s="75">
        <v>1</v>
      </c>
      <c r="T22" s="75">
        <v>3</v>
      </c>
      <c r="U22" s="75">
        <v>3</v>
      </c>
      <c r="V22" s="75">
        <v>2</v>
      </c>
      <c r="W22" s="75">
        <v>2</v>
      </c>
    </row>
    <row r="23" spans="3:23" x14ac:dyDescent="0.15">
      <c r="C23" s="9">
        <v>14</v>
      </c>
      <c r="D23" s="57">
        <f>[2]升级建筑所需大殿等级!AR19</f>
        <v>72</v>
      </c>
      <c r="E23" s="58">
        <f>求节点(节奏总纲!$Z$4:$Z$83,节奏总纲!AA$4:AA$83,$D23)</f>
        <v>14808.205062920617</v>
      </c>
      <c r="F23" s="58">
        <f>求节点(节奏总纲!D$4:D$163,节奏总纲!$C$4:$C$163,E23)</f>
        <v>138.53345528648683</v>
      </c>
      <c r="G23" s="9">
        <v>14</v>
      </c>
      <c r="H23" s="66">
        <v>30</v>
      </c>
      <c r="L23" s="96">
        <v>0.2</v>
      </c>
      <c r="M23" s="96">
        <v>0.8</v>
      </c>
      <c r="O23" s="65">
        <v>1</v>
      </c>
      <c r="P23" s="65">
        <v>1</v>
      </c>
      <c r="Q23" s="96">
        <v>2</v>
      </c>
      <c r="S23" s="75">
        <v>1</v>
      </c>
      <c r="T23" s="75">
        <v>3</v>
      </c>
      <c r="U23" s="75">
        <v>3</v>
      </c>
      <c r="V23" s="75">
        <v>3</v>
      </c>
      <c r="W23" s="75">
        <v>3</v>
      </c>
    </row>
    <row r="24" spans="3:23" x14ac:dyDescent="0.15">
      <c r="C24" s="9">
        <v>15</v>
      </c>
      <c r="D24" s="57">
        <f>[2]升级建筑所需大殿等级!AR20</f>
        <v>77</v>
      </c>
      <c r="E24" s="58">
        <f>求节点(节奏总纲!$Z$4:$Z$83,节奏总纲!AA$4:AA$83,$D24)</f>
        <v>30698.011006346387</v>
      </c>
      <c r="F24" s="58">
        <f>求节点(节奏总纲!D$4:D$163,节奏总纲!$C$4:$C$163,E24)</f>
        <v>149.05713970651243</v>
      </c>
      <c r="G24" s="9">
        <v>15</v>
      </c>
      <c r="H24" s="66">
        <v>30</v>
      </c>
      <c r="L24" s="96"/>
      <c r="M24" s="96">
        <v>1</v>
      </c>
      <c r="O24" s="65">
        <v>1</v>
      </c>
      <c r="P24" s="65">
        <v>1</v>
      </c>
      <c r="Q24" s="96">
        <v>2</v>
      </c>
      <c r="S24" s="75">
        <v>1</v>
      </c>
      <c r="T24" s="75">
        <v>3</v>
      </c>
      <c r="U24" s="75">
        <v>3</v>
      </c>
      <c r="V24" s="75">
        <v>3</v>
      </c>
      <c r="W24" s="75">
        <v>3</v>
      </c>
    </row>
    <row r="25" spans="3:23" x14ac:dyDescent="0.15">
      <c r="C25" s="9">
        <v>16</v>
      </c>
      <c r="D25" s="57">
        <f>[2]升级建筑所需大殿等级!AR21</f>
        <v>80</v>
      </c>
      <c r="E25" s="58">
        <f>求节点(节奏总纲!$Z$4:$Z$83,节奏总纲!AA$4:AA$83,$D25)</f>
        <v>47512.875</v>
      </c>
      <c r="F25" s="58">
        <f>求节点(节奏总纲!D$4:D$163,节奏总纲!$C$4:$C$163,E25)</f>
        <v>155.35264798579232</v>
      </c>
      <c r="G25" s="9">
        <v>16</v>
      </c>
      <c r="H25" s="66">
        <v>30</v>
      </c>
      <c r="L25" s="96"/>
      <c r="M25" s="96">
        <v>1</v>
      </c>
      <c r="O25" s="65">
        <v>1</v>
      </c>
      <c r="P25" s="65">
        <v>1</v>
      </c>
      <c r="Q25" s="96">
        <v>2</v>
      </c>
      <c r="R25" s="65">
        <v>0.5</v>
      </c>
      <c r="S25" s="75">
        <v>1</v>
      </c>
      <c r="T25" s="75">
        <v>3</v>
      </c>
      <c r="U25" s="75">
        <v>3</v>
      </c>
      <c r="V25" s="75">
        <v>3</v>
      </c>
      <c r="W25" s="75">
        <v>3</v>
      </c>
    </row>
    <row r="28" spans="3:23" x14ac:dyDescent="0.15">
      <c r="C28" s="9" t="s">
        <v>1</v>
      </c>
      <c r="I28" s="122" t="s">
        <v>136</v>
      </c>
      <c r="J28" s="122"/>
      <c r="K28" s="122"/>
      <c r="L28" s="122"/>
      <c r="M28" s="122"/>
      <c r="N28" s="122" t="s">
        <v>156</v>
      </c>
      <c r="O28" s="122"/>
      <c r="P28" s="122"/>
      <c r="Q28" s="122"/>
      <c r="R28" s="122"/>
      <c r="S28" s="122" t="s">
        <v>158</v>
      </c>
      <c r="T28" s="122"/>
      <c r="U28" s="122"/>
      <c r="V28" s="122"/>
      <c r="W28" s="122"/>
    </row>
    <row r="29" spans="3:23" x14ac:dyDescent="0.15">
      <c r="C29" s="9" t="s">
        <v>21</v>
      </c>
      <c r="D29" s="9" t="s">
        <v>121</v>
      </c>
      <c r="E29" s="58" t="s">
        <v>122</v>
      </c>
      <c r="F29" s="58" t="s">
        <v>103</v>
      </c>
      <c r="G29" s="9" t="s">
        <v>134</v>
      </c>
      <c r="H29" s="9" t="s">
        <v>135</v>
      </c>
      <c r="I29" s="58" t="s">
        <v>104</v>
      </c>
      <c r="J29" s="58" t="s">
        <v>105</v>
      </c>
      <c r="K29" s="58" t="s">
        <v>106</v>
      </c>
      <c r="L29" s="58" t="s">
        <v>107</v>
      </c>
      <c r="M29" s="58" t="s">
        <v>108</v>
      </c>
      <c r="N29" s="65" t="s">
        <v>104</v>
      </c>
      <c r="O29" s="65" t="s">
        <v>105</v>
      </c>
      <c r="P29" s="65" t="s">
        <v>106</v>
      </c>
      <c r="Q29" s="65" t="s">
        <v>107</v>
      </c>
      <c r="R29" s="65" t="s">
        <v>108</v>
      </c>
      <c r="S29" s="65" t="s">
        <v>104</v>
      </c>
      <c r="T29" s="65" t="s">
        <v>105</v>
      </c>
      <c r="U29" s="65" t="s">
        <v>106</v>
      </c>
      <c r="V29" s="65" t="s">
        <v>107</v>
      </c>
      <c r="W29" s="65" t="s">
        <v>108</v>
      </c>
    </row>
    <row r="30" spans="3:23" x14ac:dyDescent="0.15">
      <c r="C30" s="9">
        <v>1</v>
      </c>
      <c r="D30" s="60">
        <f>D10</f>
        <v>16</v>
      </c>
      <c r="E30" s="61">
        <f>求节点(节奏总纲!$Z$4:$Z$83,节奏总纲!AB$4:AB$83,$D30)</f>
        <v>2.0310175363141174</v>
      </c>
      <c r="F30" s="61">
        <f>求节点(节奏总纲!E$4:E$163,节奏总纲!$C$4:$C$163,E30)</f>
        <v>17.420973982667814</v>
      </c>
      <c r="G30" s="9">
        <v>1</v>
      </c>
      <c r="H30" s="66">
        <v>3</v>
      </c>
      <c r="I30" s="115">
        <v>1</v>
      </c>
      <c r="S30" s="75">
        <v>1</v>
      </c>
      <c r="T30" s="75">
        <v>1</v>
      </c>
      <c r="U30" s="75">
        <v>1</v>
      </c>
      <c r="V30" s="75">
        <v>1</v>
      </c>
      <c r="W30" s="75">
        <v>1</v>
      </c>
    </row>
    <row r="31" spans="3:23" x14ac:dyDescent="0.15">
      <c r="C31" s="9">
        <v>2</v>
      </c>
      <c r="D31" s="60">
        <f t="shared" ref="D31:D45" si="0">D11</f>
        <v>19.5</v>
      </c>
      <c r="E31" s="61">
        <f>求节点(节奏总纲!$Z$4:$Z$83,节奏总纲!AB$4:AB$83,$D31)</f>
        <v>3.8583180257323662</v>
      </c>
      <c r="F31" s="61">
        <f>求节点(节奏总纲!E$4:E$163,节奏总纲!$C$4:$C$163,E31)</f>
        <v>24.411235857114818</v>
      </c>
      <c r="G31" s="9">
        <v>2</v>
      </c>
      <c r="H31" s="66">
        <v>6</v>
      </c>
      <c r="I31" s="115">
        <v>1</v>
      </c>
      <c r="O31" s="115"/>
      <c r="S31" s="75">
        <v>1</v>
      </c>
      <c r="T31" s="75">
        <v>1</v>
      </c>
      <c r="U31" s="75">
        <v>1</v>
      </c>
      <c r="V31" s="75">
        <v>1</v>
      </c>
      <c r="W31" s="75">
        <v>1</v>
      </c>
    </row>
    <row r="32" spans="3:23" x14ac:dyDescent="0.15">
      <c r="C32" s="9">
        <v>3</v>
      </c>
      <c r="D32" s="60">
        <f t="shared" si="0"/>
        <v>23.5</v>
      </c>
      <c r="E32" s="61">
        <f>求节点(节奏总纲!$Z$4:$Z$83,节奏总纲!AB$4:AB$83,$D32)</f>
        <v>7.7240111017275384</v>
      </c>
      <c r="F32" s="61">
        <f>求节点(节奏总纲!E$4:E$163,节奏总纲!$C$4:$C$163,E32)</f>
        <v>33.019343244153319</v>
      </c>
      <c r="G32" s="9">
        <v>3</v>
      </c>
      <c r="H32" s="66">
        <v>9</v>
      </c>
      <c r="I32" s="115">
        <v>0.5</v>
      </c>
      <c r="J32" s="58">
        <v>0.5</v>
      </c>
      <c r="O32" s="115"/>
      <c r="S32" s="75">
        <v>1</v>
      </c>
      <c r="T32" s="75">
        <v>1</v>
      </c>
      <c r="U32" s="75">
        <v>1</v>
      </c>
      <c r="V32" s="75">
        <v>1</v>
      </c>
      <c r="W32" s="75">
        <v>1</v>
      </c>
    </row>
    <row r="33" spans="3:23" x14ac:dyDescent="0.15">
      <c r="C33" s="9">
        <v>4</v>
      </c>
      <c r="D33" s="60">
        <f t="shared" si="0"/>
        <v>27.5</v>
      </c>
      <c r="E33" s="61">
        <f>求节点(节奏总纲!$Z$4:$Z$83,节奏总纲!AB$4:AB$83,$D33)</f>
        <v>15.096178510388308</v>
      </c>
      <c r="F33" s="61">
        <f>求节点(节奏总纲!E$4:E$163,节奏总纲!$C$4:$C$163,E33)</f>
        <v>41.92278306907852</v>
      </c>
      <c r="G33" s="9">
        <v>4</v>
      </c>
      <c r="H33" s="66">
        <v>12</v>
      </c>
      <c r="J33" s="58">
        <v>0.5</v>
      </c>
      <c r="K33" s="58">
        <v>0.5</v>
      </c>
      <c r="O33" s="115"/>
      <c r="S33" s="75">
        <v>1</v>
      </c>
      <c r="T33" s="75">
        <v>2</v>
      </c>
      <c r="U33" s="75">
        <v>1</v>
      </c>
      <c r="V33" s="75">
        <v>1</v>
      </c>
      <c r="W33" s="75">
        <v>1</v>
      </c>
    </row>
    <row r="34" spans="3:23" x14ac:dyDescent="0.15">
      <c r="C34" s="9">
        <v>5</v>
      </c>
      <c r="D34" s="60">
        <f t="shared" si="0"/>
        <v>31.5</v>
      </c>
      <c r="E34" s="61">
        <f>求节点(节奏总纲!$Z$4:$Z$83,节奏总纲!AB$4:AB$83,$D34)</f>
        <v>29.031391010864539</v>
      </c>
      <c r="F34" s="61">
        <f>求节点(节奏总纲!E$4:E$163,节奏总纲!$C$4:$C$163,E34)</f>
        <v>51.047922371312225</v>
      </c>
      <c r="G34" s="9">
        <v>5</v>
      </c>
      <c r="H34" s="66">
        <v>15</v>
      </c>
      <c r="K34" s="58">
        <v>1</v>
      </c>
      <c r="O34" s="65">
        <v>1</v>
      </c>
      <c r="P34" s="65">
        <v>0.5</v>
      </c>
      <c r="S34" s="75">
        <v>1</v>
      </c>
      <c r="T34" s="75">
        <v>3</v>
      </c>
      <c r="U34" s="75">
        <v>1</v>
      </c>
      <c r="V34" s="75">
        <v>1</v>
      </c>
      <c r="W34" s="75">
        <v>1</v>
      </c>
    </row>
    <row r="35" spans="3:23" x14ac:dyDescent="0.15">
      <c r="C35" s="9">
        <v>6</v>
      </c>
      <c r="D35" s="60">
        <f t="shared" si="0"/>
        <v>35.5</v>
      </c>
      <c r="E35" s="61">
        <f>求节点(节奏总纲!$Z$4:$Z$83,节奏总纲!AB$4:AB$83,$D35)</f>
        <v>54.898744666803331</v>
      </c>
      <c r="F35" s="61">
        <f>求节点(节奏总纲!E$4:E$163,节奏总纲!$C$4:$C$163,E35)</f>
        <v>60.077170204921828</v>
      </c>
      <c r="G35" s="9">
        <v>6</v>
      </c>
      <c r="H35" s="66">
        <v>18</v>
      </c>
      <c r="K35" s="58">
        <v>0.75</v>
      </c>
      <c r="L35" s="58">
        <v>0.25</v>
      </c>
      <c r="O35" s="65">
        <v>1</v>
      </c>
      <c r="P35" s="65">
        <v>1</v>
      </c>
      <c r="S35" s="75">
        <v>1</v>
      </c>
      <c r="T35" s="75">
        <v>3</v>
      </c>
      <c r="U35" s="75">
        <v>1</v>
      </c>
      <c r="V35" s="75">
        <v>1</v>
      </c>
      <c r="W35" s="75">
        <v>1</v>
      </c>
    </row>
    <row r="36" spans="3:23" x14ac:dyDescent="0.15">
      <c r="C36" s="9">
        <v>7</v>
      </c>
      <c r="D36" s="60">
        <f t="shared" si="0"/>
        <v>39.5</v>
      </c>
      <c r="E36" s="61">
        <f>求节点(节奏总纲!$Z$4:$Z$83,节奏总纲!AB$4:AB$83,$D36)</f>
        <v>99.697076394392013</v>
      </c>
      <c r="F36" s="61">
        <f>求节点(节奏总纲!E$4:E$163,节奏总纲!$C$4:$C$163,E36)</f>
        <v>68.578677703814634</v>
      </c>
      <c r="G36" s="9">
        <v>7</v>
      </c>
      <c r="H36" s="66">
        <v>21</v>
      </c>
      <c r="K36" s="58">
        <v>0.5</v>
      </c>
      <c r="L36" s="58">
        <v>0.5</v>
      </c>
      <c r="O36" s="65">
        <v>1</v>
      </c>
      <c r="P36" s="65">
        <v>1</v>
      </c>
      <c r="S36" s="75">
        <v>1</v>
      </c>
      <c r="T36" s="75">
        <v>3</v>
      </c>
      <c r="U36" s="75">
        <v>2</v>
      </c>
      <c r="V36" s="75">
        <v>1</v>
      </c>
      <c r="W36" s="75">
        <v>1</v>
      </c>
    </row>
    <row r="37" spans="3:23" x14ac:dyDescent="0.15">
      <c r="C37" s="9">
        <v>8</v>
      </c>
      <c r="D37" s="60">
        <f t="shared" si="0"/>
        <v>43.5</v>
      </c>
      <c r="E37" s="61">
        <f>求节点(节奏总纲!$Z$4:$Z$83,节奏总纲!AB$4:AB$83,$D37)</f>
        <v>180.54643493461919</v>
      </c>
      <c r="F37" s="61">
        <f>求节点(节奏总纲!E$4:E$163,节奏总纲!$C$4:$C$163,E37)</f>
        <v>77.110082613456697</v>
      </c>
      <c r="G37" s="9">
        <v>8</v>
      </c>
      <c r="H37" s="66">
        <v>24</v>
      </c>
      <c r="K37" s="58">
        <v>0.25</v>
      </c>
      <c r="L37" s="58">
        <v>0.75</v>
      </c>
      <c r="O37" s="65">
        <v>1</v>
      </c>
      <c r="P37" s="65">
        <v>1</v>
      </c>
      <c r="S37" s="75">
        <v>1</v>
      </c>
      <c r="T37" s="75">
        <v>3</v>
      </c>
      <c r="U37" s="75">
        <v>2</v>
      </c>
      <c r="V37" s="75">
        <v>1</v>
      </c>
      <c r="W37" s="75">
        <v>1</v>
      </c>
    </row>
    <row r="38" spans="3:23" x14ac:dyDescent="0.15">
      <c r="C38" s="9">
        <v>9</v>
      </c>
      <c r="D38" s="60">
        <f t="shared" si="0"/>
        <v>47.5</v>
      </c>
      <c r="E38" s="61">
        <f>求节点(节奏总纲!$Z$4:$Z$83,节奏总纲!AB$4:AB$83,$D38)</f>
        <v>326.26831861477285</v>
      </c>
      <c r="F38" s="61">
        <f>求节点(节奏总纲!E$4:E$163,节奏总纲!$C$4:$C$163,E38)</f>
        <v>85.652928267499789</v>
      </c>
      <c r="G38" s="9">
        <v>9</v>
      </c>
      <c r="H38" s="66">
        <v>27</v>
      </c>
      <c r="L38" s="58">
        <v>1</v>
      </c>
      <c r="O38" s="65">
        <v>1</v>
      </c>
      <c r="P38" s="65">
        <v>1</v>
      </c>
      <c r="S38" s="75">
        <v>1</v>
      </c>
      <c r="T38" s="75">
        <v>3</v>
      </c>
      <c r="U38" s="75">
        <v>3</v>
      </c>
      <c r="V38" s="75">
        <v>1</v>
      </c>
      <c r="W38" s="75">
        <v>1</v>
      </c>
    </row>
    <row r="39" spans="3:23" x14ac:dyDescent="0.15">
      <c r="C39" s="9">
        <v>10</v>
      </c>
      <c r="D39" s="60">
        <f t="shared" si="0"/>
        <v>52</v>
      </c>
      <c r="E39" s="61">
        <f>求节点(节奏总纲!$Z$4:$Z$83,节奏总纲!AB$4:AB$83,$D39)</f>
        <v>631.88241509551563</v>
      </c>
      <c r="F39" s="61">
        <f>求节点(节奏总纲!E$4:E$163,节奏总纲!$C$4:$C$163,E39)</f>
        <v>95.320056465518832</v>
      </c>
      <c r="G39" s="9">
        <v>10</v>
      </c>
      <c r="H39" s="66">
        <v>30</v>
      </c>
      <c r="L39" s="96">
        <v>0.8</v>
      </c>
      <c r="M39" s="96">
        <v>0.2</v>
      </c>
      <c r="O39" s="65">
        <v>1</v>
      </c>
      <c r="P39" s="65">
        <v>1</v>
      </c>
      <c r="Q39" s="65">
        <v>0.5</v>
      </c>
      <c r="S39" s="75">
        <v>1</v>
      </c>
      <c r="T39" s="75">
        <v>3</v>
      </c>
      <c r="U39" s="75">
        <v>3</v>
      </c>
      <c r="V39" s="75">
        <v>2</v>
      </c>
      <c r="W39" s="75">
        <v>2</v>
      </c>
    </row>
    <row r="40" spans="3:23" x14ac:dyDescent="0.15">
      <c r="C40" s="9">
        <v>11</v>
      </c>
      <c r="D40" s="60">
        <f t="shared" si="0"/>
        <v>57</v>
      </c>
      <c r="E40" s="61">
        <f>求节点(节奏总纲!$Z$4:$Z$83,节奏总纲!AB$4:AB$83,$D40)</f>
        <v>1318.2598742162893</v>
      </c>
      <c r="F40" s="61">
        <f>求节点(节奏总纲!E$4:E$163,节奏总纲!$C$4:$C$163,E40)</f>
        <v>105.93060744042049</v>
      </c>
      <c r="G40" s="9">
        <v>11</v>
      </c>
      <c r="H40" s="66">
        <v>30</v>
      </c>
      <c r="L40" s="96">
        <v>0.6</v>
      </c>
      <c r="M40" s="96">
        <v>0.4</v>
      </c>
      <c r="O40" s="65">
        <v>1</v>
      </c>
      <c r="P40" s="65">
        <v>1</v>
      </c>
      <c r="Q40" s="65">
        <v>1</v>
      </c>
      <c r="S40" s="75">
        <v>1</v>
      </c>
      <c r="T40" s="75">
        <v>3</v>
      </c>
      <c r="U40" s="75">
        <v>3</v>
      </c>
      <c r="V40" s="75">
        <v>2</v>
      </c>
      <c r="W40" s="75">
        <v>2</v>
      </c>
    </row>
    <row r="41" spans="3:23" x14ac:dyDescent="0.15">
      <c r="C41" s="9">
        <v>12</v>
      </c>
      <c r="D41" s="60">
        <f t="shared" si="0"/>
        <v>62</v>
      </c>
      <c r="E41" s="61">
        <f>求节点(节奏总纲!$Z$4:$Z$83,节奏总纲!AB$4:AB$83,$D41)</f>
        <v>2745.081836483092</v>
      </c>
      <c r="F41" s="61">
        <f>求节点(节奏总纲!E$4:E$163,节奏总纲!$C$4:$C$163,E41)</f>
        <v>116.57008716694446</v>
      </c>
      <c r="G41" s="9">
        <v>12</v>
      </c>
      <c r="H41" s="66">
        <v>30</v>
      </c>
      <c r="L41" s="96">
        <v>0.4</v>
      </c>
      <c r="M41" s="96">
        <v>0.6</v>
      </c>
      <c r="O41" s="65">
        <v>1</v>
      </c>
      <c r="P41" s="65">
        <v>1</v>
      </c>
      <c r="Q41" s="65">
        <v>1.5</v>
      </c>
      <c r="S41" s="75">
        <v>1</v>
      </c>
      <c r="T41" s="75">
        <v>3</v>
      </c>
      <c r="U41" s="75">
        <v>3</v>
      </c>
      <c r="V41" s="75">
        <v>2</v>
      </c>
      <c r="W41" s="75">
        <v>2</v>
      </c>
    </row>
    <row r="42" spans="3:23" x14ac:dyDescent="0.15">
      <c r="C42" s="9">
        <v>13</v>
      </c>
      <c r="D42" s="60">
        <f t="shared" si="0"/>
        <v>67</v>
      </c>
      <c r="E42" s="61">
        <f>求节点(节奏总纲!$Z$4:$Z$83,节奏总纲!AB$4:AB$83,$D42)</f>
        <v>5706.8398490672153</v>
      </c>
      <c r="F42" s="61">
        <f>求节点(节奏总纲!E$4:E$163,节奏总纲!$C$4:$C$163,E42)</f>
        <v>127.12838978012395</v>
      </c>
      <c r="G42" s="9">
        <v>13</v>
      </c>
      <c r="H42" s="66">
        <v>30</v>
      </c>
      <c r="L42" s="96">
        <v>0.2</v>
      </c>
      <c r="M42" s="96">
        <v>0.8</v>
      </c>
      <c r="O42" s="65">
        <v>1</v>
      </c>
      <c r="P42" s="65">
        <v>1</v>
      </c>
      <c r="Q42" s="65">
        <v>2</v>
      </c>
      <c r="S42" s="75">
        <v>1</v>
      </c>
      <c r="T42" s="75">
        <v>3</v>
      </c>
      <c r="U42" s="75">
        <v>3</v>
      </c>
      <c r="V42" s="75">
        <v>2</v>
      </c>
      <c r="W42" s="75">
        <v>2</v>
      </c>
    </row>
    <row r="43" spans="3:23" x14ac:dyDescent="0.15">
      <c r="C43" s="9">
        <v>14</v>
      </c>
      <c r="D43" s="60">
        <f t="shared" si="0"/>
        <v>72</v>
      </c>
      <c r="E43" s="61">
        <f>求节点(节奏总纲!$Z$4:$Z$83,节奏总纲!AB$4:AB$83,$D43)</f>
        <v>11846.564050336494</v>
      </c>
      <c r="F43" s="61">
        <f>求节点(节奏总纲!E$4:E$163,节奏总纲!$C$4:$C$163,E43)</f>
        <v>137.70627422196659</v>
      </c>
      <c r="G43" s="9">
        <v>14</v>
      </c>
      <c r="H43" s="66">
        <v>30</v>
      </c>
      <c r="L43" s="96"/>
      <c r="M43" s="96">
        <v>1</v>
      </c>
      <c r="O43" s="65">
        <v>1</v>
      </c>
      <c r="P43" s="65">
        <v>1</v>
      </c>
      <c r="Q43" s="65">
        <v>2</v>
      </c>
      <c r="S43" s="75">
        <v>1</v>
      </c>
      <c r="T43" s="75">
        <v>3</v>
      </c>
      <c r="U43" s="75">
        <v>3</v>
      </c>
      <c r="V43" s="75">
        <v>3</v>
      </c>
      <c r="W43" s="75">
        <v>3</v>
      </c>
    </row>
    <row r="44" spans="3:23" x14ac:dyDescent="0.15">
      <c r="C44" s="9">
        <v>15</v>
      </c>
      <c r="D44" s="60">
        <f t="shared" si="0"/>
        <v>77</v>
      </c>
      <c r="E44" s="61">
        <f>求节点(节奏总纲!$Z$4:$Z$83,节奏总纲!AB$4:AB$83,$D44)</f>
        <v>24558.40880507711</v>
      </c>
      <c r="F44" s="61">
        <f>求节点(节奏总纲!E$4:E$163,节奏总纲!$C$4:$C$163,E44)</f>
        <v>148.27357279823164</v>
      </c>
      <c r="G44" s="9">
        <v>15</v>
      </c>
      <c r="H44" s="66">
        <v>30</v>
      </c>
      <c r="L44" s="96"/>
      <c r="M44" s="96">
        <v>1</v>
      </c>
      <c r="O44" s="65">
        <v>1</v>
      </c>
      <c r="P44" s="65">
        <v>1</v>
      </c>
      <c r="Q44" s="65">
        <v>2</v>
      </c>
      <c r="R44" s="65">
        <v>0.5</v>
      </c>
      <c r="S44" s="75">
        <v>1</v>
      </c>
      <c r="T44" s="75">
        <v>3</v>
      </c>
      <c r="U44" s="75">
        <v>3</v>
      </c>
      <c r="V44" s="75">
        <v>3</v>
      </c>
      <c r="W44" s="75">
        <v>3</v>
      </c>
    </row>
    <row r="45" spans="3:23" x14ac:dyDescent="0.15">
      <c r="C45" s="9">
        <v>16</v>
      </c>
      <c r="D45" s="60">
        <f t="shared" si="0"/>
        <v>80</v>
      </c>
      <c r="E45" s="61">
        <f>求节点(节奏总纲!$Z$4:$Z$83,节奏总纲!AB$4:AB$83,$D45)</f>
        <v>38010.300000000003</v>
      </c>
      <c r="F45" s="61">
        <f>求节点(节奏总纲!E$4:E$163,节奏总纲!$C$4:$C$163,E45)</f>
        <v>154.14666602127767</v>
      </c>
      <c r="G45" s="9">
        <v>16</v>
      </c>
      <c r="H45" s="66">
        <v>30</v>
      </c>
      <c r="L45" s="96"/>
      <c r="M45" s="96">
        <v>1</v>
      </c>
      <c r="O45" s="65">
        <v>1</v>
      </c>
      <c r="P45" s="65">
        <v>1</v>
      </c>
      <c r="Q45" s="65">
        <v>2</v>
      </c>
      <c r="R45" s="65">
        <v>1</v>
      </c>
      <c r="S45" s="75">
        <v>1</v>
      </c>
      <c r="T45" s="75">
        <v>3</v>
      </c>
      <c r="U45" s="75">
        <v>3</v>
      </c>
      <c r="V45" s="75">
        <v>3</v>
      </c>
      <c r="W45" s="75">
        <v>3</v>
      </c>
    </row>
    <row r="48" spans="3:23" x14ac:dyDescent="0.15">
      <c r="C48" s="9" t="s">
        <v>2</v>
      </c>
      <c r="I48" s="122" t="s">
        <v>136</v>
      </c>
      <c r="J48" s="122"/>
      <c r="K48" s="122"/>
      <c r="L48" s="122"/>
      <c r="M48" s="122"/>
      <c r="N48" s="122" t="s">
        <v>156</v>
      </c>
      <c r="O48" s="122"/>
      <c r="P48" s="122"/>
      <c r="Q48" s="122"/>
      <c r="R48" s="122"/>
      <c r="S48" s="122" t="s">
        <v>158</v>
      </c>
      <c r="T48" s="122"/>
      <c r="U48" s="122"/>
      <c r="V48" s="122"/>
      <c r="W48" s="122"/>
    </row>
    <row r="49" spans="3:23" x14ac:dyDescent="0.15">
      <c r="C49" s="9" t="s">
        <v>21</v>
      </c>
      <c r="D49" s="9" t="s">
        <v>121</v>
      </c>
      <c r="E49" s="58" t="s">
        <v>122</v>
      </c>
      <c r="F49" s="58" t="s">
        <v>103</v>
      </c>
      <c r="G49" s="9" t="s">
        <v>134</v>
      </c>
      <c r="H49" s="9" t="s">
        <v>135</v>
      </c>
      <c r="I49" s="58" t="s">
        <v>104</v>
      </c>
      <c r="J49" s="58" t="s">
        <v>105</v>
      </c>
      <c r="K49" s="58" t="s">
        <v>106</v>
      </c>
      <c r="L49" s="58" t="s">
        <v>107</v>
      </c>
      <c r="M49" s="58" t="s">
        <v>108</v>
      </c>
      <c r="N49" s="65" t="s">
        <v>104</v>
      </c>
      <c r="O49" s="65" t="s">
        <v>105</v>
      </c>
      <c r="P49" s="65" t="s">
        <v>106</v>
      </c>
      <c r="Q49" s="65" t="s">
        <v>107</v>
      </c>
      <c r="R49" s="65" t="s">
        <v>108</v>
      </c>
      <c r="S49" s="65" t="s">
        <v>104</v>
      </c>
      <c r="T49" s="65" t="s">
        <v>105</v>
      </c>
      <c r="U49" s="65" t="s">
        <v>106</v>
      </c>
      <c r="V49" s="65" t="s">
        <v>107</v>
      </c>
      <c r="W49" s="65" t="s">
        <v>108</v>
      </c>
    </row>
    <row r="50" spans="3:23" x14ac:dyDescent="0.15">
      <c r="C50" s="9">
        <v>1</v>
      </c>
      <c r="D50" s="60">
        <f>D30</f>
        <v>16</v>
      </c>
      <c r="E50" s="61">
        <f>求节点(节奏总纲!$Z$4:$Z$83,节奏总纲!AC$4:AC$83,$D50)</f>
        <v>1.5232631522355879</v>
      </c>
      <c r="F50" s="61">
        <f>求节点(节奏总纲!F$4:F$163,节奏总纲!$C$4:$C$163,E50)</f>
        <v>16.55360159735687</v>
      </c>
      <c r="G50" s="9">
        <v>1</v>
      </c>
      <c r="H50" s="66">
        <v>3</v>
      </c>
      <c r="J50" s="58">
        <v>1</v>
      </c>
      <c r="S50" s="75">
        <v>1</v>
      </c>
      <c r="T50" s="75">
        <v>1</v>
      </c>
      <c r="U50" s="75">
        <v>1</v>
      </c>
      <c r="V50" s="75">
        <v>1</v>
      </c>
      <c r="W50" s="75">
        <v>1</v>
      </c>
    </row>
    <row r="51" spans="3:23" x14ac:dyDescent="0.15">
      <c r="C51" s="9">
        <v>2</v>
      </c>
      <c r="D51" s="60">
        <f t="shared" ref="D51:D65" si="1">D31</f>
        <v>19.5</v>
      </c>
      <c r="E51" s="61">
        <f>求节点(节奏总纲!$Z$4:$Z$83,节奏总纲!AC$4:AC$83,$D51)</f>
        <v>2.8937385192992746</v>
      </c>
      <c r="F51" s="61">
        <f>求节点(节奏总纲!F$4:F$163,节奏总纲!$C$4:$C$163,E51)</f>
        <v>23.331269805933818</v>
      </c>
      <c r="G51" s="9">
        <v>2</v>
      </c>
      <c r="H51" s="66">
        <v>6</v>
      </c>
      <c r="J51" s="58">
        <v>0.5</v>
      </c>
      <c r="K51" s="58">
        <v>0.5</v>
      </c>
      <c r="O51" s="65">
        <v>1</v>
      </c>
      <c r="S51" s="75">
        <v>1</v>
      </c>
      <c r="T51" s="75">
        <v>1</v>
      </c>
      <c r="U51" s="75">
        <v>1</v>
      </c>
      <c r="V51" s="75">
        <v>1</v>
      </c>
      <c r="W51" s="75">
        <v>1</v>
      </c>
    </row>
    <row r="52" spans="3:23" x14ac:dyDescent="0.15">
      <c r="C52" s="9">
        <v>3</v>
      </c>
      <c r="D52" s="60">
        <f t="shared" si="1"/>
        <v>23.5</v>
      </c>
      <c r="E52" s="61">
        <f>求节点(节奏总纲!$Z$4:$Z$83,节奏总纲!AC$4:AC$83,$D52)</f>
        <v>5.793008326295654</v>
      </c>
      <c r="F52" s="61">
        <f>求节点(节奏总纲!F$4:F$163,节奏总纲!$C$4:$C$163,E52)</f>
        <v>31.744234316265171</v>
      </c>
      <c r="G52" s="9">
        <v>3</v>
      </c>
      <c r="H52" s="66">
        <v>9</v>
      </c>
      <c r="K52" s="58">
        <v>1</v>
      </c>
      <c r="O52" s="65">
        <v>1</v>
      </c>
      <c r="S52" s="75">
        <v>1</v>
      </c>
      <c r="T52" s="75">
        <v>1</v>
      </c>
      <c r="U52" s="75">
        <v>1</v>
      </c>
      <c r="V52" s="75">
        <v>1</v>
      </c>
      <c r="W52" s="75">
        <v>1</v>
      </c>
    </row>
    <row r="53" spans="3:23" x14ac:dyDescent="0.15">
      <c r="C53" s="9">
        <v>4</v>
      </c>
      <c r="D53" s="60">
        <f t="shared" si="1"/>
        <v>27.5</v>
      </c>
      <c r="E53" s="61">
        <f>求节点(节奏总纲!$Z$4:$Z$83,节奏总纲!AC$4:AC$83,$D53)</f>
        <v>11.322133882791231</v>
      </c>
      <c r="F53" s="61">
        <f>求节点(节奏总纲!F$4:F$163,节奏总纲!$C$4:$C$163,E53)</f>
        <v>40.643027415884688</v>
      </c>
      <c r="G53" s="9">
        <v>4</v>
      </c>
      <c r="H53" s="66">
        <v>12</v>
      </c>
      <c r="K53" s="58">
        <v>1</v>
      </c>
      <c r="O53" s="65">
        <v>1</v>
      </c>
      <c r="P53" s="65">
        <v>1</v>
      </c>
      <c r="S53" s="75">
        <v>1</v>
      </c>
      <c r="T53" s="75">
        <v>2</v>
      </c>
      <c r="U53" s="75">
        <v>1</v>
      </c>
      <c r="V53" s="75">
        <v>1</v>
      </c>
      <c r="W53" s="75">
        <v>1</v>
      </c>
    </row>
    <row r="54" spans="3:23" x14ac:dyDescent="0.15">
      <c r="C54" s="9">
        <v>5</v>
      </c>
      <c r="D54" s="60">
        <f t="shared" si="1"/>
        <v>31.5</v>
      </c>
      <c r="E54" s="61">
        <f>求节点(节奏总纲!$Z$4:$Z$83,节奏总纲!AC$4:AC$83,$D54)</f>
        <v>21.773543258148401</v>
      </c>
      <c r="F54" s="61">
        <f>求节点(节奏总纲!F$4:F$163,节奏总纲!$C$4:$C$163,E54)</f>
        <v>49.709437467755208</v>
      </c>
      <c r="G54" s="9">
        <v>5</v>
      </c>
      <c r="H54" s="66">
        <v>15</v>
      </c>
      <c r="K54" s="58">
        <v>0.75</v>
      </c>
      <c r="L54" s="58">
        <v>0.25</v>
      </c>
      <c r="O54" s="65">
        <v>1</v>
      </c>
      <c r="P54" s="65">
        <v>1</v>
      </c>
      <c r="S54" s="75">
        <v>1</v>
      </c>
      <c r="T54" s="75">
        <v>3</v>
      </c>
      <c r="U54" s="75">
        <v>1</v>
      </c>
      <c r="V54" s="75">
        <v>1</v>
      </c>
      <c r="W54" s="75">
        <v>1</v>
      </c>
    </row>
    <row r="55" spans="3:23" x14ac:dyDescent="0.15">
      <c r="C55" s="9">
        <v>6</v>
      </c>
      <c r="D55" s="60">
        <f t="shared" si="1"/>
        <v>35.5</v>
      </c>
      <c r="E55" s="61">
        <f>求节点(节奏总纲!$Z$4:$Z$83,节奏总纲!AC$4:AC$83,$D55)</f>
        <v>41.174058500102497</v>
      </c>
      <c r="F55" s="61">
        <f>求节点(节奏总纲!F$4:F$163,节奏总纲!$C$4:$C$163,E55)</f>
        <v>58.803150706157098</v>
      </c>
      <c r="G55" s="9">
        <v>6</v>
      </c>
      <c r="H55" s="66">
        <v>18</v>
      </c>
      <c r="K55" s="58">
        <v>0.5</v>
      </c>
      <c r="L55" s="58">
        <v>0.5</v>
      </c>
      <c r="O55" s="65">
        <v>1</v>
      </c>
      <c r="P55" s="65">
        <v>1</v>
      </c>
      <c r="S55" s="75">
        <v>1</v>
      </c>
      <c r="T55" s="75">
        <v>3</v>
      </c>
      <c r="U55" s="75">
        <v>1</v>
      </c>
      <c r="V55" s="75">
        <v>1</v>
      </c>
      <c r="W55" s="75">
        <v>1</v>
      </c>
    </row>
    <row r="56" spans="3:23" x14ac:dyDescent="0.15">
      <c r="C56" s="9">
        <v>7</v>
      </c>
      <c r="D56" s="60">
        <f t="shared" si="1"/>
        <v>39.5</v>
      </c>
      <c r="E56" s="61">
        <f>求节点(节奏总纲!$Z$4:$Z$83,节奏总纲!AC$4:AC$83,$D56)</f>
        <v>74.77280729579401</v>
      </c>
      <c r="F56" s="61">
        <f>求节点(节奏总纲!F$4:F$163,节奏总纲!$C$4:$C$163,E56)</f>
        <v>67.298489171654538</v>
      </c>
      <c r="G56" s="9">
        <v>7</v>
      </c>
      <c r="H56" s="66">
        <v>21</v>
      </c>
      <c r="K56" s="58">
        <v>0.25</v>
      </c>
      <c r="L56" s="58">
        <v>0.75</v>
      </c>
      <c r="O56" s="65">
        <v>1</v>
      </c>
      <c r="P56" s="65">
        <v>1</v>
      </c>
      <c r="S56" s="75">
        <v>1</v>
      </c>
      <c r="T56" s="75">
        <v>3</v>
      </c>
      <c r="U56" s="75">
        <v>2</v>
      </c>
      <c r="V56" s="75">
        <v>1</v>
      </c>
      <c r="W56" s="75">
        <v>1</v>
      </c>
    </row>
    <row r="57" spans="3:23" x14ac:dyDescent="0.15">
      <c r="C57" s="9">
        <v>8</v>
      </c>
      <c r="D57" s="60">
        <f t="shared" si="1"/>
        <v>43.5</v>
      </c>
      <c r="E57" s="61">
        <f>求节点(节奏总纲!$Z$4:$Z$83,节奏总纲!AC$4:AC$83,$D57)</f>
        <v>135.40982620096435</v>
      </c>
      <c r="F57" s="61">
        <f>求节点(节奏总纲!F$4:F$163,节奏总纲!$C$4:$C$163,E57)</f>
        <v>75.878784655965617</v>
      </c>
      <c r="G57" s="9">
        <v>8</v>
      </c>
      <c r="H57" s="66">
        <v>24</v>
      </c>
      <c r="L57" s="96">
        <v>1</v>
      </c>
      <c r="M57" s="96"/>
      <c r="O57" s="65">
        <v>1</v>
      </c>
      <c r="P57" s="65">
        <v>1</v>
      </c>
      <c r="S57" s="75">
        <v>1</v>
      </c>
      <c r="T57" s="75">
        <v>3</v>
      </c>
      <c r="U57" s="75">
        <v>2</v>
      </c>
      <c r="V57" s="75">
        <v>1</v>
      </c>
      <c r="W57" s="75">
        <v>1</v>
      </c>
    </row>
    <row r="58" spans="3:23" x14ac:dyDescent="0.15">
      <c r="C58" s="9">
        <v>9</v>
      </c>
      <c r="D58" s="60">
        <f t="shared" si="1"/>
        <v>47.5</v>
      </c>
      <c r="E58" s="61">
        <f>求节点(节奏总纲!$Z$4:$Z$83,节奏总纲!AC$4:AC$83,$D58)</f>
        <v>244.70123896107964</v>
      </c>
      <c r="F58" s="61">
        <f>求节点(节奏总纲!F$4:F$163,节奏总纲!$C$4:$C$163,E58)</f>
        <v>84.446314672957783</v>
      </c>
      <c r="G58" s="9">
        <v>9</v>
      </c>
      <c r="H58" s="66">
        <v>27</v>
      </c>
      <c r="L58" s="96">
        <v>0.8</v>
      </c>
      <c r="M58" s="96">
        <v>0.2</v>
      </c>
      <c r="O58" s="65">
        <v>1</v>
      </c>
      <c r="P58" s="65">
        <v>1</v>
      </c>
      <c r="Q58" s="65">
        <v>0.5</v>
      </c>
      <c r="S58" s="75">
        <v>1</v>
      </c>
      <c r="T58" s="75">
        <v>3</v>
      </c>
      <c r="U58" s="75">
        <v>3</v>
      </c>
      <c r="V58" s="75">
        <v>1</v>
      </c>
      <c r="W58" s="75">
        <v>1</v>
      </c>
    </row>
    <row r="59" spans="3:23" x14ac:dyDescent="0.15">
      <c r="C59" s="9">
        <v>10</v>
      </c>
      <c r="D59" s="60">
        <f t="shared" si="1"/>
        <v>52</v>
      </c>
      <c r="E59" s="61">
        <f>求节点(节奏总纲!$Z$4:$Z$83,节奏总纲!AC$4:AC$83,$D59)</f>
        <v>473.91181132163672</v>
      </c>
      <c r="F59" s="61">
        <f>求节点(节奏总纲!F$4:F$163,节奏总纲!$C$4:$C$163,E59)</f>
        <v>94.309081972684396</v>
      </c>
      <c r="G59" s="9">
        <v>10</v>
      </c>
      <c r="H59" s="66">
        <v>30</v>
      </c>
      <c r="L59" s="96">
        <v>0.6</v>
      </c>
      <c r="M59" s="96">
        <v>0.4</v>
      </c>
      <c r="O59" s="65">
        <v>1</v>
      </c>
      <c r="P59" s="65">
        <v>1</v>
      </c>
      <c r="Q59" s="65">
        <v>1</v>
      </c>
      <c r="S59" s="75">
        <v>1</v>
      </c>
      <c r="T59" s="75">
        <v>3</v>
      </c>
      <c r="U59" s="75">
        <v>3</v>
      </c>
      <c r="V59" s="75">
        <v>2</v>
      </c>
      <c r="W59" s="75">
        <v>2</v>
      </c>
    </row>
    <row r="60" spans="3:23" x14ac:dyDescent="0.15">
      <c r="C60" s="9">
        <v>11</v>
      </c>
      <c r="D60" s="60">
        <f t="shared" si="1"/>
        <v>57</v>
      </c>
      <c r="E60" s="61">
        <f>求节点(节奏总纲!$Z$4:$Z$83,节奏总纲!AC$4:AC$83,$D60)</f>
        <v>988.69490566221691</v>
      </c>
      <c r="F60" s="61">
        <f>求节点(节奏总纲!F$4:F$163,节奏总纲!$C$4:$C$163,E60)</f>
        <v>104.93378702762401</v>
      </c>
      <c r="G60" s="9">
        <v>11</v>
      </c>
      <c r="H60" s="66">
        <v>30</v>
      </c>
      <c r="L60" s="96">
        <v>0.4</v>
      </c>
      <c r="M60" s="96">
        <v>0.6</v>
      </c>
      <c r="O60" s="65">
        <v>1</v>
      </c>
      <c r="P60" s="65">
        <v>1</v>
      </c>
      <c r="Q60" s="65">
        <v>1.5</v>
      </c>
      <c r="S60" s="75">
        <v>1</v>
      </c>
      <c r="T60" s="75">
        <v>3</v>
      </c>
      <c r="U60" s="75">
        <v>3</v>
      </c>
      <c r="V60" s="75">
        <v>2</v>
      </c>
      <c r="W60" s="75">
        <v>2</v>
      </c>
    </row>
    <row r="61" spans="3:23" x14ac:dyDescent="0.15">
      <c r="C61" s="9">
        <v>12</v>
      </c>
      <c r="D61" s="60">
        <f t="shared" si="1"/>
        <v>62</v>
      </c>
      <c r="E61" s="61">
        <f>求节点(节奏总纲!$Z$4:$Z$83,节奏总纲!AC$4:AC$83,$D61)</f>
        <v>2058.8113773623186</v>
      </c>
      <c r="F61" s="61">
        <f>求节点(节奏总纲!F$4:F$163,节奏总纲!$C$4:$C$163,E61)</f>
        <v>115.63935175516689</v>
      </c>
      <c r="G61" s="9">
        <v>12</v>
      </c>
      <c r="H61" s="66">
        <v>30</v>
      </c>
      <c r="L61" s="96">
        <v>0.2</v>
      </c>
      <c r="M61" s="96">
        <v>0.8</v>
      </c>
      <c r="O61" s="65">
        <v>1</v>
      </c>
      <c r="P61" s="65">
        <v>1</v>
      </c>
      <c r="Q61" s="65">
        <v>2</v>
      </c>
      <c r="S61" s="75">
        <v>1</v>
      </c>
      <c r="T61" s="75">
        <v>3</v>
      </c>
      <c r="U61" s="75">
        <v>3</v>
      </c>
      <c r="V61" s="75">
        <v>2</v>
      </c>
      <c r="W61" s="75">
        <v>2</v>
      </c>
    </row>
    <row r="62" spans="3:23" x14ac:dyDescent="0.15">
      <c r="C62" s="9">
        <v>13</v>
      </c>
      <c r="D62" s="60">
        <f t="shared" si="1"/>
        <v>67</v>
      </c>
      <c r="E62" s="61">
        <f>求节点(节奏总纲!$Z$4:$Z$83,节奏总纲!AC$4:AC$83,$D62)</f>
        <v>4280.1298868004114</v>
      </c>
      <c r="F62" s="61">
        <f>求节点(节奏总纲!F$4:F$163,节奏总纲!$C$4:$C$163,E62)</f>
        <v>126.19151638854794</v>
      </c>
      <c r="G62" s="9">
        <v>13</v>
      </c>
      <c r="H62" s="66">
        <v>30</v>
      </c>
      <c r="L62" s="96"/>
      <c r="M62" s="96">
        <v>1</v>
      </c>
      <c r="O62" s="65">
        <v>1</v>
      </c>
      <c r="P62" s="65">
        <v>1</v>
      </c>
      <c r="Q62" s="65">
        <v>2</v>
      </c>
      <c r="S62" s="75">
        <v>1</v>
      </c>
      <c r="T62" s="75">
        <v>3</v>
      </c>
      <c r="U62" s="75">
        <v>3</v>
      </c>
      <c r="V62" s="75">
        <v>2</v>
      </c>
      <c r="W62" s="75">
        <v>2</v>
      </c>
    </row>
    <row r="63" spans="3:23" x14ac:dyDescent="0.15">
      <c r="C63" s="9">
        <v>14</v>
      </c>
      <c r="D63" s="60">
        <f t="shared" si="1"/>
        <v>72</v>
      </c>
      <c r="E63" s="61">
        <f>求节点(节奏总纲!$Z$4:$Z$83,节奏总纲!AC$4:AC$83,$D63)</f>
        <v>8884.9230377523691</v>
      </c>
      <c r="F63" s="61">
        <f>求节点(节奏总纲!F$4:F$163,节奏总纲!$C$4:$C$163,E63)</f>
        <v>136.8190741194654</v>
      </c>
      <c r="G63" s="9">
        <v>14</v>
      </c>
      <c r="H63" s="66">
        <v>30</v>
      </c>
      <c r="L63" s="96"/>
      <c r="M63" s="96">
        <v>1</v>
      </c>
      <c r="O63" s="65">
        <v>1</v>
      </c>
      <c r="P63" s="65">
        <v>1</v>
      </c>
      <c r="Q63" s="65">
        <v>2</v>
      </c>
      <c r="R63" s="65">
        <v>0.5</v>
      </c>
      <c r="S63" s="75">
        <v>1</v>
      </c>
      <c r="T63" s="75">
        <v>3</v>
      </c>
      <c r="U63" s="75">
        <v>3</v>
      </c>
      <c r="V63" s="75">
        <v>3</v>
      </c>
      <c r="W63" s="75">
        <v>3</v>
      </c>
    </row>
    <row r="64" spans="3:23" x14ac:dyDescent="0.15">
      <c r="C64" s="9">
        <v>15</v>
      </c>
      <c r="D64" s="60">
        <f t="shared" si="1"/>
        <v>77</v>
      </c>
      <c r="E64" s="61">
        <f>求节点(节奏总纲!$Z$4:$Z$83,节奏总纲!AC$4:AC$83,$D64)</f>
        <v>18418.806603807832</v>
      </c>
      <c r="F64" s="61">
        <f>求节点(节奏总纲!F$4:F$163,节奏总纲!$C$4:$C$163,E64)</f>
        <v>147.45018844840658</v>
      </c>
      <c r="G64" s="9">
        <v>15</v>
      </c>
      <c r="H64" s="66">
        <v>30</v>
      </c>
      <c r="L64" s="96"/>
      <c r="M64" s="96">
        <v>1</v>
      </c>
      <c r="O64" s="65">
        <v>1</v>
      </c>
      <c r="P64" s="65">
        <v>1</v>
      </c>
      <c r="Q64" s="65">
        <v>2</v>
      </c>
      <c r="R64" s="65">
        <v>1</v>
      </c>
      <c r="S64" s="75">
        <v>1</v>
      </c>
      <c r="T64" s="75">
        <v>3</v>
      </c>
      <c r="U64" s="75">
        <v>3</v>
      </c>
      <c r="V64" s="75">
        <v>3</v>
      </c>
      <c r="W64" s="75">
        <v>3</v>
      </c>
    </row>
    <row r="65" spans="3:23" x14ac:dyDescent="0.15">
      <c r="C65" s="9">
        <v>16</v>
      </c>
      <c r="D65" s="60">
        <f t="shared" si="1"/>
        <v>80</v>
      </c>
      <c r="E65" s="61">
        <f>求节点(节奏总纲!$Z$4:$Z$83,节奏总纲!AC$4:AC$83,$D65)</f>
        <v>28507.724999999999</v>
      </c>
      <c r="F65" s="61">
        <f>求节点(节奏总纲!F$4:F$163,节奏总纲!$C$4:$C$163,E65)</f>
        <v>153.14946182958477</v>
      </c>
      <c r="G65" s="9">
        <v>16</v>
      </c>
      <c r="H65" s="66">
        <v>30</v>
      </c>
      <c r="L65" s="96"/>
      <c r="M65" s="96">
        <v>1</v>
      </c>
      <c r="O65" s="65">
        <v>1</v>
      </c>
      <c r="P65" s="65">
        <v>1</v>
      </c>
      <c r="Q65" s="65">
        <v>2</v>
      </c>
      <c r="R65" s="65">
        <v>1.5</v>
      </c>
      <c r="S65" s="75">
        <v>1</v>
      </c>
      <c r="T65" s="75">
        <v>3</v>
      </c>
      <c r="U65" s="75">
        <v>3</v>
      </c>
      <c r="V65" s="75">
        <v>3</v>
      </c>
      <c r="W65" s="75">
        <v>3</v>
      </c>
    </row>
    <row r="68" spans="3:23" x14ac:dyDescent="0.15">
      <c r="C68" s="9" t="s">
        <v>3</v>
      </c>
      <c r="I68" s="122" t="s">
        <v>136</v>
      </c>
      <c r="J68" s="122"/>
      <c r="K68" s="122"/>
      <c r="L68" s="122"/>
      <c r="M68" s="122"/>
      <c r="N68" s="122" t="s">
        <v>156</v>
      </c>
      <c r="O68" s="122"/>
      <c r="P68" s="122"/>
      <c r="Q68" s="122"/>
      <c r="R68" s="122"/>
      <c r="S68" s="122" t="s">
        <v>158</v>
      </c>
      <c r="T68" s="122"/>
      <c r="U68" s="122"/>
      <c r="V68" s="122"/>
      <c r="W68" s="122"/>
    </row>
    <row r="69" spans="3:23" x14ac:dyDescent="0.15">
      <c r="C69" s="9" t="s">
        <v>21</v>
      </c>
      <c r="D69" s="9" t="s">
        <v>121</v>
      </c>
      <c r="E69" s="58" t="s">
        <v>122</v>
      </c>
      <c r="F69" s="58" t="s">
        <v>103</v>
      </c>
      <c r="G69" s="9" t="s">
        <v>134</v>
      </c>
      <c r="H69" s="9" t="s">
        <v>135</v>
      </c>
      <c r="I69" s="58" t="s">
        <v>104</v>
      </c>
      <c r="J69" s="58" t="s">
        <v>105</v>
      </c>
      <c r="K69" s="58" t="s">
        <v>106</v>
      </c>
      <c r="L69" s="58" t="s">
        <v>107</v>
      </c>
      <c r="M69" s="58" t="s">
        <v>108</v>
      </c>
      <c r="N69" s="65" t="s">
        <v>104</v>
      </c>
      <c r="O69" s="65" t="s">
        <v>105</v>
      </c>
      <c r="P69" s="65" t="s">
        <v>106</v>
      </c>
      <c r="Q69" s="65" t="s">
        <v>107</v>
      </c>
      <c r="R69" s="65" t="s">
        <v>108</v>
      </c>
      <c r="S69" s="65" t="s">
        <v>104</v>
      </c>
      <c r="T69" s="65" t="s">
        <v>105</v>
      </c>
      <c r="U69" s="65" t="s">
        <v>106</v>
      </c>
      <c r="V69" s="65" t="s">
        <v>107</v>
      </c>
      <c r="W69" s="65" t="s">
        <v>108</v>
      </c>
    </row>
    <row r="70" spans="3:23" x14ac:dyDescent="0.15">
      <c r="C70" s="9">
        <v>1</v>
      </c>
      <c r="D70" s="60">
        <f>D50</f>
        <v>16</v>
      </c>
      <c r="E70" s="61">
        <f>求节点(节奏总纲!$Z$4:$Z$83,节奏总纲!AD$4:AD$83,$D70)</f>
        <v>1.0155087681570587</v>
      </c>
      <c r="F70" s="61">
        <f>求节点(节奏总纲!G$4:G$163,节奏总纲!$C$4:$C$163,E70)</f>
        <v>15.589627930182091</v>
      </c>
      <c r="G70" s="9">
        <v>1</v>
      </c>
      <c r="H70" s="66">
        <v>3</v>
      </c>
      <c r="K70" s="115">
        <v>1</v>
      </c>
      <c r="S70" s="75">
        <v>1</v>
      </c>
      <c r="T70" s="75">
        <v>1</v>
      </c>
      <c r="U70" s="75">
        <v>1</v>
      </c>
      <c r="V70" s="75">
        <v>1</v>
      </c>
      <c r="W70" s="75">
        <v>1</v>
      </c>
    </row>
    <row r="71" spans="3:23" x14ac:dyDescent="0.15">
      <c r="C71" s="9">
        <v>2</v>
      </c>
      <c r="D71" s="60">
        <f t="shared" ref="D71:D85" si="2">D51</f>
        <v>19.5</v>
      </c>
      <c r="E71" s="61">
        <f>求节点(节奏总纲!$Z$4:$Z$83,节奏总纲!AD$4:AD$83,$D71)</f>
        <v>1.9291590128661831</v>
      </c>
      <c r="F71" s="61">
        <f>求节点(节奏总纲!G$4:G$163,节奏总纲!$C$4:$C$163,E71)</f>
        <v>22.124520244011151</v>
      </c>
      <c r="G71" s="9">
        <v>2</v>
      </c>
      <c r="H71" s="66">
        <v>6</v>
      </c>
      <c r="K71" s="115">
        <v>1</v>
      </c>
      <c r="Q71" s="99"/>
      <c r="S71" s="75">
        <v>1</v>
      </c>
      <c r="T71" s="75">
        <v>1</v>
      </c>
      <c r="U71" s="75">
        <v>1</v>
      </c>
      <c r="V71" s="75">
        <v>1</v>
      </c>
      <c r="W71" s="75">
        <v>1</v>
      </c>
    </row>
    <row r="72" spans="3:23" x14ac:dyDescent="0.15">
      <c r="C72" s="9">
        <v>3</v>
      </c>
      <c r="D72" s="60">
        <f t="shared" si="2"/>
        <v>23.5</v>
      </c>
      <c r="E72" s="61">
        <f>求节点(节奏总纲!$Z$4:$Z$83,节奏总纲!AD$4:AD$83,$D72)</f>
        <v>3.8620055508637692</v>
      </c>
      <c r="F72" s="61">
        <f>求节点(节奏总纲!G$4:G$163,节奏总纲!$C$4:$C$163,E72)</f>
        <v>30.385092920099169</v>
      </c>
      <c r="G72" s="9">
        <v>3</v>
      </c>
      <c r="H72" s="66">
        <v>9</v>
      </c>
      <c r="K72" s="115">
        <v>0.5</v>
      </c>
      <c r="L72" s="58">
        <v>0.5</v>
      </c>
      <c r="Q72" s="99"/>
      <c r="S72" s="75">
        <v>1</v>
      </c>
      <c r="T72" s="75">
        <v>1</v>
      </c>
      <c r="U72" s="75">
        <v>1</v>
      </c>
      <c r="V72" s="75">
        <v>1</v>
      </c>
      <c r="W72" s="75">
        <v>1</v>
      </c>
    </row>
    <row r="73" spans="3:23" x14ac:dyDescent="0.15">
      <c r="C73" s="9">
        <v>4</v>
      </c>
      <c r="D73" s="60">
        <f t="shared" si="2"/>
        <v>27.5</v>
      </c>
      <c r="E73" s="61">
        <f>求节点(节奏总纲!$Z$4:$Z$83,节奏总纲!AD$4:AD$83,$D73)</f>
        <v>7.5480892551941539</v>
      </c>
      <c r="F73" s="61">
        <f>求节点(节奏总纲!G$4:G$163,节奏总纲!$C$4:$C$163,E73)</f>
        <v>39.22082982715331</v>
      </c>
      <c r="G73" s="9">
        <v>4</v>
      </c>
      <c r="H73" s="66">
        <v>12</v>
      </c>
      <c r="L73" s="58">
        <v>1</v>
      </c>
      <c r="Q73" s="99"/>
      <c r="S73" s="75">
        <v>1</v>
      </c>
      <c r="T73" s="75">
        <v>2</v>
      </c>
      <c r="U73" s="75">
        <v>1</v>
      </c>
      <c r="V73" s="75">
        <v>1</v>
      </c>
      <c r="W73" s="75">
        <v>1</v>
      </c>
    </row>
    <row r="74" spans="3:23" x14ac:dyDescent="0.15">
      <c r="C74" s="9">
        <v>5</v>
      </c>
      <c r="D74" s="60">
        <f t="shared" si="2"/>
        <v>31.5</v>
      </c>
      <c r="E74" s="61">
        <f>求节点(节奏总纲!$Z$4:$Z$83,节奏总纲!AD$4:AD$83,$D74)</f>
        <v>14.515695505432269</v>
      </c>
      <c r="F74" s="61">
        <f>求节点(节奏总纲!G$4:G$163,节奏总纲!$C$4:$C$163,E74)</f>
        <v>48.246535012671018</v>
      </c>
      <c r="G74" s="9">
        <v>5</v>
      </c>
      <c r="H74" s="66">
        <v>15</v>
      </c>
      <c r="L74" s="58">
        <v>1</v>
      </c>
      <c r="Q74" s="115">
        <v>0.5</v>
      </c>
      <c r="S74" s="75">
        <v>1</v>
      </c>
      <c r="T74" s="75">
        <v>3</v>
      </c>
      <c r="U74" s="75">
        <v>1</v>
      </c>
      <c r="V74" s="75">
        <v>1</v>
      </c>
      <c r="W74" s="75">
        <v>1</v>
      </c>
    </row>
    <row r="75" spans="3:23" x14ac:dyDescent="0.15">
      <c r="C75" s="9">
        <v>6</v>
      </c>
      <c r="D75" s="60">
        <f t="shared" si="2"/>
        <v>35.5</v>
      </c>
      <c r="E75" s="61">
        <f>求节点(节奏总纲!$Z$4:$Z$83,节奏总纲!AD$4:AD$83,$D75)</f>
        <v>27.449372333401666</v>
      </c>
      <c r="F75" s="61">
        <f>求节点(节奏总纲!G$4:G$163,节奏总纲!$C$4:$C$163,E75)</f>
        <v>57.411337115405701</v>
      </c>
      <c r="G75" s="9">
        <v>6</v>
      </c>
      <c r="H75" s="66">
        <v>18</v>
      </c>
      <c r="L75" s="58">
        <v>1</v>
      </c>
      <c r="Q75" s="115">
        <v>1</v>
      </c>
      <c r="S75" s="75">
        <v>1</v>
      </c>
      <c r="T75" s="75">
        <v>3</v>
      </c>
      <c r="U75" s="75">
        <v>1</v>
      </c>
      <c r="V75" s="75">
        <v>1</v>
      </c>
      <c r="W75" s="75">
        <v>1</v>
      </c>
    </row>
    <row r="76" spans="3:23" x14ac:dyDescent="0.15">
      <c r="C76" s="9">
        <v>7</v>
      </c>
      <c r="D76" s="60">
        <f t="shared" si="2"/>
        <v>39.5</v>
      </c>
      <c r="E76" s="61">
        <f>求节点(节奏总纲!$Z$4:$Z$83,节奏总纲!AD$4:AD$83,$D76)</f>
        <v>49.848538197196007</v>
      </c>
      <c r="F76" s="61">
        <f>求节点(节奏总纲!G$4:G$163,节奏总纲!$C$4:$C$163,E76)</f>
        <v>65.902718877121345</v>
      </c>
      <c r="G76" s="9">
        <v>7</v>
      </c>
      <c r="H76" s="66">
        <v>21</v>
      </c>
      <c r="L76" s="58">
        <v>1</v>
      </c>
      <c r="Q76" s="115">
        <v>1.5</v>
      </c>
      <c r="S76" s="75">
        <v>1</v>
      </c>
      <c r="T76" s="75">
        <v>3</v>
      </c>
      <c r="U76" s="75">
        <v>2</v>
      </c>
      <c r="V76" s="75">
        <v>1</v>
      </c>
      <c r="W76" s="75">
        <v>1</v>
      </c>
    </row>
    <row r="77" spans="3:23" x14ac:dyDescent="0.15">
      <c r="C77" s="9">
        <v>8</v>
      </c>
      <c r="D77" s="60">
        <f t="shared" si="2"/>
        <v>43.5</v>
      </c>
      <c r="E77" s="61">
        <f>求节点(节奏总纲!$Z$4:$Z$83,节奏总纲!AD$4:AD$83,$D77)</f>
        <v>90.273217467309593</v>
      </c>
      <c r="F77" s="61">
        <f>求节点(节奏总纲!G$4:G$163,节奏总纲!$C$4:$C$163,E77)</f>
        <v>74.536451869422805</v>
      </c>
      <c r="G77" s="9">
        <v>8</v>
      </c>
      <c r="H77" s="66">
        <v>24</v>
      </c>
      <c r="L77" s="58">
        <v>0.8</v>
      </c>
      <c r="M77" s="58">
        <v>0.2</v>
      </c>
      <c r="Q77" s="115">
        <v>2</v>
      </c>
      <c r="S77" s="75">
        <v>1</v>
      </c>
      <c r="T77" s="75">
        <v>3</v>
      </c>
      <c r="U77" s="75">
        <v>2</v>
      </c>
      <c r="V77" s="75">
        <v>1</v>
      </c>
      <c r="W77" s="75">
        <v>1</v>
      </c>
    </row>
    <row r="78" spans="3:23" x14ac:dyDescent="0.15">
      <c r="C78" s="9">
        <v>9</v>
      </c>
      <c r="D78" s="60">
        <f t="shared" si="2"/>
        <v>47.5</v>
      </c>
      <c r="E78" s="61">
        <f>求节点(节奏总纲!$Z$4:$Z$83,节奏总纲!AD$4:AD$83,$D78)</f>
        <v>163.13415930738643</v>
      </c>
      <c r="F78" s="61">
        <f>求节点(节奏总纲!G$4:G$163,节奏总纲!$C$4:$C$163,E78)</f>
        <v>83.136424497546074</v>
      </c>
      <c r="G78" s="9">
        <v>9</v>
      </c>
      <c r="H78" s="9">
        <v>27</v>
      </c>
      <c r="L78" s="58">
        <v>0.6</v>
      </c>
      <c r="M78" s="58">
        <v>0.4</v>
      </c>
      <c r="Q78" s="65">
        <v>2</v>
      </c>
      <c r="S78" s="75">
        <v>1</v>
      </c>
      <c r="T78" s="75">
        <v>3</v>
      </c>
      <c r="U78" s="75">
        <v>3</v>
      </c>
      <c r="V78" s="75">
        <v>1</v>
      </c>
      <c r="W78" s="75">
        <v>1</v>
      </c>
    </row>
    <row r="79" spans="3:23" x14ac:dyDescent="0.15">
      <c r="C79" s="9">
        <v>10</v>
      </c>
      <c r="D79" s="60">
        <f t="shared" si="2"/>
        <v>52</v>
      </c>
      <c r="E79" s="61">
        <f>求节点(节奏总纲!$Z$4:$Z$83,节奏总纲!AD$4:AD$83,$D79)</f>
        <v>315.94120754775781</v>
      </c>
      <c r="F79" s="61">
        <f>求节点(节奏总纲!G$4:G$163,节奏总纲!$C$4:$C$163,E79)</f>
        <v>93.208444061349098</v>
      </c>
      <c r="G79" s="9">
        <v>10</v>
      </c>
      <c r="H79" s="66">
        <v>30</v>
      </c>
      <c r="L79" s="58">
        <v>0.4</v>
      </c>
      <c r="M79" s="58">
        <v>0.6</v>
      </c>
      <c r="Q79" s="65">
        <v>2</v>
      </c>
      <c r="S79" s="75">
        <v>1</v>
      </c>
      <c r="T79" s="75">
        <v>3</v>
      </c>
      <c r="U79" s="75">
        <v>3</v>
      </c>
      <c r="V79" s="75">
        <v>2</v>
      </c>
      <c r="W79" s="75">
        <v>2</v>
      </c>
    </row>
    <row r="80" spans="3:23" x14ac:dyDescent="0.15">
      <c r="C80" s="9">
        <v>11</v>
      </c>
      <c r="D80" s="60">
        <f t="shared" si="2"/>
        <v>57</v>
      </c>
      <c r="E80" s="61">
        <f>求节点(节奏总纲!$Z$4:$Z$83,节奏总纲!AD$4:AD$83,$D80)</f>
        <v>659.12993710814465</v>
      </c>
      <c r="F80" s="61">
        <f>求节点(节奏总纲!G$4:G$163,节奏总纲!$C$4:$C$163,E80)</f>
        <v>103.87052361677672</v>
      </c>
      <c r="G80" s="9">
        <v>11</v>
      </c>
      <c r="H80" s="66">
        <v>30</v>
      </c>
      <c r="L80" s="58">
        <v>0.2</v>
      </c>
      <c r="M80" s="58">
        <v>0.8</v>
      </c>
      <c r="Q80" s="65">
        <v>2</v>
      </c>
      <c r="S80" s="75">
        <v>1</v>
      </c>
      <c r="T80" s="75">
        <v>3</v>
      </c>
      <c r="U80" s="75">
        <v>3</v>
      </c>
      <c r="V80" s="75">
        <v>2</v>
      </c>
      <c r="W80" s="75">
        <v>2</v>
      </c>
    </row>
    <row r="81" spans="3:23" x14ac:dyDescent="0.15">
      <c r="C81" s="9">
        <v>12</v>
      </c>
      <c r="D81" s="60">
        <f t="shared" si="2"/>
        <v>62</v>
      </c>
      <c r="E81" s="61">
        <f>求节点(节奏总纲!$Z$4:$Z$83,节奏总纲!AD$4:AD$83,$D81)</f>
        <v>1372.540918241546</v>
      </c>
      <c r="F81" s="61">
        <f>求节点(节奏总纲!G$4:G$163,节奏总纲!$C$4:$C$163,E81)</f>
        <v>114.60606674176169</v>
      </c>
      <c r="G81" s="9">
        <v>12</v>
      </c>
      <c r="H81" s="66">
        <v>30</v>
      </c>
      <c r="M81" s="58">
        <v>1</v>
      </c>
      <c r="Q81" s="65">
        <v>2</v>
      </c>
      <c r="S81" s="75">
        <v>1</v>
      </c>
      <c r="T81" s="75">
        <v>3</v>
      </c>
      <c r="U81" s="75">
        <v>3</v>
      </c>
      <c r="V81" s="75">
        <v>2</v>
      </c>
      <c r="W81" s="75">
        <v>2</v>
      </c>
    </row>
    <row r="82" spans="3:23" x14ac:dyDescent="0.15">
      <c r="C82" s="9">
        <v>13</v>
      </c>
      <c r="D82" s="60">
        <f t="shared" si="2"/>
        <v>67</v>
      </c>
      <c r="E82" s="61">
        <f>求节点(节奏总纲!$Z$4:$Z$83,节奏总纲!AD$4:AD$83,$D82)</f>
        <v>2853.4199245336076</v>
      </c>
      <c r="F82" s="61">
        <f>求节点(节奏总纲!G$4:G$163,节奏总纲!$C$4:$C$163,E82)</f>
        <v>125.19410714767859</v>
      </c>
      <c r="G82" s="9">
        <v>13</v>
      </c>
      <c r="H82" s="66">
        <v>30</v>
      </c>
      <c r="M82" s="58">
        <v>1</v>
      </c>
      <c r="Q82" s="65">
        <v>2</v>
      </c>
      <c r="R82" s="65">
        <v>0.5</v>
      </c>
      <c r="S82" s="75">
        <v>1</v>
      </c>
      <c r="T82" s="75">
        <v>3</v>
      </c>
      <c r="U82" s="75">
        <v>3</v>
      </c>
      <c r="V82" s="75">
        <v>2</v>
      </c>
      <c r="W82" s="75">
        <v>2</v>
      </c>
    </row>
    <row r="83" spans="3:23" x14ac:dyDescent="0.15">
      <c r="C83" s="9">
        <v>14</v>
      </c>
      <c r="D83" s="60">
        <f t="shared" si="2"/>
        <v>72</v>
      </c>
      <c r="E83" s="61">
        <f>求节点(节奏总纲!$Z$4:$Z$83,节奏总纲!AD$4:AD$83,$D83)</f>
        <v>5923.2820251682469</v>
      </c>
      <c r="F83" s="61">
        <f>求节点(节奏总纲!G$4:G$163,节奏总纲!$C$4:$C$163,E83)</f>
        <v>135.89542876835631</v>
      </c>
      <c r="G83" s="9">
        <v>14</v>
      </c>
      <c r="H83" s="66">
        <v>30</v>
      </c>
      <c r="M83" s="58">
        <v>1</v>
      </c>
      <c r="Q83" s="65">
        <v>2</v>
      </c>
      <c r="R83" s="65">
        <v>1</v>
      </c>
      <c r="S83" s="75">
        <v>1</v>
      </c>
      <c r="T83" s="75">
        <v>3</v>
      </c>
      <c r="U83" s="75">
        <v>3</v>
      </c>
      <c r="V83" s="75">
        <v>3</v>
      </c>
      <c r="W83" s="75">
        <v>3</v>
      </c>
    </row>
    <row r="84" spans="3:23" x14ac:dyDescent="0.15">
      <c r="C84" s="9">
        <v>15</v>
      </c>
      <c r="D84" s="60">
        <f t="shared" si="2"/>
        <v>77</v>
      </c>
      <c r="E84" s="61">
        <f>求节点(节奏总纲!$Z$4:$Z$83,节奏总纲!AD$4:AD$83,$D84)</f>
        <v>12279.204402538555</v>
      </c>
      <c r="F84" s="61">
        <f>求节点(节奏总纲!G$4:G$163,节奏总纲!$C$4:$C$163,E84)</f>
        <v>146.55064673623977</v>
      </c>
      <c r="G84" s="9">
        <v>15</v>
      </c>
      <c r="H84" s="66">
        <v>30</v>
      </c>
      <c r="M84" s="58">
        <v>1</v>
      </c>
      <c r="Q84" s="65">
        <v>2</v>
      </c>
      <c r="R84" s="65">
        <v>1.5</v>
      </c>
      <c r="S84" s="75">
        <v>1</v>
      </c>
      <c r="T84" s="75">
        <v>3</v>
      </c>
      <c r="U84" s="75">
        <v>3</v>
      </c>
      <c r="V84" s="75">
        <v>3</v>
      </c>
      <c r="W84" s="75">
        <v>3</v>
      </c>
    </row>
    <row r="85" spans="3:23" x14ac:dyDescent="0.15">
      <c r="C85" s="9">
        <v>16</v>
      </c>
      <c r="D85" s="60">
        <f t="shared" si="2"/>
        <v>80</v>
      </c>
      <c r="E85" s="61">
        <f>求节点(节奏总纲!$Z$4:$Z$83,节奏总纲!AD$4:AD$83,$D85)</f>
        <v>19005.150000000001</v>
      </c>
      <c r="F85" s="61">
        <f>求节点(节奏总纲!G$4:G$163,节奏总纲!$C$4:$C$163,E85)</f>
        <v>152.12605579164665</v>
      </c>
      <c r="G85" s="9">
        <v>16</v>
      </c>
      <c r="H85" s="9">
        <v>30</v>
      </c>
      <c r="M85" s="58">
        <v>1</v>
      </c>
      <c r="Q85" s="65">
        <v>2</v>
      </c>
      <c r="R85" s="65">
        <v>2</v>
      </c>
      <c r="S85" s="75">
        <v>1</v>
      </c>
      <c r="T85" s="75">
        <v>3</v>
      </c>
      <c r="U85" s="75">
        <v>3</v>
      </c>
      <c r="V85" s="75">
        <v>3</v>
      </c>
      <c r="W85" s="75">
        <v>3</v>
      </c>
    </row>
    <row r="88" spans="3:23" x14ac:dyDescent="0.15">
      <c r="C88" s="9" t="s">
        <v>4</v>
      </c>
      <c r="I88" s="122" t="s">
        <v>136</v>
      </c>
      <c r="J88" s="122"/>
      <c r="K88" s="122"/>
      <c r="L88" s="122"/>
      <c r="M88" s="122"/>
      <c r="N88" s="122" t="s">
        <v>156</v>
      </c>
      <c r="O88" s="122"/>
      <c r="P88" s="122"/>
      <c r="Q88" s="122"/>
      <c r="R88" s="122"/>
      <c r="S88" s="122" t="s">
        <v>158</v>
      </c>
      <c r="T88" s="122"/>
      <c r="U88" s="122"/>
      <c r="V88" s="122"/>
      <c r="W88" s="122"/>
    </row>
    <row r="89" spans="3:23" x14ac:dyDescent="0.15">
      <c r="C89" s="9" t="s">
        <v>21</v>
      </c>
      <c r="D89" s="9" t="s">
        <v>121</v>
      </c>
      <c r="E89" s="58" t="s">
        <v>122</v>
      </c>
      <c r="F89" s="58" t="s">
        <v>103</v>
      </c>
      <c r="G89" s="9" t="s">
        <v>134</v>
      </c>
      <c r="H89" s="9" t="s">
        <v>135</v>
      </c>
      <c r="I89" s="58" t="s">
        <v>104</v>
      </c>
      <c r="J89" s="58" t="s">
        <v>105</v>
      </c>
      <c r="K89" s="58" t="s">
        <v>106</v>
      </c>
      <c r="L89" s="58" t="s">
        <v>107</v>
      </c>
      <c r="M89" s="58" t="s">
        <v>108</v>
      </c>
      <c r="N89" s="65" t="s">
        <v>104</v>
      </c>
      <c r="O89" s="65" t="s">
        <v>105</v>
      </c>
      <c r="P89" s="65" t="s">
        <v>106</v>
      </c>
      <c r="Q89" s="65" t="s">
        <v>107</v>
      </c>
      <c r="R89" s="65" t="s">
        <v>108</v>
      </c>
      <c r="S89" s="65" t="s">
        <v>104</v>
      </c>
      <c r="T89" s="65" t="s">
        <v>105</v>
      </c>
      <c r="U89" s="65" t="s">
        <v>106</v>
      </c>
      <c r="V89" s="65" t="s">
        <v>107</v>
      </c>
      <c r="W89" s="65" t="s">
        <v>108</v>
      </c>
    </row>
    <row r="90" spans="3:23" x14ac:dyDescent="0.15">
      <c r="C90" s="9">
        <v>1</v>
      </c>
      <c r="D90" s="60">
        <f>D70</f>
        <v>16</v>
      </c>
      <c r="E90" s="61">
        <f>求节点(节奏总纲!$Z$4:$Z$83,节奏总纲!AE$4:AE$83,$D90)</f>
        <v>0.50775438407852935</v>
      </c>
      <c r="F90" s="61">
        <f>求节点(节奏总纲!H$4:H$163,节奏总纲!$C$4:$C$163,E90)</f>
        <v>14.671687356650759</v>
      </c>
      <c r="G90" s="9">
        <v>1</v>
      </c>
      <c r="H90" s="66">
        <v>3</v>
      </c>
      <c r="K90" s="115">
        <v>1</v>
      </c>
      <c r="L90" s="115"/>
      <c r="Q90" s="115"/>
      <c r="S90" s="75">
        <v>1</v>
      </c>
      <c r="T90" s="75">
        <v>1</v>
      </c>
      <c r="U90" s="75">
        <v>1</v>
      </c>
      <c r="V90" s="75">
        <v>1</v>
      </c>
      <c r="W90" s="75">
        <v>1</v>
      </c>
    </row>
    <row r="91" spans="3:23" x14ac:dyDescent="0.15">
      <c r="C91" s="9">
        <v>2</v>
      </c>
      <c r="D91" s="60">
        <f t="shared" ref="D91:D105" si="3">D71</f>
        <v>19.5</v>
      </c>
      <c r="E91" s="61">
        <f>求节点(节奏总纲!$Z$4:$Z$83,节奏总纲!AE$4:AE$83,$D91)</f>
        <v>0.96457950643309154</v>
      </c>
      <c r="F91" s="61">
        <f>求节点(节奏总纲!H$4:H$163,节奏总纲!$C$4:$C$163,E91)</f>
        <v>20.922787117743994</v>
      </c>
      <c r="G91" s="9">
        <v>2</v>
      </c>
      <c r="H91" s="66">
        <v>6</v>
      </c>
      <c r="K91" s="115">
        <v>1</v>
      </c>
      <c r="L91" s="115"/>
      <c r="Q91" s="115"/>
      <c r="S91" s="75">
        <v>1</v>
      </c>
      <c r="T91" s="75">
        <v>1</v>
      </c>
      <c r="U91" s="75">
        <v>1</v>
      </c>
      <c r="V91" s="75">
        <v>1</v>
      </c>
      <c r="W91" s="75">
        <v>1</v>
      </c>
    </row>
    <row r="92" spans="3:23" x14ac:dyDescent="0.15">
      <c r="C92" s="9">
        <v>3</v>
      </c>
      <c r="D92" s="60">
        <f t="shared" si="3"/>
        <v>23.5</v>
      </c>
      <c r="E92" s="61">
        <f>求节点(节奏总纲!$Z$4:$Z$83,节奏总纲!AE$4:AE$83,$D92)</f>
        <v>1.9310027754318846</v>
      </c>
      <c r="F92" s="61">
        <f>求节点(节奏总纲!H$4:H$163,节奏总纲!$C$4:$C$163,E92)</f>
        <v>28.96506192552858</v>
      </c>
      <c r="G92" s="9">
        <v>3</v>
      </c>
      <c r="H92" s="66">
        <v>9</v>
      </c>
      <c r="K92" s="115">
        <v>0.5</v>
      </c>
      <c r="L92" s="115">
        <v>0.5</v>
      </c>
      <c r="Q92" s="115"/>
      <c r="S92" s="75">
        <v>1</v>
      </c>
      <c r="T92" s="75">
        <v>1</v>
      </c>
      <c r="U92" s="75">
        <v>1</v>
      </c>
      <c r="V92" s="75">
        <v>1</v>
      </c>
      <c r="W92" s="75">
        <v>1</v>
      </c>
    </row>
    <row r="93" spans="3:23" x14ac:dyDescent="0.15">
      <c r="C93" s="9">
        <v>4</v>
      </c>
      <c r="D93" s="60">
        <f t="shared" si="3"/>
        <v>27.5</v>
      </c>
      <c r="E93" s="61">
        <f>求节点(节奏总纲!$Z$4:$Z$83,节奏总纲!AE$4:AE$83,$D93)</f>
        <v>3.7740446275970769</v>
      </c>
      <c r="F93" s="61">
        <f>求节点(节奏总纲!H$4:H$163,节奏总纲!$C$4:$C$163,E93)</f>
        <v>37.642488096871389</v>
      </c>
      <c r="G93" s="9">
        <v>4</v>
      </c>
      <c r="H93" s="66">
        <v>12</v>
      </c>
      <c r="L93" s="58">
        <v>1</v>
      </c>
      <c r="Q93" s="115"/>
      <c r="S93" s="75">
        <v>1</v>
      </c>
      <c r="T93" s="75">
        <v>2</v>
      </c>
      <c r="U93" s="75">
        <v>1</v>
      </c>
      <c r="V93" s="75">
        <v>1</v>
      </c>
      <c r="W93" s="75">
        <v>1</v>
      </c>
    </row>
    <row r="94" spans="3:23" x14ac:dyDescent="0.15">
      <c r="C94" s="9">
        <v>5</v>
      </c>
      <c r="D94" s="60">
        <f t="shared" si="3"/>
        <v>31.5</v>
      </c>
      <c r="E94" s="61">
        <f>求节点(节奏总纲!$Z$4:$Z$83,节奏总纲!AE$4:AE$83,$D94)</f>
        <v>7.2578477527161347</v>
      </c>
      <c r="F94" s="61">
        <f>求节点(节奏总纲!H$4:H$163,节奏总纲!$C$4:$C$163,E94)</f>
        <v>46.621425173369133</v>
      </c>
      <c r="G94" s="9">
        <v>5</v>
      </c>
      <c r="H94" s="66">
        <v>15</v>
      </c>
      <c r="L94" s="58">
        <v>1</v>
      </c>
      <c r="Q94" s="115">
        <v>0.5</v>
      </c>
      <c r="S94" s="75">
        <v>1</v>
      </c>
      <c r="T94" s="75">
        <v>3</v>
      </c>
      <c r="U94" s="75">
        <v>1</v>
      </c>
      <c r="V94" s="75">
        <v>1</v>
      </c>
      <c r="W94" s="75">
        <v>1</v>
      </c>
    </row>
    <row r="95" spans="3:23" x14ac:dyDescent="0.15">
      <c r="C95" s="9">
        <v>6</v>
      </c>
      <c r="D95" s="60">
        <f t="shared" si="3"/>
        <v>35.5</v>
      </c>
      <c r="E95" s="61">
        <f>求节点(节奏总纲!$Z$4:$Z$83,节奏总纲!AE$4:AE$83,$D95)</f>
        <v>13.724686166700833</v>
      </c>
      <c r="F95" s="61">
        <f>求节点(节奏总纲!H$4:H$163,节奏总纲!$C$4:$C$163,E95)</f>
        <v>55.873561913262044</v>
      </c>
      <c r="G95" s="9">
        <v>6</v>
      </c>
      <c r="H95" s="66">
        <v>18</v>
      </c>
      <c r="L95" s="58">
        <v>1</v>
      </c>
      <c r="Q95" s="115">
        <v>1</v>
      </c>
      <c r="S95" s="75">
        <v>1</v>
      </c>
      <c r="T95" s="75">
        <v>3</v>
      </c>
      <c r="U95" s="75">
        <v>1</v>
      </c>
      <c r="V95" s="75">
        <v>1</v>
      </c>
      <c r="W95" s="75">
        <v>1</v>
      </c>
    </row>
    <row r="96" spans="3:23" x14ac:dyDescent="0.15">
      <c r="C96" s="9">
        <v>7</v>
      </c>
      <c r="D96" s="60">
        <f t="shared" si="3"/>
        <v>39.5</v>
      </c>
      <c r="E96" s="61">
        <f>求节点(节奏总纲!$Z$4:$Z$83,节奏总纲!AE$4:AE$83,$D96)</f>
        <v>24.924269098598003</v>
      </c>
      <c r="F96" s="61">
        <f>求节点(节奏总纲!H$4:H$163,节奏总纲!$C$4:$C$163,E96)</f>
        <v>64.352574598751431</v>
      </c>
      <c r="G96" s="9">
        <v>7</v>
      </c>
      <c r="H96" s="66">
        <v>21</v>
      </c>
      <c r="L96" s="58">
        <v>1</v>
      </c>
      <c r="Q96" s="115">
        <v>1.5</v>
      </c>
      <c r="S96" s="75">
        <v>1</v>
      </c>
      <c r="T96" s="75">
        <v>3</v>
      </c>
      <c r="U96" s="75">
        <v>2</v>
      </c>
      <c r="V96" s="75">
        <v>1</v>
      </c>
      <c r="W96" s="75">
        <v>1</v>
      </c>
    </row>
    <row r="97" spans="3:23" x14ac:dyDescent="0.15">
      <c r="C97" s="9">
        <v>8</v>
      </c>
      <c r="D97" s="60">
        <f t="shared" si="3"/>
        <v>43.5</v>
      </c>
      <c r="E97" s="61">
        <f>求节点(节奏总纲!$Z$4:$Z$83,节奏总纲!AE$4:AE$83,$D97)</f>
        <v>45.136608733654796</v>
      </c>
      <c r="F97" s="61">
        <f>求节点(节奏总纲!H$4:H$163,节奏总纲!$C$4:$C$163,E97)</f>
        <v>73.078652735991781</v>
      </c>
      <c r="G97" s="9">
        <v>8</v>
      </c>
      <c r="H97" s="66">
        <v>24</v>
      </c>
      <c r="L97" s="58">
        <v>0.75</v>
      </c>
      <c r="M97" s="58">
        <v>0.25</v>
      </c>
      <c r="Q97" s="115">
        <v>2</v>
      </c>
      <c r="S97" s="75">
        <v>1</v>
      </c>
      <c r="T97" s="75">
        <v>3</v>
      </c>
      <c r="U97" s="75">
        <v>2</v>
      </c>
      <c r="V97" s="75">
        <v>1</v>
      </c>
      <c r="W97" s="75">
        <v>1</v>
      </c>
    </row>
    <row r="98" spans="3:23" x14ac:dyDescent="0.15">
      <c r="C98" s="9">
        <v>9</v>
      </c>
      <c r="D98" s="60">
        <f t="shared" si="3"/>
        <v>47.5</v>
      </c>
      <c r="E98" s="61">
        <f>求节点(节奏总纲!$Z$4:$Z$83,节奏总纲!AE$4:AE$83,$D98)</f>
        <v>81.567079653693213</v>
      </c>
      <c r="F98" s="61">
        <f>求节点(节奏总纲!H$4:H$163,节奏总纲!$C$4:$C$163,E98)</f>
        <v>81.690385070357735</v>
      </c>
      <c r="G98" s="9">
        <v>9</v>
      </c>
      <c r="H98" s="9">
        <v>27</v>
      </c>
      <c r="L98" s="58">
        <v>0.5</v>
      </c>
      <c r="M98" s="58">
        <v>0.5</v>
      </c>
      <c r="Q98" s="115">
        <v>2</v>
      </c>
      <c r="S98" s="75">
        <v>1</v>
      </c>
      <c r="T98" s="75">
        <v>3</v>
      </c>
      <c r="U98" s="75">
        <v>3</v>
      </c>
      <c r="V98" s="75">
        <v>1</v>
      </c>
      <c r="W98" s="75">
        <v>1</v>
      </c>
    </row>
    <row r="99" spans="3:23" x14ac:dyDescent="0.15">
      <c r="C99" s="9">
        <v>10</v>
      </c>
      <c r="D99" s="60">
        <f t="shared" si="3"/>
        <v>52</v>
      </c>
      <c r="E99" s="61">
        <f>求节点(节奏总纲!$Z$4:$Z$83,节奏总纲!AE$4:AE$83,$D99)</f>
        <v>157.97060377387891</v>
      </c>
      <c r="F99" s="61">
        <f>求节点(节奏总纲!H$4:H$163,节奏总纲!$C$4:$C$163,E99)</f>
        <v>92.03038330510195</v>
      </c>
      <c r="G99" s="9">
        <v>10</v>
      </c>
      <c r="H99" s="66">
        <v>30</v>
      </c>
      <c r="L99" s="58">
        <v>0.25</v>
      </c>
      <c r="M99" s="58">
        <v>0.75</v>
      </c>
      <c r="Q99" s="65">
        <v>2</v>
      </c>
      <c r="S99" s="75">
        <v>1</v>
      </c>
      <c r="T99" s="75">
        <v>3</v>
      </c>
      <c r="U99" s="75">
        <v>3</v>
      </c>
      <c r="V99" s="75">
        <v>2</v>
      </c>
      <c r="W99" s="75">
        <v>2</v>
      </c>
    </row>
    <row r="100" spans="3:23" x14ac:dyDescent="0.15">
      <c r="C100" s="9">
        <v>11</v>
      </c>
      <c r="D100" s="60">
        <f t="shared" si="3"/>
        <v>57</v>
      </c>
      <c r="E100" s="61">
        <f>求节点(节奏总纲!$Z$4:$Z$83,节奏总纲!AE$4:AE$83,$D100)</f>
        <v>329.56496855407232</v>
      </c>
      <c r="F100" s="61">
        <f>求节点(节奏总纲!H$4:H$163,节奏总纲!$C$4:$C$163,E100)</f>
        <v>102.71853803916484</v>
      </c>
      <c r="G100" s="9">
        <v>11</v>
      </c>
      <c r="H100" s="9">
        <v>30</v>
      </c>
      <c r="M100" s="58">
        <v>1</v>
      </c>
      <c r="Q100" s="65">
        <v>2</v>
      </c>
      <c r="S100" s="75">
        <v>1</v>
      </c>
      <c r="T100" s="75">
        <v>3</v>
      </c>
      <c r="U100" s="75">
        <v>3</v>
      </c>
      <c r="V100" s="75">
        <v>2</v>
      </c>
      <c r="W100" s="75">
        <v>2</v>
      </c>
    </row>
    <row r="101" spans="3:23" x14ac:dyDescent="0.15">
      <c r="C101" s="9">
        <v>12</v>
      </c>
      <c r="D101" s="60">
        <f t="shared" si="3"/>
        <v>62</v>
      </c>
      <c r="E101" s="61">
        <f>求节点(节奏总纲!$Z$4:$Z$83,节奏总纲!AE$4:AE$83,$D101)</f>
        <v>686.27045912077301</v>
      </c>
      <c r="F101" s="61">
        <f>求节点(节奏总纲!H$4:H$163,节奏总纲!$C$4:$C$163,E101)</f>
        <v>113.4549371467006</v>
      </c>
      <c r="G101" s="9">
        <v>12</v>
      </c>
      <c r="H101" s="66">
        <v>30</v>
      </c>
      <c r="M101" s="58">
        <v>1</v>
      </c>
      <c r="Q101" s="65">
        <v>2</v>
      </c>
      <c r="R101" s="65">
        <v>1</v>
      </c>
      <c r="S101" s="75">
        <v>1</v>
      </c>
      <c r="T101" s="75">
        <v>3</v>
      </c>
      <c r="U101" s="75">
        <v>3</v>
      </c>
      <c r="V101" s="75">
        <v>2</v>
      </c>
      <c r="W101" s="75">
        <v>2</v>
      </c>
    </row>
    <row r="102" spans="3:23" x14ac:dyDescent="0.15">
      <c r="C102" s="9">
        <v>13</v>
      </c>
      <c r="D102" s="60">
        <f t="shared" si="3"/>
        <v>67</v>
      </c>
      <c r="E102" s="61">
        <f>求节点(节奏总纲!$Z$4:$Z$83,节奏总纲!AE$4:AE$83,$D102)</f>
        <v>1426.7099622668038</v>
      </c>
      <c r="F102" s="61">
        <f>求节点(节奏总纲!H$4:H$163,节奏总纲!$C$4:$C$163,E102)</f>
        <v>124.11624751239822</v>
      </c>
      <c r="G102" s="9">
        <v>13</v>
      </c>
      <c r="H102" s="66">
        <v>30</v>
      </c>
      <c r="M102" s="58">
        <v>1</v>
      </c>
      <c r="Q102" s="65">
        <v>2</v>
      </c>
      <c r="R102" s="65">
        <v>2</v>
      </c>
      <c r="S102" s="75">
        <v>1</v>
      </c>
      <c r="T102" s="75">
        <v>3</v>
      </c>
      <c r="U102" s="75">
        <v>3</v>
      </c>
      <c r="V102" s="75">
        <v>2</v>
      </c>
      <c r="W102" s="75">
        <v>2</v>
      </c>
    </row>
    <row r="103" spans="3:23" x14ac:dyDescent="0.15">
      <c r="C103" s="9">
        <v>14</v>
      </c>
      <c r="D103" s="60">
        <f t="shared" si="3"/>
        <v>72</v>
      </c>
      <c r="E103" s="61">
        <f>求节点(节奏总纲!$Z$4:$Z$83,节奏总纲!AE$4:AE$83,$D103)</f>
        <v>2961.6410125841235</v>
      </c>
      <c r="F103" s="61">
        <f>求节点(节奏总纲!H$4:H$163,节奏总纲!$C$4:$C$163,E103)</f>
        <v>134.91256595481366</v>
      </c>
      <c r="G103" s="9">
        <v>14</v>
      </c>
      <c r="H103" s="66">
        <v>30</v>
      </c>
      <c r="M103" s="58">
        <v>1</v>
      </c>
      <c r="Q103" s="65">
        <v>2</v>
      </c>
      <c r="R103" s="65">
        <v>2</v>
      </c>
      <c r="S103" s="75">
        <v>1</v>
      </c>
      <c r="T103" s="75">
        <v>3</v>
      </c>
      <c r="U103" s="75">
        <v>3</v>
      </c>
      <c r="V103" s="75">
        <v>3</v>
      </c>
      <c r="W103" s="75">
        <v>3</v>
      </c>
    </row>
    <row r="104" spans="3:23" x14ac:dyDescent="0.15">
      <c r="C104" s="9">
        <v>15</v>
      </c>
      <c r="D104" s="60">
        <f t="shared" si="3"/>
        <v>77</v>
      </c>
      <c r="E104" s="61">
        <f>求节点(节奏总纲!$Z$4:$Z$83,节奏总纲!AE$4:AE$83,$D104)</f>
        <v>6139.6022012692774</v>
      </c>
      <c r="F104" s="61">
        <f>求节点(节奏总纲!H$4:H$163,节奏总纲!$C$4:$C$163,E104)</f>
        <v>145.53468456757108</v>
      </c>
      <c r="G104" s="9">
        <v>15</v>
      </c>
      <c r="H104" s="66">
        <v>30</v>
      </c>
      <c r="M104" s="58">
        <v>1</v>
      </c>
      <c r="Q104" s="65">
        <v>2</v>
      </c>
      <c r="R104" s="65">
        <v>2</v>
      </c>
      <c r="S104" s="75">
        <v>1</v>
      </c>
      <c r="T104" s="75">
        <v>3</v>
      </c>
      <c r="U104" s="75">
        <v>3</v>
      </c>
      <c r="V104" s="75">
        <v>3</v>
      </c>
      <c r="W104" s="75">
        <v>3</v>
      </c>
    </row>
    <row r="105" spans="3:23" x14ac:dyDescent="0.15">
      <c r="C105" s="9">
        <v>16</v>
      </c>
      <c r="D105" s="60">
        <f t="shared" si="3"/>
        <v>80</v>
      </c>
      <c r="E105" s="61">
        <f>求节点(节奏总纲!$Z$4:$Z$83,节奏总纲!AE$4:AE$83,$D105)</f>
        <v>9502.5750000000007</v>
      </c>
      <c r="F105" s="61">
        <f>求节点(节奏总纲!H$4:H$163,节奏总纲!$C$4:$C$163,E105)</f>
        <v>151.0810487166913</v>
      </c>
      <c r="G105" s="9">
        <v>16</v>
      </c>
      <c r="H105" s="66">
        <v>30</v>
      </c>
      <c r="M105" s="58">
        <v>1</v>
      </c>
      <c r="Q105" s="65">
        <v>2</v>
      </c>
      <c r="R105" s="65">
        <v>2</v>
      </c>
      <c r="S105" s="75">
        <v>1</v>
      </c>
      <c r="T105" s="75">
        <v>3</v>
      </c>
      <c r="U105" s="75">
        <v>3</v>
      </c>
      <c r="V105" s="75">
        <v>3</v>
      </c>
      <c r="W105" s="75">
        <v>3</v>
      </c>
    </row>
  </sheetData>
  <mergeCells count="15">
    <mergeCell ref="I68:M68"/>
    <mergeCell ref="I88:M88"/>
    <mergeCell ref="I8:M8"/>
    <mergeCell ref="I28:M28"/>
    <mergeCell ref="I48:M48"/>
    <mergeCell ref="N8:R8"/>
    <mergeCell ref="N28:R28"/>
    <mergeCell ref="N48:R48"/>
    <mergeCell ref="N68:R68"/>
    <mergeCell ref="N88:R88"/>
    <mergeCell ref="S8:W8"/>
    <mergeCell ref="S28:W28"/>
    <mergeCell ref="S48:W48"/>
    <mergeCell ref="S68:W68"/>
    <mergeCell ref="S88:W8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DF5F1-1B43-4E62-801E-FA9A47BBADCC}">
  <sheetPr codeName="Sheet6"/>
  <dimension ref="C3:Z100"/>
  <sheetViews>
    <sheetView tabSelected="1" workbookViewId="0">
      <selection activeCell="H9" sqref="H9"/>
    </sheetView>
  </sheetViews>
  <sheetFormatPr defaultRowHeight="11.25" x14ac:dyDescent="0.15"/>
  <cols>
    <col min="1" max="2" width="9" style="9"/>
    <col min="3" max="3" width="18" style="9" bestFit="1" customWidth="1"/>
    <col min="4" max="4" width="13.875" style="9" bestFit="1" customWidth="1"/>
    <col min="5" max="5" width="17.25" style="9" bestFit="1" customWidth="1"/>
    <col min="6" max="10" width="9" style="9"/>
    <col min="11" max="12" width="10.5" style="68" bestFit="1" customWidth="1"/>
    <col min="13" max="13" width="8.25" style="59" bestFit="1" customWidth="1"/>
    <col min="14" max="14" width="10.5" style="59" bestFit="1" customWidth="1"/>
    <col min="15" max="19" width="6.625" style="77" customWidth="1"/>
    <col min="20" max="20" width="9" style="77" bestFit="1" customWidth="1"/>
    <col min="21" max="25" width="6.625" style="59" customWidth="1"/>
    <col min="26" max="26" width="9" style="66"/>
    <col min="27" max="16384" width="9" style="9"/>
  </cols>
  <sheetData>
    <row r="3" spans="3:25" x14ac:dyDescent="0.15">
      <c r="C3" s="15"/>
      <c r="D3" s="54" t="s">
        <v>8</v>
      </c>
      <c r="E3" s="54" t="s">
        <v>9</v>
      </c>
      <c r="F3" s="54" t="s">
        <v>10</v>
      </c>
      <c r="G3" s="54" t="s">
        <v>11</v>
      </c>
      <c r="H3" s="54" t="s">
        <v>12</v>
      </c>
      <c r="K3" s="66" t="s">
        <v>0</v>
      </c>
      <c r="L3" s="66"/>
      <c r="M3" s="65"/>
      <c r="N3" s="65"/>
      <c r="O3" s="124" t="s">
        <v>163</v>
      </c>
      <c r="P3" s="124"/>
      <c r="Q3" s="124"/>
      <c r="R3" s="124"/>
      <c r="S3" s="124"/>
      <c r="U3" s="123" t="s">
        <v>162</v>
      </c>
      <c r="V3" s="123"/>
      <c r="W3" s="123"/>
      <c r="X3" s="123"/>
      <c r="Y3" s="123"/>
    </row>
    <row r="4" spans="3:25" x14ac:dyDescent="0.15">
      <c r="C4" s="6" t="s">
        <v>129</v>
      </c>
      <c r="D4" s="54">
        <v>2</v>
      </c>
      <c r="E4" s="54">
        <v>3</v>
      </c>
      <c r="F4" s="54">
        <v>4</v>
      </c>
      <c r="G4" s="54">
        <v>6</v>
      </c>
      <c r="H4" s="54">
        <v>9</v>
      </c>
      <c r="K4" s="66" t="s">
        <v>21</v>
      </c>
      <c r="L4" s="66" t="s">
        <v>121</v>
      </c>
      <c r="M4" s="65" t="s">
        <v>122</v>
      </c>
      <c r="N4" s="65" t="s">
        <v>103</v>
      </c>
      <c r="O4" s="77" t="s">
        <v>104</v>
      </c>
      <c r="P4" s="77" t="s">
        <v>105</v>
      </c>
      <c r="Q4" s="77" t="s">
        <v>106</v>
      </c>
      <c r="R4" s="77" t="s">
        <v>107</v>
      </c>
      <c r="S4" s="77" t="s">
        <v>108</v>
      </c>
      <c r="T4" s="77" t="s">
        <v>161</v>
      </c>
      <c r="U4" s="59" t="s">
        <v>104</v>
      </c>
      <c r="V4" s="59" t="s">
        <v>105</v>
      </c>
      <c r="W4" s="59" t="s">
        <v>106</v>
      </c>
      <c r="X4" s="59" t="s">
        <v>107</v>
      </c>
      <c r="Y4" s="59" t="s">
        <v>108</v>
      </c>
    </row>
    <row r="5" spans="3:25" x14ac:dyDescent="0.15">
      <c r="C5" s="6" t="s">
        <v>130</v>
      </c>
      <c r="D5" s="67">
        <v>0.2</v>
      </c>
      <c r="E5" s="67">
        <v>0.2</v>
      </c>
      <c r="F5" s="54">
        <v>0.2</v>
      </c>
      <c r="G5" s="54">
        <v>0.2</v>
      </c>
      <c r="H5" s="67">
        <v>0.2</v>
      </c>
      <c r="J5" s="9">
        <f>门客经验!I5</f>
        <v>0</v>
      </c>
      <c r="K5" s="66">
        <v>1</v>
      </c>
      <c r="L5" s="60">
        <f>基础信息!D10</f>
        <v>16</v>
      </c>
      <c r="M5" s="61">
        <f>基础信息!E10</f>
        <v>2.5387719203926467</v>
      </c>
      <c r="N5" s="61">
        <f>基础信息!F10</f>
        <v>18.226342304552581</v>
      </c>
      <c r="O5" s="77">
        <f>求节点($C$15:$C$44,$E$15:$E$44,基础信息!$H10)*基础信息!$G10*基础信息!I10</f>
        <v>120</v>
      </c>
      <c r="P5" s="77">
        <f>求节点($C$15:$C$44,$E$15:$E$44,基础信息!$H10)*基础信息!$G10*基础信息!J10</f>
        <v>0</v>
      </c>
      <c r="Q5" s="77">
        <f>求节点($C$15:$C$44,$E$15:$E$44,基础信息!$H10)*基础信息!$G10*基础信息!K10</f>
        <v>0</v>
      </c>
      <c r="R5" s="77">
        <f>求节点($C$15:$C$44,$E$15:$E$44,基础信息!$H10)*基础信息!$G10*基础信息!L10</f>
        <v>0</v>
      </c>
      <c r="S5" s="77">
        <f>求节点($C$15:$C$44,$E$15:$E$44,基础信息!$H10)*基础信息!$G10*基础信息!M10</f>
        <v>0</v>
      </c>
      <c r="T5" s="77">
        <f>SUM(O5:S5)</f>
        <v>120</v>
      </c>
      <c r="U5" s="59">
        <f>基础信息!$G10*基础信息!I10*(D$4+D$5*基础信息!$H10)</f>
        <v>2.6</v>
      </c>
      <c r="V5" s="59">
        <f>基础信息!$G10*基础信息!J10*(E$4+E$5*基础信息!$H10)</f>
        <v>0</v>
      </c>
      <c r="W5" s="59">
        <f>基础信息!$G10*基础信息!K10*(F$4+F$5*基础信息!$H10)</f>
        <v>0</v>
      </c>
      <c r="X5" s="59">
        <f>基础信息!$G10*基础信息!L10*(G$4+G$5*基础信息!$H10)</f>
        <v>0</v>
      </c>
      <c r="Y5" s="59">
        <f>基础信息!$G10*基础信息!M10*(H$4+H$5*基础信息!$H10)</f>
        <v>0</v>
      </c>
    </row>
    <row r="6" spans="3:25" x14ac:dyDescent="0.15">
      <c r="C6" s="53" t="s">
        <v>131</v>
      </c>
      <c r="D6" s="53">
        <v>10</v>
      </c>
      <c r="E6" s="53">
        <v>10</v>
      </c>
      <c r="F6" s="53">
        <v>20</v>
      </c>
      <c r="G6" s="53">
        <v>30</v>
      </c>
      <c r="H6" s="53">
        <v>30</v>
      </c>
      <c r="J6" s="97">
        <f>门客经验!I6</f>
        <v>0.30054284365431727</v>
      </c>
      <c r="K6" s="66">
        <v>2</v>
      </c>
      <c r="L6" s="60">
        <f>基础信息!D11</f>
        <v>19.5</v>
      </c>
      <c r="M6" s="61">
        <f>基础信息!E11</f>
        <v>4.8228975321654577</v>
      </c>
      <c r="N6" s="61">
        <f>基础信息!F11</f>
        <v>25.408961498441148</v>
      </c>
      <c r="O6" s="77">
        <f>求节点($C$15:$C$44,$E$15:$E$44,基础信息!$H11)*基础信息!$G11*基础信息!I11</f>
        <v>760</v>
      </c>
      <c r="P6" s="77">
        <f>求节点($C$15:$C$44,$E$15:$E$44,基础信息!$H11)*基础信息!$G11*基础信息!J11</f>
        <v>0</v>
      </c>
      <c r="Q6" s="77">
        <f>求节点($C$15:$C$44,$E$15:$E$44,基础信息!$H11)*基础信息!$G11*基础信息!K11</f>
        <v>0</v>
      </c>
      <c r="R6" s="77">
        <f>求节点($C$15:$C$44,$E$15:$E$44,基础信息!$H11)*基础信息!$G11*基础信息!L11</f>
        <v>0</v>
      </c>
      <c r="S6" s="77">
        <f>求节点($C$15:$C$44,$E$15:$E$44,基础信息!$H11)*基础信息!$G11*基础信息!M11</f>
        <v>0</v>
      </c>
      <c r="T6" s="77">
        <f t="shared" ref="T6:T20" si="0">SUM(O6:S6)</f>
        <v>760</v>
      </c>
      <c r="U6" s="59">
        <f>基础信息!$G11*基础信息!I11*(D$4+D$5*基础信息!$H11)</f>
        <v>6.4</v>
      </c>
      <c r="V6" s="59">
        <f>基础信息!$G11*基础信息!J11*(E$4+E$5*基础信息!$H11)</f>
        <v>0</v>
      </c>
      <c r="W6" s="59">
        <f>基础信息!$G11*基础信息!K11*(F$4+F$5*基础信息!$H11)</f>
        <v>0</v>
      </c>
      <c r="X6" s="59">
        <f>基础信息!$G11*基础信息!L11*(G$4+G$5*基础信息!$H11)</f>
        <v>0</v>
      </c>
      <c r="Y6" s="59">
        <f>基础信息!$G11*基础信息!M11*(H$4+H$5*基础信息!$H11)</f>
        <v>0</v>
      </c>
    </row>
    <row r="7" spans="3:25" x14ac:dyDescent="0.15">
      <c r="C7" s="6" t="s">
        <v>132</v>
      </c>
      <c r="D7" s="53">
        <f>D4+D5*D6</f>
        <v>4</v>
      </c>
      <c r="E7" s="53">
        <f t="shared" ref="E7:H7" si="1">E4+E5*E6</f>
        <v>5</v>
      </c>
      <c r="F7" s="53">
        <f t="shared" si="1"/>
        <v>8</v>
      </c>
      <c r="G7" s="53">
        <f t="shared" si="1"/>
        <v>12</v>
      </c>
      <c r="H7" s="53">
        <v>18</v>
      </c>
      <c r="J7" s="97">
        <f>门客经验!I7</f>
        <v>0.35182655515121164</v>
      </c>
      <c r="K7" s="66">
        <v>3</v>
      </c>
      <c r="L7" s="60">
        <f>基础信息!D12</f>
        <v>23.5</v>
      </c>
      <c r="M7" s="61">
        <f>基础信息!E12</f>
        <v>9.6550138771594227</v>
      </c>
      <c r="N7" s="61">
        <f>基础信息!F12</f>
        <v>34.130602806306101</v>
      </c>
      <c r="O7" s="77">
        <f>求节点($C$15:$C$44,$E$15:$E$44,基础信息!$H12)*基础信息!$G12*基础信息!I12</f>
        <v>2160</v>
      </c>
      <c r="P7" s="77">
        <f>求节点($C$15:$C$44,$E$15:$E$44,基础信息!$H12)*基础信息!$G12*基础信息!J12</f>
        <v>0</v>
      </c>
      <c r="Q7" s="77">
        <f>求节点($C$15:$C$44,$E$15:$E$44,基础信息!$H12)*基础信息!$G12*基础信息!K12</f>
        <v>0</v>
      </c>
      <c r="R7" s="77">
        <f>求节点($C$15:$C$44,$E$15:$E$44,基础信息!$H12)*基础信息!$G12*基础信息!L12</f>
        <v>0</v>
      </c>
      <c r="S7" s="77">
        <f>求节点($C$15:$C$44,$E$15:$E$44,基础信息!$H12)*基础信息!$G12*基础信息!M12</f>
        <v>0</v>
      </c>
      <c r="T7" s="77">
        <f t="shared" si="0"/>
        <v>2160</v>
      </c>
      <c r="U7" s="59">
        <f>基础信息!$G12*基础信息!I12*(D$4+D$5*基础信息!$H12)</f>
        <v>11.399999999999999</v>
      </c>
      <c r="V7" s="59">
        <f>基础信息!$G12*基础信息!J12*(E$4+E$5*基础信息!$H12)</f>
        <v>0</v>
      </c>
      <c r="W7" s="59">
        <f>基础信息!$G12*基础信息!K12*(F$4+F$5*基础信息!$H12)</f>
        <v>0</v>
      </c>
      <c r="X7" s="59">
        <f>基础信息!$G12*基础信息!L12*(G$4+G$5*基础信息!$H12)</f>
        <v>0</v>
      </c>
      <c r="Y7" s="59">
        <f>基础信息!$G12*基础信息!M12*(H$4+H$5*基础信息!$H12)</f>
        <v>0</v>
      </c>
    </row>
    <row r="8" spans="3:25" x14ac:dyDescent="0.15">
      <c r="C8" s="6" t="s">
        <v>139</v>
      </c>
      <c r="D8" s="53">
        <v>100</v>
      </c>
      <c r="E8" s="53">
        <v>200</v>
      </c>
      <c r="F8" s="53">
        <v>400</v>
      </c>
      <c r="G8" s="53">
        <v>800</v>
      </c>
      <c r="H8" s="53">
        <v>1000</v>
      </c>
      <c r="J8" s="97">
        <f>门客经验!I8</f>
        <v>0.44520915310899412</v>
      </c>
      <c r="K8" s="66">
        <v>4</v>
      </c>
      <c r="L8" s="60">
        <f>基础信息!D13</f>
        <v>27.5</v>
      </c>
      <c r="M8" s="61">
        <f>基础信息!E13</f>
        <v>18.870223137985384</v>
      </c>
      <c r="N8" s="61">
        <f>基础信息!F13</f>
        <v>43.121594697945582</v>
      </c>
      <c r="O8" s="77">
        <f>求节点($C$15:$C$44,$E$15:$E$44,基础信息!$H13)*基础信息!$G13*基础信息!I13</f>
        <v>2320</v>
      </c>
      <c r="P8" s="77">
        <f>求节点($C$15:$C$44,$E$15:$E$44,基础信息!$H13)*基础信息!$G13*基础信息!J13</f>
        <v>2320</v>
      </c>
      <c r="Q8" s="77">
        <f>求节点($C$15:$C$44,$E$15:$E$44,基础信息!$H13)*基础信息!$G13*基础信息!K13</f>
        <v>0</v>
      </c>
      <c r="R8" s="77">
        <f>求节点($C$15:$C$44,$E$15:$E$44,基础信息!$H13)*基础信息!$G13*基础信息!L13</f>
        <v>0</v>
      </c>
      <c r="S8" s="77">
        <f>求节点($C$15:$C$44,$E$15:$E$44,基础信息!$H13)*基础信息!$G13*基础信息!M13</f>
        <v>0</v>
      </c>
      <c r="T8" s="77">
        <f t="shared" si="0"/>
        <v>4640</v>
      </c>
      <c r="U8" s="59">
        <f>基础信息!$G13*基础信息!I13*(D$4+D$5*基础信息!$H13)</f>
        <v>8.8000000000000007</v>
      </c>
      <c r="V8" s="59">
        <f>基础信息!$G13*基础信息!J13*(E$4+E$5*基础信息!$H13)</f>
        <v>10.8</v>
      </c>
      <c r="W8" s="59">
        <f>基础信息!$G13*基础信息!K13*(F$4+F$5*基础信息!$H13)</f>
        <v>0</v>
      </c>
      <c r="X8" s="59">
        <f>基础信息!$G13*基础信息!L13*(G$4+G$5*基础信息!$H13)</f>
        <v>0</v>
      </c>
      <c r="Y8" s="59">
        <f>基础信息!$G13*基础信息!M13*(H$4+H$5*基础信息!$H13)</f>
        <v>0</v>
      </c>
    </row>
    <row r="9" spans="3:25" x14ac:dyDescent="0.15">
      <c r="C9" s="6" t="s">
        <v>140</v>
      </c>
      <c r="D9" s="53">
        <v>300</v>
      </c>
      <c r="E9" s="53">
        <v>1000</v>
      </c>
      <c r="F9" s="53">
        <v>3000</v>
      </c>
      <c r="G9" s="53">
        <v>8000</v>
      </c>
      <c r="H9" s="53">
        <v>40000</v>
      </c>
      <c r="J9" s="97">
        <f>门客经验!I9</f>
        <v>0.81311784806195109</v>
      </c>
      <c r="K9" s="66">
        <v>5</v>
      </c>
      <c r="L9" s="60">
        <f>基础信息!D14</f>
        <v>31.5</v>
      </c>
      <c r="M9" s="61">
        <f>基础信息!E14</f>
        <v>36.28923876358067</v>
      </c>
      <c r="N9" s="61">
        <f>基础信息!F14</f>
        <v>52.20122679843417</v>
      </c>
      <c r="O9" s="77">
        <f>求节点($C$15:$C$44,$E$15:$E$44,基础信息!$H14)*基础信息!$G14*基础信息!I14</f>
        <v>0</v>
      </c>
      <c r="P9" s="77">
        <f>求节点($C$15:$C$44,$E$15:$E$44,基础信息!$H14)*基础信息!$G14*基础信息!J14</f>
        <v>4200</v>
      </c>
      <c r="Q9" s="77">
        <f>求节点($C$15:$C$44,$E$15:$E$44,基础信息!$H14)*基础信息!$G14*基础信息!K14</f>
        <v>4200</v>
      </c>
      <c r="R9" s="77">
        <f>求节点($C$15:$C$44,$E$15:$E$44,基础信息!$H14)*基础信息!$G14*基础信息!L14</f>
        <v>0</v>
      </c>
      <c r="S9" s="77">
        <f>求节点($C$15:$C$44,$E$15:$E$44,基础信息!$H14)*基础信息!$G14*基础信息!M14</f>
        <v>0</v>
      </c>
      <c r="T9" s="77">
        <f t="shared" si="0"/>
        <v>8400</v>
      </c>
      <c r="U9" s="59">
        <f>基础信息!$G14*基础信息!I14*(D$4+D$5*基础信息!$H14)</f>
        <v>0</v>
      </c>
      <c r="V9" s="59">
        <f>基础信息!$G14*基础信息!J14*(E$4+E$5*基础信息!$H14)</f>
        <v>15</v>
      </c>
      <c r="W9" s="59">
        <f>基础信息!$G14*基础信息!K14*(F$4+F$5*基础信息!$H14)</f>
        <v>17.5</v>
      </c>
      <c r="X9" s="59">
        <f>基础信息!$G14*基础信息!L14*(G$4+G$5*基础信息!$H14)</f>
        <v>0</v>
      </c>
      <c r="Y9" s="59">
        <f>基础信息!$G14*基础信息!M14*(H$4+H$5*基础信息!$H14)</f>
        <v>0</v>
      </c>
    </row>
    <row r="10" spans="3:25" x14ac:dyDescent="0.15">
      <c r="C10" s="53" t="s">
        <v>141</v>
      </c>
      <c r="D10" s="53">
        <f>D9/D8</f>
        <v>3</v>
      </c>
      <c r="E10" s="53">
        <f t="shared" ref="E10:H10" si="2">E9/E8</f>
        <v>5</v>
      </c>
      <c r="F10" s="53">
        <f t="shared" si="2"/>
        <v>7.5</v>
      </c>
      <c r="G10" s="53">
        <f t="shared" si="2"/>
        <v>10</v>
      </c>
      <c r="H10" s="53">
        <f t="shared" si="2"/>
        <v>40</v>
      </c>
      <c r="J10" s="97">
        <f>门客经验!I10</f>
        <v>1.2077376705991563</v>
      </c>
      <c r="K10" s="66">
        <v>6</v>
      </c>
      <c r="L10" s="60">
        <f>基础信息!D15</f>
        <v>35.5</v>
      </c>
      <c r="M10" s="61">
        <f>基础信息!E15</f>
        <v>68.623430833504159</v>
      </c>
      <c r="N10" s="61">
        <f>基础信息!F15</f>
        <v>61.20919943756077</v>
      </c>
      <c r="O10" s="77">
        <f>求节点($C$15:$C$44,$E$15:$E$44,基础信息!$H15)*基础信息!$G15*基础信息!I15</f>
        <v>0</v>
      </c>
      <c r="P10" s="77">
        <f>求节点($C$15:$C$44,$E$15:$E$44,基础信息!$H15)*基础信息!$G15*基础信息!J15</f>
        <v>0</v>
      </c>
      <c r="Q10" s="77">
        <f>求节点($C$15:$C$44,$E$15:$E$44,基础信息!$H15)*基础信息!$G15*基础信息!K15</f>
        <v>14880</v>
      </c>
      <c r="R10" s="77">
        <f>求节点($C$15:$C$44,$E$15:$E$44,基础信息!$H15)*基础信息!$G15*基础信息!L15</f>
        <v>0</v>
      </c>
      <c r="S10" s="77">
        <f>求节点($C$15:$C$44,$E$15:$E$44,基础信息!$H15)*基础信息!$G15*基础信息!M15</f>
        <v>0</v>
      </c>
      <c r="T10" s="77">
        <f t="shared" si="0"/>
        <v>14880</v>
      </c>
      <c r="U10" s="59">
        <f>基础信息!$G15*基础信息!I15*(D$4+D$5*基础信息!$H15)</f>
        <v>0</v>
      </c>
      <c r="V10" s="59">
        <f>基础信息!$G15*基础信息!J15*(E$4+E$5*基础信息!$H15)</f>
        <v>0</v>
      </c>
      <c r="W10" s="59">
        <f>基础信息!$G15*基础信息!K15*(F$4+F$5*基础信息!$H15)</f>
        <v>45.599999999999994</v>
      </c>
      <c r="X10" s="59">
        <f>基础信息!$G15*基础信息!L15*(G$4+G$5*基础信息!$H15)</f>
        <v>0</v>
      </c>
      <c r="Y10" s="59">
        <f>基础信息!$G15*基础信息!M15*(H$4+H$5*基础信息!$H15)</f>
        <v>0</v>
      </c>
    </row>
    <row r="11" spans="3:25" x14ac:dyDescent="0.15">
      <c r="D11" s="119"/>
      <c r="E11" s="119"/>
      <c r="F11" s="119"/>
      <c r="G11" s="119"/>
      <c r="J11" s="97">
        <f>门客经验!I11</f>
        <v>0.97415017601881149</v>
      </c>
      <c r="K11" s="66">
        <v>7</v>
      </c>
      <c r="L11" s="60">
        <f>基础信息!D16</f>
        <v>39.5</v>
      </c>
      <c r="M11" s="61">
        <f>基础信息!E16</f>
        <v>124.62134549299002</v>
      </c>
      <c r="N11" s="61">
        <f>基础信息!F16</f>
        <v>69.722501590522299</v>
      </c>
      <c r="O11" s="77">
        <f>求节点($C$15:$C$44,$E$15:$E$44,基础信息!$H16)*基础信息!$G16*基础信息!I16</f>
        <v>0</v>
      </c>
      <c r="P11" s="77">
        <f>求节点($C$15:$C$44,$E$15:$E$44,基础信息!$H16)*基础信息!$G16*基础信息!J16</f>
        <v>0</v>
      </c>
      <c r="Q11" s="77">
        <f>求节点($C$15:$C$44,$E$15:$E$44,基础信息!$H16)*基础信息!$G16*基础信息!K16</f>
        <v>23520</v>
      </c>
      <c r="R11" s="77">
        <f>求节点($C$15:$C$44,$E$15:$E$44,基础信息!$H16)*基础信息!$G16*基础信息!L16</f>
        <v>7840</v>
      </c>
      <c r="S11" s="77">
        <f>求节点($C$15:$C$44,$E$15:$E$44,基础信息!$H16)*基础信息!$G16*基础信息!M16</f>
        <v>0</v>
      </c>
      <c r="T11" s="77">
        <f t="shared" si="0"/>
        <v>31360</v>
      </c>
      <c r="U11" s="59">
        <f>基础信息!$G16*基础信息!I16*(D$4+D$5*基础信息!$H16)</f>
        <v>0</v>
      </c>
      <c r="V11" s="59">
        <f>基础信息!$G16*基础信息!J16*(E$4+E$5*基础信息!$H16)</f>
        <v>0</v>
      </c>
      <c r="W11" s="59">
        <f>基础信息!$G16*基础信息!K16*(F$4+F$5*基础信息!$H16)</f>
        <v>43.05</v>
      </c>
      <c r="X11" s="59">
        <f>基础信息!$G16*基础信息!L16*(G$4+G$5*基础信息!$H16)</f>
        <v>17.849999999999998</v>
      </c>
      <c r="Y11" s="59">
        <f>基础信息!$G16*基础信息!M16*(H$4+H$5*基础信息!$H16)</f>
        <v>0</v>
      </c>
    </row>
    <row r="12" spans="3:25" x14ac:dyDescent="0.15">
      <c r="J12" s="97">
        <f>门客经验!I12</f>
        <v>0.87641446989478222</v>
      </c>
      <c r="K12" s="66">
        <v>8</v>
      </c>
      <c r="L12" s="60">
        <f>基础信息!D17</f>
        <v>43.5</v>
      </c>
      <c r="M12" s="61">
        <f>基础信息!E17</f>
        <v>225.68304366827394</v>
      </c>
      <c r="N12" s="61">
        <f>基础信息!F17</f>
        <v>78.238948396428512</v>
      </c>
      <c r="O12" s="77">
        <f>求节点($C$15:$C$44,$E$15:$E$44,基础信息!$H17)*基础信息!$G17*基础信息!I17</f>
        <v>0</v>
      </c>
      <c r="P12" s="77">
        <f>求节点($C$15:$C$44,$E$15:$E$44,基础信息!$H17)*基础信息!$G17*基础信息!J17</f>
        <v>0</v>
      </c>
      <c r="Q12" s="77">
        <f>求节点($C$15:$C$44,$E$15:$E$44,基础信息!$H17)*基础信息!$G17*基础信息!K17</f>
        <v>43520</v>
      </c>
      <c r="R12" s="77">
        <f>求节点($C$15:$C$44,$E$15:$E$44,基础信息!$H17)*基础信息!$G17*基础信息!L17</f>
        <v>43520</v>
      </c>
      <c r="S12" s="77">
        <f>求节点($C$15:$C$44,$E$15:$E$44,基础信息!$H17)*基础信息!$G17*基础信息!M17</f>
        <v>0</v>
      </c>
      <c r="T12" s="77">
        <f t="shared" si="0"/>
        <v>87040</v>
      </c>
      <c r="U12" s="59">
        <f>基础信息!$G17*基础信息!I17*(D$4+D$5*基础信息!$H17)</f>
        <v>0</v>
      </c>
      <c r="V12" s="59">
        <f>基础信息!$G17*基础信息!J17*(E$4+E$5*基础信息!$H17)</f>
        <v>0</v>
      </c>
      <c r="W12" s="59">
        <f>基础信息!$G17*基础信息!K17*(F$4+F$5*基础信息!$H17)</f>
        <v>35.200000000000003</v>
      </c>
      <c r="X12" s="59">
        <f>基础信息!$G17*基础信息!L17*(G$4+G$5*基础信息!$H17)</f>
        <v>43.2</v>
      </c>
      <c r="Y12" s="59">
        <f>基础信息!$G17*基础信息!M17*(H$4+H$5*基础信息!$H17)</f>
        <v>0</v>
      </c>
    </row>
    <row r="13" spans="3:25" x14ac:dyDescent="0.15">
      <c r="J13" s="97">
        <f>门客经验!I13</f>
        <v>0.9110598232894157</v>
      </c>
      <c r="K13" s="66">
        <v>9</v>
      </c>
      <c r="L13" s="60">
        <f>基础信息!D18</f>
        <v>47.5</v>
      </c>
      <c r="M13" s="61">
        <f>基础信息!E18</f>
        <v>407.83539826846607</v>
      </c>
      <c r="N13" s="61">
        <f>基础信息!F18</f>
        <v>86.747293257864058</v>
      </c>
      <c r="O13" s="77">
        <f>求节点($C$15:$C$44,$E$15:$E$44,基础信息!$H18)*基础信息!$G18*基础信息!I18</f>
        <v>0</v>
      </c>
      <c r="P13" s="77">
        <f>求节点($C$15:$C$44,$E$15:$E$44,基础信息!$H18)*基础信息!$G18*基础信息!J18</f>
        <v>0</v>
      </c>
      <c r="Q13" s="77">
        <f>求节点($C$15:$C$44,$E$15:$E$44,基础信息!$H18)*基础信息!$G18*基础信息!K18</f>
        <v>46080</v>
      </c>
      <c r="R13" s="77">
        <f>求节点($C$15:$C$44,$E$15:$E$44,基础信息!$H18)*基础信息!$G18*基础信息!L18</f>
        <v>138240</v>
      </c>
      <c r="S13" s="77">
        <f>求节点($C$15:$C$44,$E$15:$E$44,基础信息!$H18)*基础信息!$G18*基础信息!M18</f>
        <v>0</v>
      </c>
      <c r="T13" s="77">
        <f t="shared" si="0"/>
        <v>184320</v>
      </c>
      <c r="U13" s="59">
        <f>基础信息!$G18*基础信息!I18*(D$4+D$5*基础信息!$H18)</f>
        <v>0</v>
      </c>
      <c r="V13" s="59">
        <f>基础信息!$G18*基础信息!J18*(E$4+E$5*基础信息!$H18)</f>
        <v>0</v>
      </c>
      <c r="W13" s="59">
        <f>基础信息!$G18*基础信息!K18*(F$4+F$5*基础信息!$H18)</f>
        <v>21.150000000000002</v>
      </c>
      <c r="X13" s="59">
        <f>基础信息!$G18*基础信息!L18*(G$4+G$5*基础信息!$H18)</f>
        <v>76.95</v>
      </c>
      <c r="Y13" s="59">
        <f>基础信息!$G18*基础信息!M18*(H$4+H$5*基础信息!$H18)</f>
        <v>0</v>
      </c>
    </row>
    <row r="14" spans="3:25" x14ac:dyDescent="0.15">
      <c r="C14" s="9" t="s">
        <v>133</v>
      </c>
      <c r="D14" s="9" t="s">
        <v>137</v>
      </c>
      <c r="E14" s="9" t="s">
        <v>138</v>
      </c>
      <c r="J14" s="97">
        <f>门客经验!I14</f>
        <v>1.3129047110784404</v>
      </c>
      <c r="K14" s="66">
        <v>10</v>
      </c>
      <c r="L14" s="60">
        <f>基础信息!D19</f>
        <v>52</v>
      </c>
      <c r="M14" s="61">
        <f>基础信息!E19</f>
        <v>789.85301886939453</v>
      </c>
      <c r="N14" s="61">
        <f>基础信息!F19</f>
        <v>96.265821375882837</v>
      </c>
      <c r="O14" s="77">
        <f>求节点($C$15:$C$44,$E$15:$E$44,基础信息!$H19)*基础信息!$G19*基础信息!I19</f>
        <v>0</v>
      </c>
      <c r="P14" s="77">
        <f>求节点($C$15:$C$44,$E$15:$E$44,基础信息!$H19)*基础信息!$G19*基础信息!J19</f>
        <v>0</v>
      </c>
      <c r="Q14" s="77">
        <f>求节点($C$15:$C$44,$E$15:$E$44,基础信息!$H19)*基础信息!$G19*基础信息!K19</f>
        <v>0</v>
      </c>
      <c r="R14" s="77">
        <f>求节点($C$15:$C$44,$E$15:$E$44,基础信息!$H19)*基础信息!$G19*基础信息!L19</f>
        <v>300800</v>
      </c>
      <c r="S14" s="77">
        <f>求节点($C$15:$C$44,$E$15:$E$44,基础信息!$H19)*基础信息!$G19*基础信息!M19</f>
        <v>0</v>
      </c>
      <c r="T14" s="77">
        <f t="shared" si="0"/>
        <v>300800</v>
      </c>
      <c r="U14" s="59">
        <f>基础信息!$G19*基础信息!I19*(D$4+D$5*基础信息!$H19)</f>
        <v>0</v>
      </c>
      <c r="V14" s="59">
        <f>基础信息!$G19*基础信息!J19*(E$4+E$5*基础信息!$H19)</f>
        <v>0</v>
      </c>
      <c r="W14" s="59">
        <f>基础信息!$G19*基础信息!K19*(F$4+F$5*基础信息!$H19)</f>
        <v>0</v>
      </c>
      <c r="X14" s="59">
        <f>基础信息!$G19*基础信息!L19*(G$4+G$5*基础信息!$H19)</f>
        <v>120</v>
      </c>
      <c r="Y14" s="59">
        <f>基础信息!$G19*基础信息!M19*(H$4+H$5*基础信息!$H19)</f>
        <v>0</v>
      </c>
    </row>
    <row r="15" spans="3:25" x14ac:dyDescent="0.15">
      <c r="C15" s="9">
        <v>1</v>
      </c>
      <c r="D15" s="9">
        <v>60</v>
      </c>
      <c r="E15" s="9">
        <v>0</v>
      </c>
      <c r="J15" s="97">
        <f>门客经验!I15</f>
        <v>2.4335843181166426</v>
      </c>
      <c r="K15" s="66">
        <v>11</v>
      </c>
      <c r="L15" s="60">
        <f>基础信息!D20</f>
        <v>57</v>
      </c>
      <c r="M15" s="61">
        <f>基础信息!E20</f>
        <v>1647.8248427703616</v>
      </c>
      <c r="N15" s="61">
        <f>基础信息!F20</f>
        <v>106.86832874572353</v>
      </c>
      <c r="O15" s="77">
        <f>求节点($C$15:$C$44,$E$15:$E$44,基础信息!$H20)*基础信息!$G20*基础信息!I20</f>
        <v>0</v>
      </c>
      <c r="P15" s="77">
        <f>求节点($C$15:$C$44,$E$15:$E$44,基础信息!$H20)*基础信息!$G20*基础信息!J20</f>
        <v>0</v>
      </c>
      <c r="Q15" s="77">
        <f>求节点($C$15:$C$44,$E$15:$E$44,基础信息!$H20)*基础信息!$G20*基础信息!K20</f>
        <v>0</v>
      </c>
      <c r="R15" s="77">
        <f>求节点($C$15:$C$44,$E$15:$E$44,基础信息!$H20)*基础信息!$G20*基础信息!L20</f>
        <v>264704</v>
      </c>
      <c r="S15" s="77">
        <f>求节点($C$15:$C$44,$E$15:$E$44,基础信息!$H20)*基础信息!$G20*基础信息!M20</f>
        <v>66176</v>
      </c>
      <c r="T15" s="77">
        <f t="shared" si="0"/>
        <v>330880</v>
      </c>
      <c r="U15" s="59">
        <f>基础信息!$G20*基础信息!I20*(D$4+D$5*基础信息!$H20)</f>
        <v>0</v>
      </c>
      <c r="V15" s="59">
        <f>基础信息!$G20*基础信息!J20*(E$4+E$5*基础信息!$H20)</f>
        <v>0</v>
      </c>
      <c r="W15" s="59">
        <f>基础信息!$G20*基础信息!K20*(F$4+F$5*基础信息!$H20)</f>
        <v>0</v>
      </c>
      <c r="X15" s="59">
        <f>基础信息!$G20*基础信息!L20*(G$4+G$5*基础信息!$H20)</f>
        <v>105.60000000000001</v>
      </c>
      <c r="Y15" s="59">
        <f>基础信息!$G20*基础信息!M20*(H$4+H$5*基础信息!$H20)</f>
        <v>33</v>
      </c>
    </row>
    <row r="16" spans="3:25" x14ac:dyDescent="0.15">
      <c r="C16" s="9">
        <v>2</v>
      </c>
      <c r="D16" s="9">
        <v>60</v>
      </c>
      <c r="E16" s="9">
        <f>SUM($D$15:D15)</f>
        <v>60</v>
      </c>
      <c r="F16" s="70"/>
      <c r="J16" s="97">
        <f>门客经验!I16</f>
        <v>4.7678664934706054</v>
      </c>
      <c r="K16" s="66">
        <v>12</v>
      </c>
      <c r="L16" s="60">
        <f>基础信息!D21</f>
        <v>62</v>
      </c>
      <c r="M16" s="61">
        <f>基础信息!E21</f>
        <v>3431.3522956038646</v>
      </c>
      <c r="N16" s="61">
        <f>基础信息!F21</f>
        <v>117.44125295293078</v>
      </c>
      <c r="O16" s="77">
        <f>求节点($C$15:$C$44,$E$15:$E$44,基础信息!$H21)*基础信息!$G21*基础信息!I21</f>
        <v>0</v>
      </c>
      <c r="P16" s="77">
        <f>求节点($C$15:$C$44,$E$15:$E$44,基础信息!$H21)*基础信息!$G21*基础信息!J21</f>
        <v>0</v>
      </c>
      <c r="Q16" s="77">
        <f>求节点($C$15:$C$44,$E$15:$E$44,基础信息!$H21)*基础信息!$G21*基础信息!K21</f>
        <v>0</v>
      </c>
      <c r="R16" s="77">
        <f>求节点($C$15:$C$44,$E$15:$E$44,基础信息!$H21)*基础信息!$G21*基础信息!L21</f>
        <v>216576</v>
      </c>
      <c r="S16" s="77">
        <f>求节点($C$15:$C$44,$E$15:$E$44,基础信息!$H21)*基础信息!$G21*基础信息!M21</f>
        <v>144384</v>
      </c>
      <c r="T16" s="77">
        <f t="shared" si="0"/>
        <v>360960</v>
      </c>
      <c r="U16" s="59">
        <f>基础信息!$G21*基础信息!I21*(D$4+D$5*基础信息!$H21)</f>
        <v>0</v>
      </c>
      <c r="V16" s="59">
        <f>基础信息!$G21*基础信息!J21*(E$4+E$5*基础信息!$H21)</f>
        <v>0</v>
      </c>
      <c r="W16" s="59">
        <f>基础信息!$G21*基础信息!K21*(F$4+F$5*基础信息!$H21)</f>
        <v>0</v>
      </c>
      <c r="X16" s="59">
        <f>基础信息!$G21*基础信息!L21*(G$4+G$5*基础信息!$H21)</f>
        <v>86.399999999999991</v>
      </c>
      <c r="Y16" s="59">
        <f>基础信息!$G21*基础信息!M21*(H$4+H$5*基础信息!$H21)</f>
        <v>72.000000000000014</v>
      </c>
    </row>
    <row r="17" spans="3:25" x14ac:dyDescent="0.15">
      <c r="C17" s="9">
        <v>3</v>
      </c>
      <c r="D17" s="9">
        <v>80</v>
      </c>
      <c r="E17" s="97">
        <f>SUM($D$15:D16)</f>
        <v>120</v>
      </c>
      <c r="F17" s="70"/>
      <c r="J17" s="97">
        <f>门客经验!I17</f>
        <v>9.7629973471673015</v>
      </c>
      <c r="K17" s="66">
        <v>13</v>
      </c>
      <c r="L17" s="60">
        <f>基础信息!D22</f>
        <v>67</v>
      </c>
      <c r="M17" s="61">
        <f>基础信息!E22</f>
        <v>7133.5498113340191</v>
      </c>
      <c r="N17" s="61">
        <f>基础信息!F22</f>
        <v>128.00586023511804</v>
      </c>
      <c r="O17" s="77">
        <f>求节点($C$15:$C$44,$E$15:$E$44,基础信息!$H22)*基础信息!$G22*基础信息!I22</f>
        <v>0</v>
      </c>
      <c r="P17" s="77">
        <f>求节点($C$15:$C$44,$E$15:$E$44,基础信息!$H22)*基础信息!$G22*基础信息!J22</f>
        <v>0</v>
      </c>
      <c r="Q17" s="77">
        <f>求节点($C$15:$C$44,$E$15:$E$44,基础信息!$H22)*基础信息!$G22*基础信息!K22</f>
        <v>0</v>
      </c>
      <c r="R17" s="77">
        <f>求节点($C$15:$C$44,$E$15:$E$44,基础信息!$H22)*基础信息!$G22*基础信息!L22</f>
        <v>156416</v>
      </c>
      <c r="S17" s="77">
        <f>求节点($C$15:$C$44,$E$15:$E$44,基础信息!$H22)*基础信息!$G22*基础信息!M22</f>
        <v>234624</v>
      </c>
      <c r="T17" s="77">
        <f t="shared" si="0"/>
        <v>391040</v>
      </c>
      <c r="U17" s="59">
        <f>基础信息!$G22*基础信息!I22*(D$4+D$5*基础信息!$H22)</f>
        <v>0</v>
      </c>
      <c r="V17" s="59">
        <f>基础信息!$G22*基础信息!J22*(E$4+E$5*基础信息!$H22)</f>
        <v>0</v>
      </c>
      <c r="W17" s="59">
        <f>基础信息!$G22*基础信息!K22*(F$4+F$5*基础信息!$H22)</f>
        <v>0</v>
      </c>
      <c r="X17" s="59">
        <f>基础信息!$G22*基础信息!L22*(G$4+G$5*基础信息!$H22)</f>
        <v>62.400000000000006</v>
      </c>
      <c r="Y17" s="59">
        <f>基础信息!$G22*基础信息!M22*(H$4+H$5*基础信息!$H22)</f>
        <v>117</v>
      </c>
    </row>
    <row r="18" spans="3:25" x14ac:dyDescent="0.15">
      <c r="C18" s="9">
        <v>4</v>
      </c>
      <c r="D18" s="100">
        <v>80</v>
      </c>
      <c r="E18" s="97">
        <f>SUM($D$15:D17)</f>
        <v>200</v>
      </c>
      <c r="F18" s="70"/>
      <c r="J18" s="97">
        <f>门客经验!I18</f>
        <v>16.518406692585732</v>
      </c>
      <c r="K18" s="66">
        <v>14</v>
      </c>
      <c r="L18" s="60">
        <f>基础信息!D23</f>
        <v>72</v>
      </c>
      <c r="M18" s="61">
        <f>基础信息!E23</f>
        <v>14808.205062920617</v>
      </c>
      <c r="N18" s="61">
        <f>基础信息!F23</f>
        <v>138.53345528648683</v>
      </c>
      <c r="O18" s="77">
        <f>求节点($C$15:$C$44,$E$15:$E$44,基础信息!$H23)*基础信息!$G23*基础信息!I23</f>
        <v>0</v>
      </c>
      <c r="P18" s="77">
        <f>求节点($C$15:$C$44,$E$15:$E$44,基础信息!$H23)*基础信息!$G23*基础信息!J23</f>
        <v>0</v>
      </c>
      <c r="Q18" s="77">
        <f>求节点($C$15:$C$44,$E$15:$E$44,基础信息!$H23)*基础信息!$G23*基础信息!K23</f>
        <v>0</v>
      </c>
      <c r="R18" s="77">
        <f>求节点($C$15:$C$44,$E$15:$E$44,基础信息!$H23)*基础信息!$G23*基础信息!L23</f>
        <v>84224</v>
      </c>
      <c r="S18" s="77">
        <f>求节点($C$15:$C$44,$E$15:$E$44,基础信息!$H23)*基础信息!$G23*基础信息!M23</f>
        <v>336896</v>
      </c>
      <c r="T18" s="77">
        <f t="shared" si="0"/>
        <v>421120</v>
      </c>
      <c r="U18" s="59">
        <f>基础信息!$G23*基础信息!I23*(D$4+D$5*基础信息!$H23)</f>
        <v>0</v>
      </c>
      <c r="V18" s="59">
        <f>基础信息!$G23*基础信息!J23*(E$4+E$5*基础信息!$H23)</f>
        <v>0</v>
      </c>
      <c r="W18" s="59">
        <f>基础信息!$G23*基础信息!K23*(F$4+F$5*基础信息!$H23)</f>
        <v>0</v>
      </c>
      <c r="X18" s="59">
        <f>基础信息!$G23*基础信息!L23*(G$4+G$5*基础信息!$H23)</f>
        <v>33.6</v>
      </c>
      <c r="Y18" s="59">
        <f>基础信息!$G23*基础信息!M23*(H$4+H$5*基础信息!$H23)</f>
        <v>168.00000000000003</v>
      </c>
    </row>
    <row r="19" spans="3:25" x14ac:dyDescent="0.15">
      <c r="C19" s="9">
        <v>5</v>
      </c>
      <c r="D19" s="100">
        <v>100</v>
      </c>
      <c r="E19" s="97">
        <f>SUM($D$15:D18)</f>
        <v>280</v>
      </c>
      <c r="F19" s="70"/>
      <c r="J19" s="97">
        <f>门客经验!I19</f>
        <v>34.1535239790079</v>
      </c>
      <c r="K19" s="66">
        <v>15</v>
      </c>
      <c r="L19" s="60">
        <f>基础信息!D24</f>
        <v>77</v>
      </c>
      <c r="M19" s="61">
        <f>基础信息!E24</f>
        <v>30698.011006346387</v>
      </c>
      <c r="N19" s="61">
        <f>基础信息!F24</f>
        <v>149.05713970651243</v>
      </c>
      <c r="O19" s="77">
        <f>求节点($C$15:$C$44,$E$15:$E$44,基础信息!$H24)*基础信息!$G24*基础信息!I24</f>
        <v>0</v>
      </c>
      <c r="P19" s="77">
        <f>求节点($C$15:$C$44,$E$15:$E$44,基础信息!$H24)*基础信息!$G24*基础信息!J24</f>
        <v>0</v>
      </c>
      <c r="Q19" s="77">
        <f>求节点($C$15:$C$44,$E$15:$E$44,基础信息!$H24)*基础信息!$G24*基础信息!K24</f>
        <v>0</v>
      </c>
      <c r="R19" s="77">
        <f>求节点($C$15:$C$44,$E$15:$E$44,基础信息!$H24)*基础信息!$G24*基础信息!L24</f>
        <v>0</v>
      </c>
      <c r="S19" s="77">
        <f>求节点($C$15:$C$44,$E$15:$E$44,基础信息!$H24)*基础信息!$G24*基础信息!M24</f>
        <v>451200</v>
      </c>
      <c r="T19" s="77">
        <f t="shared" si="0"/>
        <v>451200</v>
      </c>
      <c r="U19" s="59">
        <f>基础信息!$G24*基础信息!I24*(D$4+D$5*基础信息!$H24)</f>
        <v>0</v>
      </c>
      <c r="V19" s="59">
        <f>基础信息!$G24*基础信息!J24*(E$4+E$5*基础信息!$H24)</f>
        <v>0</v>
      </c>
      <c r="W19" s="59">
        <f>基础信息!$G24*基础信息!K24*(F$4+F$5*基础信息!$H24)</f>
        <v>0</v>
      </c>
      <c r="X19" s="59">
        <f>基础信息!$G24*基础信息!L24*(G$4+G$5*基础信息!$H24)</f>
        <v>0</v>
      </c>
      <c r="Y19" s="59">
        <f>基础信息!$G24*基础信息!M24*(H$4+H$5*基础信息!$H24)</f>
        <v>225</v>
      </c>
    </row>
    <row r="20" spans="3:25" x14ac:dyDescent="0.15">
      <c r="C20" s="9">
        <v>6</v>
      </c>
      <c r="D20" s="100">
        <v>100</v>
      </c>
      <c r="E20" s="97">
        <f>SUM($D$15:D19)</f>
        <v>380</v>
      </c>
      <c r="F20" s="70"/>
      <c r="J20" s="97">
        <f>门客经验!I20</f>
        <v>24.746274419953561</v>
      </c>
      <c r="K20" s="66">
        <v>16</v>
      </c>
      <c r="L20" s="60">
        <f>基础信息!D25</f>
        <v>80</v>
      </c>
      <c r="M20" s="61">
        <f>基础信息!E25</f>
        <v>47512.875</v>
      </c>
      <c r="N20" s="61">
        <f>基础信息!F25</f>
        <v>155.35264798579232</v>
      </c>
      <c r="O20" s="77">
        <f>求节点($C$15:$C$44,$E$15:$E$44,基础信息!$H25)*基础信息!$G25*基础信息!I25</f>
        <v>0</v>
      </c>
      <c r="P20" s="77">
        <f>求节点($C$15:$C$44,$E$15:$E$44,基础信息!$H25)*基础信息!$G25*基础信息!J25</f>
        <v>0</v>
      </c>
      <c r="Q20" s="77">
        <f>求节点($C$15:$C$44,$E$15:$E$44,基础信息!$H25)*基础信息!$G25*基础信息!K25</f>
        <v>0</v>
      </c>
      <c r="R20" s="77">
        <f>求节点($C$15:$C$44,$E$15:$E$44,基础信息!$H25)*基础信息!$G25*基础信息!L25</f>
        <v>0</v>
      </c>
      <c r="S20" s="77">
        <f>求节点($C$15:$C$44,$E$15:$E$44,基础信息!$H25)*基础信息!$G25*基础信息!M25</f>
        <v>481280</v>
      </c>
      <c r="T20" s="77">
        <f t="shared" si="0"/>
        <v>481280</v>
      </c>
      <c r="U20" s="59">
        <f>基础信息!$G25*基础信息!I25*(D$4+D$5*基础信息!$H25)</f>
        <v>0</v>
      </c>
      <c r="V20" s="59">
        <f>基础信息!$G25*基础信息!J25*(E$4+E$5*基础信息!$H25)</f>
        <v>0</v>
      </c>
      <c r="W20" s="59">
        <f>基础信息!$G25*基础信息!K25*(F$4+F$5*基础信息!$H25)</f>
        <v>0</v>
      </c>
      <c r="X20" s="59">
        <f>基础信息!$G25*基础信息!L25*(G$4+G$5*基础信息!$H25)</f>
        <v>0</v>
      </c>
      <c r="Y20" s="59">
        <f>基础信息!$G25*基础信息!M25*(H$4+H$5*基础信息!$H25)</f>
        <v>240</v>
      </c>
    </row>
    <row r="21" spans="3:25" x14ac:dyDescent="0.15">
      <c r="C21" s="9">
        <v>7</v>
      </c>
      <c r="D21" s="100">
        <v>120</v>
      </c>
      <c r="E21" s="97">
        <f>SUM($D$15:D20)</f>
        <v>480</v>
      </c>
      <c r="F21" s="70"/>
      <c r="K21" s="66"/>
      <c r="L21" s="66"/>
      <c r="M21" s="65"/>
      <c r="N21" s="65"/>
    </row>
    <row r="22" spans="3:25" x14ac:dyDescent="0.15">
      <c r="C22" s="9">
        <v>8</v>
      </c>
      <c r="D22" s="100">
        <v>120</v>
      </c>
      <c r="E22" s="97">
        <f>SUM($D$15:D21)</f>
        <v>600</v>
      </c>
      <c r="F22" s="70"/>
      <c r="K22" s="66"/>
      <c r="L22" s="66"/>
      <c r="M22" s="65"/>
      <c r="N22" s="65"/>
    </row>
    <row r="23" spans="3:25" x14ac:dyDescent="0.15">
      <c r="C23" s="9">
        <v>9</v>
      </c>
      <c r="D23" s="100">
        <v>140</v>
      </c>
      <c r="E23" s="97">
        <f>SUM($D$15:D22)</f>
        <v>720</v>
      </c>
      <c r="F23" s="70"/>
      <c r="K23" s="66" t="s">
        <v>1</v>
      </c>
      <c r="L23" s="66"/>
      <c r="M23" s="65"/>
      <c r="N23" s="65"/>
      <c r="O23" s="124" t="s">
        <v>163</v>
      </c>
      <c r="P23" s="124"/>
      <c r="Q23" s="124"/>
      <c r="R23" s="124"/>
      <c r="S23" s="124"/>
      <c r="U23" s="123" t="s">
        <v>162</v>
      </c>
      <c r="V23" s="123"/>
      <c r="W23" s="123"/>
      <c r="X23" s="123"/>
      <c r="Y23" s="123"/>
    </row>
    <row r="24" spans="3:25" x14ac:dyDescent="0.15">
      <c r="C24" s="9">
        <v>10</v>
      </c>
      <c r="D24" s="100">
        <v>140</v>
      </c>
      <c r="E24" s="97">
        <f>SUM($D$15:D23)</f>
        <v>860</v>
      </c>
      <c r="F24" s="70"/>
      <c r="K24" s="66" t="s">
        <v>21</v>
      </c>
      <c r="L24" s="66" t="s">
        <v>121</v>
      </c>
      <c r="M24" s="65" t="s">
        <v>122</v>
      </c>
      <c r="N24" s="65" t="s">
        <v>103</v>
      </c>
      <c r="O24" s="77" t="s">
        <v>104</v>
      </c>
      <c r="P24" s="77" t="s">
        <v>105</v>
      </c>
      <c r="Q24" s="77" t="s">
        <v>106</v>
      </c>
      <c r="R24" s="77" t="s">
        <v>107</v>
      </c>
      <c r="S24" s="77" t="s">
        <v>108</v>
      </c>
      <c r="T24" s="77" t="s">
        <v>161</v>
      </c>
      <c r="U24" s="59" t="s">
        <v>104</v>
      </c>
      <c r="V24" s="59" t="s">
        <v>105</v>
      </c>
      <c r="W24" s="59" t="s">
        <v>106</v>
      </c>
      <c r="X24" s="59" t="s">
        <v>107</v>
      </c>
      <c r="Y24" s="59" t="s">
        <v>108</v>
      </c>
    </row>
    <row r="25" spans="3:25" x14ac:dyDescent="0.15">
      <c r="C25" s="9">
        <v>11</v>
      </c>
      <c r="D25" s="100">
        <v>160</v>
      </c>
      <c r="E25" s="97">
        <f>SUM($D$15:D24)</f>
        <v>1000</v>
      </c>
      <c r="F25" s="70"/>
      <c r="J25" s="97">
        <f>门客经验!I25</f>
        <v>0</v>
      </c>
      <c r="K25" s="66">
        <v>1</v>
      </c>
      <c r="L25" s="60">
        <f>基础信息!D30</f>
        <v>16</v>
      </c>
      <c r="M25" s="61">
        <f>基础信息!E30</f>
        <v>2.0310175363141174</v>
      </c>
      <c r="N25" s="61">
        <f>基础信息!F30</f>
        <v>17.420973982667814</v>
      </c>
      <c r="O25" s="77">
        <f>求节点($C$15:$C$44,$E$15:$E$44,基础信息!$H30)*基础信息!$G30*基础信息!I30</f>
        <v>120</v>
      </c>
      <c r="P25" s="77">
        <f>求节点($C$15:$C$44,$E$15:$E$44,基础信息!$H30)*基础信息!$G30*基础信息!J30</f>
        <v>0</v>
      </c>
      <c r="Q25" s="77">
        <f>求节点($C$15:$C$44,$E$15:$E$44,基础信息!$H30)*基础信息!$G30*基础信息!K30</f>
        <v>0</v>
      </c>
      <c r="R25" s="77">
        <f>求节点($C$15:$C$44,$E$15:$E$44,基础信息!$H30)*基础信息!$G30*基础信息!L30</f>
        <v>0</v>
      </c>
      <c r="S25" s="77">
        <f>求节点($C$15:$C$44,$E$15:$E$44,基础信息!$H30)*基础信息!$G30*基础信息!M30</f>
        <v>0</v>
      </c>
      <c r="T25" s="77">
        <f>SUM(O25:S25)</f>
        <v>120</v>
      </c>
      <c r="U25" s="59">
        <f>基础信息!$G30*基础信息!I30*(D$4+D$5*基础信息!$H30)</f>
        <v>2.6</v>
      </c>
      <c r="V25" s="59">
        <f>基础信息!$G30*基础信息!J30*(E$4+E$5*基础信息!$H30)</f>
        <v>0</v>
      </c>
      <c r="W25" s="59">
        <f>基础信息!$G30*基础信息!K30*(F$4+F$5*基础信息!$H30)</f>
        <v>0</v>
      </c>
      <c r="X25" s="59">
        <f>基础信息!$G30*基础信息!L30*(G$4+G$5*基础信息!$H30)</f>
        <v>0</v>
      </c>
      <c r="Y25" s="59">
        <f>基础信息!$G30*基础信息!M30*(H$4+H$5*基础信息!$H30)</f>
        <v>0</v>
      </c>
    </row>
    <row r="26" spans="3:25" x14ac:dyDescent="0.15">
      <c r="C26" s="9">
        <v>12</v>
      </c>
      <c r="D26" s="100">
        <v>160</v>
      </c>
      <c r="E26" s="97">
        <f>SUM($D$15:D25)</f>
        <v>1160</v>
      </c>
      <c r="F26" s="70"/>
      <c r="J26" s="97">
        <f>门客经验!I26</f>
        <v>0.24043427492345376</v>
      </c>
      <c r="K26" s="66">
        <v>2</v>
      </c>
      <c r="L26" s="60">
        <f>基础信息!D31</f>
        <v>19.5</v>
      </c>
      <c r="M26" s="61">
        <f>基础信息!E31</f>
        <v>3.8583180257323662</v>
      </c>
      <c r="N26" s="61">
        <f>基础信息!F31</f>
        <v>24.411235857114818</v>
      </c>
      <c r="O26" s="77">
        <f>求节点($C$15:$C$44,$E$15:$E$44,基础信息!$H31)*基础信息!$G31*基础信息!I31</f>
        <v>760</v>
      </c>
      <c r="P26" s="77">
        <f>求节点($C$15:$C$44,$E$15:$E$44,基础信息!$H31)*基础信息!$G31*基础信息!J31</f>
        <v>0</v>
      </c>
      <c r="Q26" s="77">
        <f>求节点($C$15:$C$44,$E$15:$E$44,基础信息!$H31)*基础信息!$G31*基础信息!K31</f>
        <v>0</v>
      </c>
      <c r="R26" s="77">
        <f>求节点($C$15:$C$44,$E$15:$E$44,基础信息!$H31)*基础信息!$G31*基础信息!L31</f>
        <v>0</v>
      </c>
      <c r="S26" s="77">
        <f>求节点($C$15:$C$44,$E$15:$E$44,基础信息!$H31)*基础信息!$G31*基础信息!M31</f>
        <v>0</v>
      </c>
      <c r="T26" s="77">
        <f t="shared" ref="T26:T40" si="3">SUM(O26:S26)</f>
        <v>760</v>
      </c>
      <c r="U26" s="59">
        <f>基础信息!$G31*基础信息!I31*(D$4+D$5*基础信息!$H31)</f>
        <v>6.4</v>
      </c>
      <c r="V26" s="59">
        <f>基础信息!$G31*基础信息!J31*(E$4+E$5*基础信息!$H31)</f>
        <v>0</v>
      </c>
      <c r="W26" s="59">
        <f>基础信息!$G31*基础信息!K31*(F$4+F$5*基础信息!$H31)</f>
        <v>0</v>
      </c>
      <c r="X26" s="59">
        <f>基础信息!$G31*基础信息!L31*(G$4+G$5*基础信息!$H31)</f>
        <v>0</v>
      </c>
      <c r="Y26" s="59">
        <f>基础信息!$G31*基础信息!M31*(H$4+H$5*基础信息!$H31)</f>
        <v>0</v>
      </c>
    </row>
    <row r="27" spans="3:25" x14ac:dyDescent="0.15">
      <c r="C27" s="9">
        <v>13</v>
      </c>
      <c r="D27" s="100">
        <v>180</v>
      </c>
      <c r="E27" s="97">
        <f>SUM($D$15:D26)</f>
        <v>1320</v>
      </c>
      <c r="F27" s="70"/>
      <c r="J27" s="97">
        <f>门客经验!I27</f>
        <v>0.35090568856541376</v>
      </c>
      <c r="K27" s="66">
        <v>3</v>
      </c>
      <c r="L27" s="60">
        <f>基础信息!D32</f>
        <v>23.5</v>
      </c>
      <c r="M27" s="61">
        <f>基础信息!E32</f>
        <v>7.7240111017275384</v>
      </c>
      <c r="N27" s="61">
        <f>基础信息!F32</f>
        <v>33.019343244153319</v>
      </c>
      <c r="O27" s="77">
        <f>求节点($C$15:$C$44,$E$15:$E$44,基础信息!$H32)*基础信息!$G32*基础信息!I32</f>
        <v>1080</v>
      </c>
      <c r="P27" s="77">
        <f>求节点($C$15:$C$44,$E$15:$E$44,基础信息!$H32)*基础信息!$G32*基础信息!J32</f>
        <v>1080</v>
      </c>
      <c r="Q27" s="77">
        <f>求节点($C$15:$C$44,$E$15:$E$44,基础信息!$H32)*基础信息!$G32*基础信息!K32</f>
        <v>0</v>
      </c>
      <c r="R27" s="77">
        <f>求节点($C$15:$C$44,$E$15:$E$44,基础信息!$H32)*基础信息!$G32*基础信息!L32</f>
        <v>0</v>
      </c>
      <c r="S27" s="77">
        <f>求节点($C$15:$C$44,$E$15:$E$44,基础信息!$H32)*基础信息!$G32*基础信息!M32</f>
        <v>0</v>
      </c>
      <c r="T27" s="77">
        <f t="shared" si="3"/>
        <v>2160</v>
      </c>
      <c r="U27" s="59">
        <f>基础信息!$G32*基础信息!I32*(D$4+D$5*基础信息!$H32)</f>
        <v>5.6999999999999993</v>
      </c>
      <c r="V27" s="59">
        <f>基础信息!$G32*基础信息!J32*(E$4+E$5*基础信息!$H32)</f>
        <v>7.1999999999999993</v>
      </c>
      <c r="W27" s="59">
        <f>基础信息!$G32*基础信息!K32*(F$4+F$5*基础信息!$H32)</f>
        <v>0</v>
      </c>
      <c r="X27" s="59">
        <f>基础信息!$G32*基础信息!L32*(G$4+G$5*基础信息!$H32)</f>
        <v>0</v>
      </c>
      <c r="Y27" s="59">
        <f>基础信息!$G32*基础信息!M32*(H$4+H$5*基础信息!$H32)</f>
        <v>0</v>
      </c>
    </row>
    <row r="28" spans="3:25" x14ac:dyDescent="0.15">
      <c r="C28" s="9">
        <v>14</v>
      </c>
      <c r="D28" s="100">
        <v>180</v>
      </c>
      <c r="E28" s="97">
        <f>SUM($D$15:D27)</f>
        <v>1500</v>
      </c>
      <c r="F28" s="70"/>
      <c r="J28" s="97">
        <f>门客经验!I28</f>
        <v>0.40789146041822977</v>
      </c>
      <c r="K28" s="66">
        <v>4</v>
      </c>
      <c r="L28" s="60">
        <f>基础信息!D33</f>
        <v>27.5</v>
      </c>
      <c r="M28" s="61">
        <f>基础信息!E33</f>
        <v>15.096178510388308</v>
      </c>
      <c r="N28" s="61">
        <f>基础信息!F33</f>
        <v>41.92278306907852</v>
      </c>
      <c r="O28" s="77">
        <f>求节点($C$15:$C$44,$E$15:$E$44,基础信息!$H33)*基础信息!$G33*基础信息!I33</f>
        <v>0</v>
      </c>
      <c r="P28" s="77">
        <f>求节点($C$15:$C$44,$E$15:$E$44,基础信息!$H33)*基础信息!$G33*基础信息!J33</f>
        <v>2320</v>
      </c>
      <c r="Q28" s="77">
        <f>求节点($C$15:$C$44,$E$15:$E$44,基础信息!$H33)*基础信息!$G33*基础信息!K33</f>
        <v>2320</v>
      </c>
      <c r="R28" s="77">
        <f>求节点($C$15:$C$44,$E$15:$E$44,基础信息!$H33)*基础信息!$G33*基础信息!L33</f>
        <v>0</v>
      </c>
      <c r="S28" s="77">
        <f>求节点($C$15:$C$44,$E$15:$E$44,基础信息!$H33)*基础信息!$G33*基础信息!M33</f>
        <v>0</v>
      </c>
      <c r="T28" s="77">
        <f t="shared" si="3"/>
        <v>4640</v>
      </c>
      <c r="U28" s="59">
        <f>基础信息!$G33*基础信息!I33*(D$4+D$5*基础信息!$H33)</f>
        <v>0</v>
      </c>
      <c r="V28" s="59">
        <f>基础信息!$G33*基础信息!J33*(E$4+E$5*基础信息!$H33)</f>
        <v>10.8</v>
      </c>
      <c r="W28" s="59">
        <f>基础信息!$G33*基础信息!K33*(F$4+F$5*基础信息!$H33)</f>
        <v>12.8</v>
      </c>
      <c r="X28" s="59">
        <f>基础信息!$G33*基础信息!L33*(G$4+G$5*基础信息!$H33)</f>
        <v>0</v>
      </c>
      <c r="Y28" s="59">
        <f>基础信息!$G33*基础信息!M33*(H$4+H$5*基础信息!$H33)</f>
        <v>0</v>
      </c>
    </row>
    <row r="29" spans="3:25" x14ac:dyDescent="0.15">
      <c r="C29" s="9">
        <v>15</v>
      </c>
      <c r="D29" s="100">
        <v>200</v>
      </c>
      <c r="E29" s="97">
        <f>SUM($D$15:D28)</f>
        <v>1680</v>
      </c>
      <c r="F29" s="70"/>
      <c r="J29" s="97">
        <f>门客经验!I29</f>
        <v>0.71001808797337052</v>
      </c>
      <c r="K29" s="66">
        <v>5</v>
      </c>
      <c r="L29" s="60">
        <f>基础信息!D34</f>
        <v>31.5</v>
      </c>
      <c r="M29" s="61">
        <f>基础信息!E34</f>
        <v>29.031391010864539</v>
      </c>
      <c r="N29" s="61">
        <f>基础信息!F34</f>
        <v>51.047922371312225</v>
      </c>
      <c r="O29" s="77">
        <f>求节点($C$15:$C$44,$E$15:$E$44,基础信息!$H34)*基础信息!$G34*基础信息!I34</f>
        <v>0</v>
      </c>
      <c r="P29" s="77">
        <f>求节点($C$15:$C$44,$E$15:$E$44,基础信息!$H34)*基础信息!$G34*基础信息!J34</f>
        <v>0</v>
      </c>
      <c r="Q29" s="77">
        <f>求节点($C$15:$C$44,$E$15:$E$44,基础信息!$H34)*基础信息!$G34*基础信息!K34</f>
        <v>8400</v>
      </c>
      <c r="R29" s="77">
        <f>求节点($C$15:$C$44,$E$15:$E$44,基础信息!$H34)*基础信息!$G34*基础信息!L34</f>
        <v>0</v>
      </c>
      <c r="S29" s="77">
        <f>求节点($C$15:$C$44,$E$15:$E$44,基础信息!$H34)*基础信息!$G34*基础信息!M34</f>
        <v>0</v>
      </c>
      <c r="T29" s="77">
        <f t="shared" si="3"/>
        <v>8400</v>
      </c>
      <c r="U29" s="59">
        <f>基础信息!$G34*基础信息!I34*(D$4+D$5*基础信息!$H34)</f>
        <v>0</v>
      </c>
      <c r="V29" s="59">
        <f>基础信息!$G34*基础信息!J34*(E$4+E$5*基础信息!$H34)</f>
        <v>0</v>
      </c>
      <c r="W29" s="59">
        <f>基础信息!$G34*基础信息!K34*(F$4+F$5*基础信息!$H34)</f>
        <v>35</v>
      </c>
      <c r="X29" s="59">
        <f>基础信息!$G34*基础信息!L34*(G$4+G$5*基础信息!$H34)</f>
        <v>0</v>
      </c>
      <c r="Y29" s="59">
        <f>基础信息!$G34*基础信息!M34*(H$4+H$5*基础信息!$H34)</f>
        <v>0</v>
      </c>
    </row>
    <row r="30" spans="3:25" x14ac:dyDescent="0.15">
      <c r="C30" s="9">
        <v>16</v>
      </c>
      <c r="D30" s="100">
        <v>200</v>
      </c>
      <c r="E30" s="97">
        <f>SUM($D$15:D29)</f>
        <v>1880</v>
      </c>
      <c r="F30" s="70"/>
      <c r="J30" s="97">
        <f>门客经验!I30</f>
        <v>0.97425465260835753</v>
      </c>
      <c r="K30" s="66">
        <v>6</v>
      </c>
      <c r="L30" s="60">
        <f>基础信息!D35</f>
        <v>35.5</v>
      </c>
      <c r="M30" s="61">
        <f>基础信息!E35</f>
        <v>54.898744666803331</v>
      </c>
      <c r="N30" s="61">
        <f>基础信息!F35</f>
        <v>60.077170204921828</v>
      </c>
      <c r="O30" s="77">
        <f>求节点($C$15:$C$44,$E$15:$E$44,基础信息!$H35)*基础信息!$G35*基础信息!I35</f>
        <v>0</v>
      </c>
      <c r="P30" s="77">
        <f>求节点($C$15:$C$44,$E$15:$E$44,基础信息!$H35)*基础信息!$G35*基础信息!J35</f>
        <v>0</v>
      </c>
      <c r="Q30" s="77">
        <f>求节点($C$15:$C$44,$E$15:$E$44,基础信息!$H35)*基础信息!$G35*基础信息!K35</f>
        <v>11160</v>
      </c>
      <c r="R30" s="77">
        <f>求节点($C$15:$C$44,$E$15:$E$44,基础信息!$H35)*基础信息!$G35*基础信息!L35</f>
        <v>3720</v>
      </c>
      <c r="S30" s="77">
        <f>求节点($C$15:$C$44,$E$15:$E$44,基础信息!$H35)*基础信息!$G35*基础信息!M35</f>
        <v>0</v>
      </c>
      <c r="T30" s="77">
        <f t="shared" si="3"/>
        <v>14880</v>
      </c>
      <c r="U30" s="59">
        <f>基础信息!$G35*基础信息!I35*(D$4+D$5*基础信息!$H35)</f>
        <v>0</v>
      </c>
      <c r="V30" s="59">
        <f>基础信息!$G35*基础信息!J35*(E$4+E$5*基础信息!$H35)</f>
        <v>0</v>
      </c>
      <c r="W30" s="59">
        <f>基础信息!$G35*基础信息!K35*(F$4+F$5*基础信息!$H35)</f>
        <v>34.199999999999996</v>
      </c>
      <c r="X30" s="59">
        <f>基础信息!$G35*基础信息!L35*(G$4+G$5*基础信息!$H35)</f>
        <v>14.399999999999999</v>
      </c>
      <c r="Y30" s="59">
        <f>基础信息!$G35*基础信息!M35*(H$4+H$5*基础信息!$H35)</f>
        <v>0</v>
      </c>
    </row>
    <row r="31" spans="3:25" x14ac:dyDescent="0.15">
      <c r="C31" s="9">
        <v>17</v>
      </c>
      <c r="D31" s="100">
        <v>400</v>
      </c>
      <c r="E31" s="97">
        <f>SUM($D$15:D30)</f>
        <v>2080</v>
      </c>
      <c r="F31" s="70"/>
      <c r="J31" s="97">
        <f>门客经验!I31</f>
        <v>0.73171804823136355</v>
      </c>
      <c r="K31" s="66">
        <v>7</v>
      </c>
      <c r="L31" s="60">
        <f>基础信息!D36</f>
        <v>39.5</v>
      </c>
      <c r="M31" s="61">
        <f>基础信息!E36</f>
        <v>99.697076394392013</v>
      </c>
      <c r="N31" s="61">
        <f>基础信息!F36</f>
        <v>68.578677703814634</v>
      </c>
      <c r="O31" s="77">
        <f>求节点($C$15:$C$44,$E$15:$E$44,基础信息!$H36)*基础信息!$G36*基础信息!I36</f>
        <v>0</v>
      </c>
      <c r="P31" s="77">
        <f>求节点($C$15:$C$44,$E$15:$E$44,基础信息!$H36)*基础信息!$G36*基础信息!J36</f>
        <v>0</v>
      </c>
      <c r="Q31" s="77">
        <f>求节点($C$15:$C$44,$E$15:$E$44,基础信息!$H36)*基础信息!$G36*基础信息!K36</f>
        <v>15680</v>
      </c>
      <c r="R31" s="77">
        <f>求节点($C$15:$C$44,$E$15:$E$44,基础信息!$H36)*基础信息!$G36*基础信息!L36</f>
        <v>15680</v>
      </c>
      <c r="S31" s="77">
        <f>求节点($C$15:$C$44,$E$15:$E$44,基础信息!$H36)*基础信息!$G36*基础信息!M36</f>
        <v>0</v>
      </c>
      <c r="T31" s="77">
        <f t="shared" si="3"/>
        <v>31360</v>
      </c>
      <c r="U31" s="59">
        <f>基础信息!$G36*基础信息!I36*(D$4+D$5*基础信息!$H36)</f>
        <v>0</v>
      </c>
      <c r="V31" s="59">
        <f>基础信息!$G36*基础信息!J36*(E$4+E$5*基础信息!$H36)</f>
        <v>0</v>
      </c>
      <c r="W31" s="59">
        <f>基础信息!$G36*基础信息!K36*(F$4+F$5*基础信息!$H36)</f>
        <v>28.699999999999996</v>
      </c>
      <c r="X31" s="59">
        <f>基础信息!$G36*基础信息!L36*(G$4+G$5*基础信息!$H36)</f>
        <v>35.699999999999996</v>
      </c>
      <c r="Y31" s="59">
        <f>基础信息!$G36*基础信息!M36*(H$4+H$5*基础信息!$H36)</f>
        <v>0</v>
      </c>
    </row>
    <row r="32" spans="3:25" x14ac:dyDescent="0.15">
      <c r="C32" s="9">
        <v>18</v>
      </c>
      <c r="D32" s="100">
        <v>400</v>
      </c>
      <c r="E32" s="97">
        <f>SUM($D$15:D31)</f>
        <v>2480</v>
      </c>
      <c r="F32" s="70"/>
      <c r="J32" s="97">
        <f>门客经验!I32</f>
        <v>0.75279759255449819</v>
      </c>
      <c r="K32" s="66">
        <v>8</v>
      </c>
      <c r="L32" s="60">
        <f>基础信息!D37</f>
        <v>43.5</v>
      </c>
      <c r="M32" s="61">
        <f>基础信息!E37</f>
        <v>180.54643493461919</v>
      </c>
      <c r="N32" s="61">
        <f>基础信息!F37</f>
        <v>77.110082613456697</v>
      </c>
      <c r="O32" s="77">
        <f>求节点($C$15:$C$44,$E$15:$E$44,基础信息!$H37)*基础信息!$G37*基础信息!I37</f>
        <v>0</v>
      </c>
      <c r="P32" s="77">
        <f>求节点($C$15:$C$44,$E$15:$E$44,基础信息!$H37)*基础信息!$G37*基础信息!J37</f>
        <v>0</v>
      </c>
      <c r="Q32" s="77">
        <f>求节点($C$15:$C$44,$E$15:$E$44,基础信息!$H37)*基础信息!$G37*基础信息!K37</f>
        <v>21760</v>
      </c>
      <c r="R32" s="77">
        <f>求节点($C$15:$C$44,$E$15:$E$44,基础信息!$H37)*基础信息!$G37*基础信息!L37</f>
        <v>65280</v>
      </c>
      <c r="S32" s="77">
        <f>求节点($C$15:$C$44,$E$15:$E$44,基础信息!$H37)*基础信息!$G37*基础信息!M37</f>
        <v>0</v>
      </c>
      <c r="T32" s="77">
        <f t="shared" si="3"/>
        <v>87040</v>
      </c>
      <c r="U32" s="59">
        <f>基础信息!$G37*基础信息!I37*(D$4+D$5*基础信息!$H37)</f>
        <v>0</v>
      </c>
      <c r="V32" s="59">
        <f>基础信息!$G37*基础信息!J37*(E$4+E$5*基础信息!$H37)</f>
        <v>0</v>
      </c>
      <c r="W32" s="59">
        <f>基础信息!$G37*基础信息!K37*(F$4+F$5*基础信息!$H37)</f>
        <v>17.600000000000001</v>
      </c>
      <c r="X32" s="59">
        <f>基础信息!$G37*基础信息!L37*(G$4+G$5*基础信息!$H37)</f>
        <v>64.800000000000011</v>
      </c>
      <c r="Y32" s="59">
        <f>基础信息!$G37*基础信息!M37*(H$4+H$5*基础信息!$H37)</f>
        <v>0</v>
      </c>
    </row>
    <row r="33" spans="3:25" x14ac:dyDescent="0.15">
      <c r="C33" s="9">
        <v>19</v>
      </c>
      <c r="D33" s="100">
        <v>800</v>
      </c>
      <c r="E33" s="97">
        <f>SUM($D$15:D32)</f>
        <v>2880</v>
      </c>
      <c r="F33" s="70"/>
      <c r="J33" s="97">
        <f>门客经验!I33</f>
        <v>0.81369972692505388</v>
      </c>
      <c r="K33" s="66">
        <v>9</v>
      </c>
      <c r="L33" s="60">
        <f>基础信息!D38</f>
        <v>47.5</v>
      </c>
      <c r="M33" s="61">
        <f>基础信息!E38</f>
        <v>326.26831861477285</v>
      </c>
      <c r="N33" s="61">
        <f>基础信息!F38</f>
        <v>85.652928267499789</v>
      </c>
      <c r="O33" s="77">
        <f>求节点($C$15:$C$44,$E$15:$E$44,基础信息!$H38)*基础信息!$G38*基础信息!I38</f>
        <v>0</v>
      </c>
      <c r="P33" s="77">
        <f>求节点($C$15:$C$44,$E$15:$E$44,基础信息!$H38)*基础信息!$G38*基础信息!J38</f>
        <v>0</v>
      </c>
      <c r="Q33" s="77">
        <f>求节点($C$15:$C$44,$E$15:$E$44,基础信息!$H38)*基础信息!$G38*基础信息!K38</f>
        <v>0</v>
      </c>
      <c r="R33" s="77">
        <f>求节点($C$15:$C$44,$E$15:$E$44,基础信息!$H38)*基础信息!$G38*基础信息!L38</f>
        <v>184320</v>
      </c>
      <c r="S33" s="77">
        <f>求节点($C$15:$C$44,$E$15:$E$44,基础信息!$H38)*基础信息!$G38*基础信息!M38</f>
        <v>0</v>
      </c>
      <c r="T33" s="77">
        <f t="shared" si="3"/>
        <v>184320</v>
      </c>
      <c r="U33" s="59">
        <f>基础信息!$G38*基础信息!I38*(D$4+D$5*基础信息!$H38)</f>
        <v>0</v>
      </c>
      <c r="V33" s="59">
        <f>基础信息!$G38*基础信息!J38*(E$4+E$5*基础信息!$H38)</f>
        <v>0</v>
      </c>
      <c r="W33" s="59">
        <f>基础信息!$G38*基础信息!K38*(F$4+F$5*基础信息!$H38)</f>
        <v>0</v>
      </c>
      <c r="X33" s="59">
        <f>基础信息!$G38*基础信息!L38*(G$4+G$5*基础信息!$H38)</f>
        <v>102.60000000000001</v>
      </c>
      <c r="Y33" s="59">
        <f>基础信息!$G38*基础信息!M38*(H$4+H$5*基础信息!$H38)</f>
        <v>0</v>
      </c>
    </row>
    <row r="34" spans="3:25" x14ac:dyDescent="0.15">
      <c r="C34" s="9">
        <v>20</v>
      </c>
      <c r="D34" s="100">
        <v>800</v>
      </c>
      <c r="E34" s="97">
        <f>SUM($D$15:D33)</f>
        <v>3680</v>
      </c>
      <c r="F34" s="70"/>
      <c r="J34" s="97">
        <f>门客经验!I34</f>
        <v>0.95664134823629143</v>
      </c>
      <c r="K34" s="66">
        <v>10</v>
      </c>
      <c r="L34" s="60">
        <f>基础信息!D39</f>
        <v>52</v>
      </c>
      <c r="M34" s="61">
        <f>基础信息!E39</f>
        <v>631.88241509551563</v>
      </c>
      <c r="N34" s="61">
        <f>基础信息!F39</f>
        <v>95.320056465518832</v>
      </c>
      <c r="O34" s="77">
        <f>求节点($C$15:$C$44,$E$15:$E$44,基础信息!$H39)*基础信息!$G39*基础信息!I39</f>
        <v>0</v>
      </c>
      <c r="P34" s="77">
        <f>求节点($C$15:$C$44,$E$15:$E$44,基础信息!$H39)*基础信息!$G39*基础信息!J39</f>
        <v>0</v>
      </c>
      <c r="Q34" s="77">
        <f>求节点($C$15:$C$44,$E$15:$E$44,基础信息!$H39)*基础信息!$G39*基础信息!K39</f>
        <v>0</v>
      </c>
      <c r="R34" s="77">
        <f>求节点($C$15:$C$44,$E$15:$E$44,基础信息!$H39)*基础信息!$G39*基础信息!L39</f>
        <v>240640</v>
      </c>
      <c r="S34" s="77">
        <f>求节点($C$15:$C$44,$E$15:$E$44,基础信息!$H39)*基础信息!$G39*基础信息!M39</f>
        <v>60160</v>
      </c>
      <c r="T34" s="77">
        <f t="shared" si="3"/>
        <v>300800</v>
      </c>
      <c r="U34" s="59">
        <f>基础信息!$G39*基础信息!I39*(D$4+D$5*基础信息!$H39)</f>
        <v>0</v>
      </c>
      <c r="V34" s="59">
        <f>基础信息!$G39*基础信息!J39*(E$4+E$5*基础信息!$H39)</f>
        <v>0</v>
      </c>
      <c r="W34" s="59">
        <f>基础信息!$G39*基础信息!K39*(F$4+F$5*基础信息!$H39)</f>
        <v>0</v>
      </c>
      <c r="X34" s="59">
        <f>基础信息!$G39*基础信息!L39*(G$4+G$5*基础信息!$H39)</f>
        <v>96</v>
      </c>
      <c r="Y34" s="59">
        <f>基础信息!$G39*基础信息!M39*(H$4+H$5*基础信息!$H39)</f>
        <v>30</v>
      </c>
    </row>
    <row r="35" spans="3:25" x14ac:dyDescent="0.15">
      <c r="C35" s="9">
        <v>21</v>
      </c>
      <c r="D35" s="100">
        <v>1600</v>
      </c>
      <c r="E35" s="97">
        <f>SUM($D$15:D34)</f>
        <v>4480</v>
      </c>
      <c r="F35" s="70"/>
      <c r="J35" s="97">
        <f>门客经验!I35</f>
        <v>1.9268959411249602</v>
      </c>
      <c r="K35" s="66">
        <v>11</v>
      </c>
      <c r="L35" s="60">
        <f>基础信息!D40</f>
        <v>57</v>
      </c>
      <c r="M35" s="61">
        <f>基础信息!E40</f>
        <v>1318.2598742162893</v>
      </c>
      <c r="N35" s="61">
        <f>基础信息!F40</f>
        <v>105.93060744042049</v>
      </c>
      <c r="O35" s="77">
        <f>求节点($C$15:$C$44,$E$15:$E$44,基础信息!$H40)*基础信息!$G40*基础信息!I40</f>
        <v>0</v>
      </c>
      <c r="P35" s="77">
        <f>求节点($C$15:$C$44,$E$15:$E$44,基础信息!$H40)*基础信息!$G40*基础信息!J40</f>
        <v>0</v>
      </c>
      <c r="Q35" s="77">
        <f>求节点($C$15:$C$44,$E$15:$E$44,基础信息!$H40)*基础信息!$G40*基础信息!K40</f>
        <v>0</v>
      </c>
      <c r="R35" s="77">
        <f>求节点($C$15:$C$44,$E$15:$E$44,基础信息!$H40)*基础信息!$G40*基础信息!L40</f>
        <v>198528</v>
      </c>
      <c r="S35" s="77">
        <f>求节点($C$15:$C$44,$E$15:$E$44,基础信息!$H40)*基础信息!$G40*基础信息!M40</f>
        <v>132352</v>
      </c>
      <c r="T35" s="77">
        <f t="shared" si="3"/>
        <v>330880</v>
      </c>
      <c r="U35" s="59">
        <f>基础信息!$G40*基础信息!I40*(D$4+D$5*基础信息!$H40)</f>
        <v>0</v>
      </c>
      <c r="V35" s="59">
        <f>基础信息!$G40*基础信息!J40*(E$4+E$5*基础信息!$H40)</f>
        <v>0</v>
      </c>
      <c r="W35" s="59">
        <f>基础信息!$G40*基础信息!K40*(F$4+F$5*基础信息!$H40)</f>
        <v>0</v>
      </c>
      <c r="X35" s="59">
        <f>基础信息!$G40*基础信息!L40*(G$4+G$5*基础信息!$H40)</f>
        <v>79.199999999999989</v>
      </c>
      <c r="Y35" s="59">
        <f>基础信息!$G40*基础信息!M40*(H$4+H$5*基础信息!$H40)</f>
        <v>66</v>
      </c>
    </row>
    <row r="36" spans="3:25" x14ac:dyDescent="0.15">
      <c r="C36" s="9">
        <v>22</v>
      </c>
      <c r="D36" s="100">
        <v>1600</v>
      </c>
      <c r="E36" s="97">
        <f>SUM($D$15:D35)</f>
        <v>6080</v>
      </c>
      <c r="F36" s="70"/>
      <c r="J36" s="97">
        <f>门客经验!I36</f>
        <v>4.0248843765915749</v>
      </c>
      <c r="K36" s="66">
        <v>12</v>
      </c>
      <c r="L36" s="60">
        <f>基础信息!D41</f>
        <v>62</v>
      </c>
      <c r="M36" s="61">
        <f>基础信息!E41</f>
        <v>2745.081836483092</v>
      </c>
      <c r="N36" s="61">
        <f>基础信息!F41</f>
        <v>116.57008716694446</v>
      </c>
      <c r="O36" s="77">
        <f>求节点($C$15:$C$44,$E$15:$E$44,基础信息!$H41)*基础信息!$G41*基础信息!I41</f>
        <v>0</v>
      </c>
      <c r="P36" s="77">
        <f>求节点($C$15:$C$44,$E$15:$E$44,基础信息!$H41)*基础信息!$G41*基础信息!J41</f>
        <v>0</v>
      </c>
      <c r="Q36" s="77">
        <f>求节点($C$15:$C$44,$E$15:$E$44,基础信息!$H41)*基础信息!$G41*基础信息!K41</f>
        <v>0</v>
      </c>
      <c r="R36" s="77">
        <f>求节点($C$15:$C$44,$E$15:$E$44,基础信息!$H41)*基础信息!$G41*基础信息!L41</f>
        <v>144384</v>
      </c>
      <c r="S36" s="77">
        <f>求节点($C$15:$C$44,$E$15:$E$44,基础信息!$H41)*基础信息!$G41*基础信息!M41</f>
        <v>216576</v>
      </c>
      <c r="T36" s="77">
        <f t="shared" si="3"/>
        <v>360960</v>
      </c>
      <c r="U36" s="59">
        <f>基础信息!$G41*基础信息!I41*(D$4+D$5*基础信息!$H41)</f>
        <v>0</v>
      </c>
      <c r="V36" s="59">
        <f>基础信息!$G41*基础信息!J41*(E$4+E$5*基础信息!$H41)</f>
        <v>0</v>
      </c>
      <c r="W36" s="59">
        <f>基础信息!$G41*基础信息!K41*(F$4+F$5*基础信息!$H41)</f>
        <v>0</v>
      </c>
      <c r="X36" s="59">
        <f>基础信息!$G41*基础信息!L41*(G$4+G$5*基础信息!$H41)</f>
        <v>57.600000000000009</v>
      </c>
      <c r="Y36" s="59">
        <f>基础信息!$G41*基础信息!M41*(H$4+H$5*基础信息!$H41)</f>
        <v>107.99999999999999</v>
      </c>
    </row>
    <row r="37" spans="3:25" x14ac:dyDescent="0.15">
      <c r="C37" s="9">
        <v>23</v>
      </c>
      <c r="D37" s="100">
        <v>3200</v>
      </c>
      <c r="E37" s="97">
        <f>SUM($D$15:D36)</f>
        <v>7680</v>
      </c>
      <c r="F37" s="70"/>
      <c r="J37" s="97">
        <f>门客经验!I37</f>
        <v>8.3687466833812536</v>
      </c>
      <c r="K37" s="66">
        <v>13</v>
      </c>
      <c r="L37" s="60">
        <f>基础信息!D42</f>
        <v>67</v>
      </c>
      <c r="M37" s="61">
        <f>基础信息!E42</f>
        <v>5706.8398490672153</v>
      </c>
      <c r="N37" s="61">
        <f>基础信息!F42</f>
        <v>127.12838978012395</v>
      </c>
      <c r="O37" s="77">
        <f>求节点($C$15:$C$44,$E$15:$E$44,基础信息!$H42)*基础信息!$G42*基础信息!I42</f>
        <v>0</v>
      </c>
      <c r="P37" s="77">
        <f>求节点($C$15:$C$44,$E$15:$E$44,基础信息!$H42)*基础信息!$G42*基础信息!J42</f>
        <v>0</v>
      </c>
      <c r="Q37" s="77">
        <f>求节点($C$15:$C$44,$E$15:$E$44,基础信息!$H42)*基础信息!$G42*基础信息!K42</f>
        <v>0</v>
      </c>
      <c r="R37" s="77">
        <f>求节点($C$15:$C$44,$E$15:$E$44,基础信息!$H42)*基础信息!$G42*基础信息!L42</f>
        <v>78208</v>
      </c>
      <c r="S37" s="77">
        <f>求节点($C$15:$C$44,$E$15:$E$44,基础信息!$H42)*基础信息!$G42*基础信息!M42</f>
        <v>312832</v>
      </c>
      <c r="T37" s="77">
        <f t="shared" si="3"/>
        <v>391040</v>
      </c>
      <c r="U37" s="59">
        <f>基础信息!$G42*基础信息!I42*(D$4+D$5*基础信息!$H42)</f>
        <v>0</v>
      </c>
      <c r="V37" s="59">
        <f>基础信息!$G42*基础信息!J42*(E$4+E$5*基础信息!$H42)</f>
        <v>0</v>
      </c>
      <c r="W37" s="59">
        <f>基础信息!$G42*基础信息!K42*(F$4+F$5*基础信息!$H42)</f>
        <v>0</v>
      </c>
      <c r="X37" s="59">
        <f>基础信息!$G42*基础信息!L42*(G$4+G$5*基础信息!$H42)</f>
        <v>31.200000000000003</v>
      </c>
      <c r="Y37" s="59">
        <f>基础信息!$G42*基础信息!M42*(H$4+H$5*基础信息!$H42)</f>
        <v>156</v>
      </c>
    </row>
    <row r="38" spans="3:25" x14ac:dyDescent="0.15">
      <c r="C38" s="9">
        <v>24</v>
      </c>
      <c r="D38" s="100">
        <v>3200</v>
      </c>
      <c r="E38" s="97">
        <f>SUM($D$15:D37)</f>
        <v>10880</v>
      </c>
      <c r="F38" s="70"/>
      <c r="J38" s="97">
        <f>门客经验!I38</f>
        <v>17.19130748771364</v>
      </c>
      <c r="K38" s="66">
        <v>14</v>
      </c>
      <c r="L38" s="60">
        <f>基础信息!D43</f>
        <v>72</v>
      </c>
      <c r="M38" s="61">
        <f>基础信息!E43</f>
        <v>11846.564050336494</v>
      </c>
      <c r="N38" s="61">
        <f>基础信息!F43</f>
        <v>137.70627422196659</v>
      </c>
      <c r="O38" s="77">
        <f>求节点($C$15:$C$44,$E$15:$E$44,基础信息!$H43)*基础信息!$G43*基础信息!I43</f>
        <v>0</v>
      </c>
      <c r="P38" s="77">
        <f>求节点($C$15:$C$44,$E$15:$E$44,基础信息!$H43)*基础信息!$G43*基础信息!J43</f>
        <v>0</v>
      </c>
      <c r="Q38" s="77">
        <f>求节点($C$15:$C$44,$E$15:$E$44,基础信息!$H43)*基础信息!$G43*基础信息!K43</f>
        <v>0</v>
      </c>
      <c r="R38" s="77">
        <f>求节点($C$15:$C$44,$E$15:$E$44,基础信息!$H43)*基础信息!$G43*基础信息!L43</f>
        <v>0</v>
      </c>
      <c r="S38" s="77">
        <f>求节点($C$15:$C$44,$E$15:$E$44,基础信息!$H43)*基础信息!$G43*基础信息!M43</f>
        <v>421120</v>
      </c>
      <c r="T38" s="77">
        <f t="shared" si="3"/>
        <v>421120</v>
      </c>
      <c r="U38" s="59">
        <f>基础信息!$G43*基础信息!I43*(D$4+D$5*基础信息!$H43)</f>
        <v>0</v>
      </c>
      <c r="V38" s="59">
        <f>基础信息!$G43*基础信息!J43*(E$4+E$5*基础信息!$H43)</f>
        <v>0</v>
      </c>
      <c r="W38" s="59">
        <f>基础信息!$G43*基础信息!K43*(F$4+F$5*基础信息!$H43)</f>
        <v>0</v>
      </c>
      <c r="X38" s="59">
        <f>基础信息!$G43*基础信息!L43*(G$4+G$5*基础信息!$H43)</f>
        <v>0</v>
      </c>
      <c r="Y38" s="59">
        <f>基础信息!$G43*基础信息!M43*(H$4+H$5*基础信息!$H43)</f>
        <v>210</v>
      </c>
    </row>
    <row r="39" spans="3:25" x14ac:dyDescent="0.15">
      <c r="C39" s="9">
        <v>25</v>
      </c>
      <c r="D39" s="100">
        <v>3200</v>
      </c>
      <c r="E39" s="97">
        <f>SUM($D$15:D38)</f>
        <v>14080</v>
      </c>
      <c r="F39" s="70"/>
      <c r="J39" s="97">
        <f>门客经验!I39</f>
        <v>14.993494691203136</v>
      </c>
      <c r="K39" s="66">
        <v>15</v>
      </c>
      <c r="L39" s="60">
        <f>基础信息!D44</f>
        <v>77</v>
      </c>
      <c r="M39" s="61">
        <f>基础信息!E44</f>
        <v>24558.40880507711</v>
      </c>
      <c r="N39" s="61">
        <f>基础信息!F44</f>
        <v>148.27357279823164</v>
      </c>
      <c r="O39" s="77">
        <f>求节点($C$15:$C$44,$E$15:$E$44,基础信息!$H44)*基础信息!$G44*基础信息!I44</f>
        <v>0</v>
      </c>
      <c r="P39" s="77">
        <f>求节点($C$15:$C$44,$E$15:$E$44,基础信息!$H44)*基础信息!$G44*基础信息!J44</f>
        <v>0</v>
      </c>
      <c r="Q39" s="77">
        <f>求节点($C$15:$C$44,$E$15:$E$44,基础信息!$H44)*基础信息!$G44*基础信息!K44</f>
        <v>0</v>
      </c>
      <c r="R39" s="77">
        <f>求节点($C$15:$C$44,$E$15:$E$44,基础信息!$H44)*基础信息!$G44*基础信息!L44</f>
        <v>0</v>
      </c>
      <c r="S39" s="77">
        <f>求节点($C$15:$C$44,$E$15:$E$44,基础信息!$H44)*基础信息!$G44*基础信息!M44</f>
        <v>451200</v>
      </c>
      <c r="T39" s="77">
        <f t="shared" si="3"/>
        <v>451200</v>
      </c>
      <c r="U39" s="59">
        <f>基础信息!$G44*基础信息!I44*(D$4+D$5*基础信息!$H44)</f>
        <v>0</v>
      </c>
      <c r="V39" s="59">
        <f>基础信息!$G44*基础信息!J44*(E$4+E$5*基础信息!$H44)</f>
        <v>0</v>
      </c>
      <c r="W39" s="59">
        <f>基础信息!$G44*基础信息!K44*(F$4+F$5*基础信息!$H44)</f>
        <v>0</v>
      </c>
      <c r="X39" s="59">
        <f>基础信息!$G44*基础信息!L44*(G$4+G$5*基础信息!$H44)</f>
        <v>0</v>
      </c>
      <c r="Y39" s="59">
        <f>基础信息!$G44*基础信息!M44*(H$4+H$5*基础信息!$H44)</f>
        <v>225</v>
      </c>
    </row>
    <row r="40" spans="3:25" x14ac:dyDescent="0.15">
      <c r="C40" s="9">
        <v>26</v>
      </c>
      <c r="D40" s="100">
        <v>3200</v>
      </c>
      <c r="E40" s="97">
        <f>SUM($D$15:D39)</f>
        <v>17280</v>
      </c>
      <c r="F40" s="70"/>
      <c r="J40" s="97">
        <f>门客经验!I40</f>
        <v>14.177126826462942</v>
      </c>
      <c r="K40" s="66">
        <v>16</v>
      </c>
      <c r="L40" s="60">
        <f>基础信息!D45</f>
        <v>80</v>
      </c>
      <c r="M40" s="61">
        <f>基础信息!E45</f>
        <v>38010.300000000003</v>
      </c>
      <c r="N40" s="61">
        <f>基础信息!F45</f>
        <v>154.14666602127767</v>
      </c>
      <c r="O40" s="77">
        <f>求节点($C$15:$C$44,$E$15:$E$44,基础信息!$H45)*基础信息!$G45*基础信息!I45</f>
        <v>0</v>
      </c>
      <c r="P40" s="77">
        <f>求节点($C$15:$C$44,$E$15:$E$44,基础信息!$H45)*基础信息!$G45*基础信息!J45</f>
        <v>0</v>
      </c>
      <c r="Q40" s="77">
        <f>求节点($C$15:$C$44,$E$15:$E$44,基础信息!$H45)*基础信息!$G45*基础信息!K45</f>
        <v>0</v>
      </c>
      <c r="R40" s="77">
        <f>求节点($C$15:$C$44,$E$15:$E$44,基础信息!$H45)*基础信息!$G45*基础信息!L45</f>
        <v>0</v>
      </c>
      <c r="S40" s="77">
        <f>求节点($C$15:$C$44,$E$15:$E$44,基础信息!$H45)*基础信息!$G45*基础信息!M45</f>
        <v>481280</v>
      </c>
      <c r="T40" s="77">
        <f t="shared" si="3"/>
        <v>481280</v>
      </c>
      <c r="U40" s="59">
        <f>基础信息!$G45*基础信息!I45*(D$4+D$5*基础信息!$H45)</f>
        <v>0</v>
      </c>
      <c r="V40" s="59">
        <f>基础信息!$G45*基础信息!J45*(E$4+E$5*基础信息!$H45)</f>
        <v>0</v>
      </c>
      <c r="W40" s="59">
        <f>基础信息!$G45*基础信息!K45*(F$4+F$5*基础信息!$H45)</f>
        <v>0</v>
      </c>
      <c r="X40" s="59">
        <f>基础信息!$G45*基础信息!L45*(G$4+G$5*基础信息!$H45)</f>
        <v>0</v>
      </c>
      <c r="Y40" s="59">
        <f>基础信息!$G45*基础信息!M45*(H$4+H$5*基础信息!$H45)</f>
        <v>240</v>
      </c>
    </row>
    <row r="41" spans="3:25" x14ac:dyDescent="0.15">
      <c r="C41" s="9">
        <v>27</v>
      </c>
      <c r="D41" s="100">
        <v>3200</v>
      </c>
      <c r="E41" s="97">
        <f>SUM($D$15:D40)</f>
        <v>20480</v>
      </c>
      <c r="F41" s="70"/>
      <c r="K41" s="66"/>
      <c r="L41" s="66"/>
      <c r="M41" s="65"/>
      <c r="N41" s="65"/>
    </row>
    <row r="42" spans="3:25" x14ac:dyDescent="0.15">
      <c r="C42" s="9">
        <v>28</v>
      </c>
      <c r="D42" s="100">
        <v>3200</v>
      </c>
      <c r="E42" s="97">
        <f>SUM($D$15:D41)</f>
        <v>23680</v>
      </c>
      <c r="F42" s="70"/>
      <c r="K42" s="66"/>
      <c r="L42" s="66"/>
      <c r="M42" s="65"/>
      <c r="N42" s="65"/>
    </row>
    <row r="43" spans="3:25" x14ac:dyDescent="0.15">
      <c r="C43" s="9">
        <v>29</v>
      </c>
      <c r="D43" s="100">
        <v>3200</v>
      </c>
      <c r="E43" s="97">
        <f>SUM($D$15:D42)</f>
        <v>26880</v>
      </c>
      <c r="F43" s="70"/>
      <c r="K43" s="66" t="s">
        <v>2</v>
      </c>
      <c r="L43" s="66"/>
      <c r="M43" s="65"/>
      <c r="N43" s="65"/>
      <c r="O43" s="124" t="s">
        <v>163</v>
      </c>
      <c r="P43" s="124"/>
      <c r="Q43" s="124"/>
      <c r="R43" s="124"/>
      <c r="S43" s="124"/>
      <c r="U43" s="123" t="s">
        <v>162</v>
      </c>
      <c r="V43" s="123"/>
      <c r="W43" s="123"/>
      <c r="X43" s="123"/>
      <c r="Y43" s="123"/>
    </row>
    <row r="44" spans="3:25" x14ac:dyDescent="0.15">
      <c r="C44" s="9">
        <v>30</v>
      </c>
      <c r="E44" s="97">
        <f>SUM($D$15:D43)</f>
        <v>30080</v>
      </c>
      <c r="F44" s="70"/>
      <c r="K44" s="66" t="s">
        <v>21</v>
      </c>
      <c r="L44" s="66" t="s">
        <v>121</v>
      </c>
      <c r="M44" s="65" t="s">
        <v>122</v>
      </c>
      <c r="N44" s="65" t="s">
        <v>103</v>
      </c>
      <c r="O44" s="77" t="s">
        <v>104</v>
      </c>
      <c r="P44" s="77" t="s">
        <v>105</v>
      </c>
      <c r="Q44" s="77" t="s">
        <v>106</v>
      </c>
      <c r="R44" s="77" t="s">
        <v>107</v>
      </c>
      <c r="S44" s="77" t="s">
        <v>108</v>
      </c>
      <c r="T44" s="77" t="s">
        <v>161</v>
      </c>
      <c r="U44" s="59" t="s">
        <v>104</v>
      </c>
      <c r="V44" s="59" t="s">
        <v>105</v>
      </c>
      <c r="W44" s="59" t="s">
        <v>106</v>
      </c>
      <c r="X44" s="59" t="s">
        <v>107</v>
      </c>
      <c r="Y44" s="59" t="s">
        <v>108</v>
      </c>
    </row>
    <row r="45" spans="3:25" x14ac:dyDescent="0.15">
      <c r="J45" s="97">
        <f>门客经验!I45</f>
        <v>2.6612904241001143</v>
      </c>
      <c r="K45" s="66">
        <v>1</v>
      </c>
      <c r="L45" s="60">
        <f>基础信息!D50</f>
        <v>16</v>
      </c>
      <c r="M45" s="61">
        <f>基础信息!E50</f>
        <v>1.5232631522355879</v>
      </c>
      <c r="N45" s="61">
        <f>基础信息!F50</f>
        <v>16.55360159735687</v>
      </c>
      <c r="O45" s="77">
        <f>求节点($C$15:$C$44,$E$15:$E$44,基础信息!$H50)*基础信息!$G50*基础信息!I50</f>
        <v>0</v>
      </c>
      <c r="P45" s="77">
        <f>求节点($C$15:$C$44,$E$15:$E$44,基础信息!$H50)*基础信息!$G50*基础信息!J50</f>
        <v>120</v>
      </c>
      <c r="Q45" s="77">
        <f>求节点($C$15:$C$44,$E$15:$E$44,基础信息!$H50)*基础信息!$G50*基础信息!K50</f>
        <v>0</v>
      </c>
      <c r="R45" s="77">
        <f>求节点($C$15:$C$44,$E$15:$E$44,基础信息!$H50)*基础信息!$G50*基础信息!L50</f>
        <v>0</v>
      </c>
      <c r="S45" s="77">
        <f>求节点($C$15:$C$44,$E$15:$E$44,基础信息!$H50)*基础信息!$G50*基础信息!M50</f>
        <v>0</v>
      </c>
      <c r="T45" s="77">
        <f>SUM(O45:S45)</f>
        <v>120</v>
      </c>
      <c r="U45" s="59">
        <f>基础信息!$G50*基础信息!I50*(D$4+D$5*基础信息!$H50)</f>
        <v>0</v>
      </c>
      <c r="V45" s="59">
        <f>基础信息!$G50*基础信息!J50*(E$4+E$5*基础信息!$H50)</f>
        <v>3.6</v>
      </c>
      <c r="W45" s="59">
        <f>基础信息!$G50*基础信息!K50*(F$4+F$5*基础信息!$H50)</f>
        <v>0</v>
      </c>
      <c r="X45" s="59">
        <f>基础信息!$G50*基础信息!L50*(G$4+G$5*基础信息!$H50)</f>
        <v>0</v>
      </c>
      <c r="Y45" s="59">
        <f>基础信息!$G50*基础信息!M50*(H$4+H$5*基础信息!$H50)</f>
        <v>0</v>
      </c>
    </row>
    <row r="46" spans="3:25" x14ac:dyDescent="0.15">
      <c r="J46" s="97">
        <f>门客经验!I46</f>
        <v>0.90444295386809404</v>
      </c>
      <c r="K46" s="66">
        <v>2</v>
      </c>
      <c r="L46" s="60">
        <f>基础信息!D51</f>
        <v>19.5</v>
      </c>
      <c r="M46" s="61">
        <f>基础信息!E51</f>
        <v>2.8937385192992746</v>
      </c>
      <c r="N46" s="61">
        <f>基础信息!F51</f>
        <v>23.331269805933818</v>
      </c>
      <c r="O46" s="77">
        <f>求节点($C$15:$C$44,$E$15:$E$44,基础信息!$H51)*基础信息!$G51*基础信息!I51</f>
        <v>0</v>
      </c>
      <c r="P46" s="77">
        <f>求节点($C$15:$C$44,$E$15:$E$44,基础信息!$H51)*基础信息!$G51*基础信息!J51</f>
        <v>380</v>
      </c>
      <c r="Q46" s="77">
        <f>求节点($C$15:$C$44,$E$15:$E$44,基础信息!$H51)*基础信息!$G51*基础信息!K51</f>
        <v>380</v>
      </c>
      <c r="R46" s="77">
        <f>求节点($C$15:$C$44,$E$15:$E$44,基础信息!$H51)*基础信息!$G51*基础信息!L51</f>
        <v>0</v>
      </c>
      <c r="S46" s="77">
        <f>求节点($C$15:$C$44,$E$15:$E$44,基础信息!$H51)*基础信息!$G51*基础信息!M51</f>
        <v>0</v>
      </c>
      <c r="T46" s="77">
        <f t="shared" ref="T46:T60" si="4">SUM(O46:S46)</f>
        <v>760</v>
      </c>
      <c r="U46" s="59">
        <f>基础信息!$G51*基础信息!I51*(D$4+D$5*基础信息!$H51)</f>
        <v>0</v>
      </c>
      <c r="V46" s="59">
        <f>基础信息!$G51*基础信息!J51*(E$4+E$5*基础信息!$H51)</f>
        <v>4.2</v>
      </c>
      <c r="W46" s="59">
        <f>基础信息!$G51*基础信息!K51*(F$4+F$5*基础信息!$H51)</f>
        <v>5.2</v>
      </c>
      <c r="X46" s="59">
        <f>基础信息!$G51*基础信息!L51*(G$4+G$5*基础信息!$H51)</f>
        <v>0</v>
      </c>
      <c r="Y46" s="59">
        <f>基础信息!$G51*基础信息!M51*(H$4+H$5*基础信息!$H51)</f>
        <v>0</v>
      </c>
    </row>
    <row r="47" spans="3:25" x14ac:dyDescent="0.15">
      <c r="J47" s="97">
        <f>门客经验!I47</f>
        <v>0.6404514595620755</v>
      </c>
      <c r="K47" s="66">
        <v>3</v>
      </c>
      <c r="L47" s="60">
        <f>基础信息!D52</f>
        <v>23.5</v>
      </c>
      <c r="M47" s="61">
        <f>基础信息!E52</f>
        <v>5.793008326295654</v>
      </c>
      <c r="N47" s="61">
        <f>基础信息!F52</f>
        <v>31.744234316265171</v>
      </c>
      <c r="O47" s="77">
        <f>求节点($C$15:$C$44,$E$15:$E$44,基础信息!$H52)*基础信息!$G52*基础信息!I52</f>
        <v>0</v>
      </c>
      <c r="P47" s="77">
        <f>求节点($C$15:$C$44,$E$15:$E$44,基础信息!$H52)*基础信息!$G52*基础信息!J52</f>
        <v>0</v>
      </c>
      <c r="Q47" s="77">
        <f>求节点($C$15:$C$44,$E$15:$E$44,基础信息!$H52)*基础信息!$G52*基础信息!K52</f>
        <v>2160</v>
      </c>
      <c r="R47" s="77">
        <f>求节点($C$15:$C$44,$E$15:$E$44,基础信息!$H52)*基础信息!$G52*基础信息!L52</f>
        <v>0</v>
      </c>
      <c r="S47" s="77">
        <f>求节点($C$15:$C$44,$E$15:$E$44,基础信息!$H52)*基础信息!$G52*基础信息!M52</f>
        <v>0</v>
      </c>
      <c r="T47" s="77">
        <f t="shared" si="4"/>
        <v>2160</v>
      </c>
      <c r="U47" s="59">
        <f>基础信息!$G52*基础信息!I52*(D$4+D$5*基础信息!$H52)</f>
        <v>0</v>
      </c>
      <c r="V47" s="59">
        <f>基础信息!$G52*基础信息!J52*(E$4+E$5*基础信息!$H52)</f>
        <v>0</v>
      </c>
      <c r="W47" s="59">
        <f>基础信息!$G52*基础信息!K52*(F$4+F$5*基础信息!$H52)</f>
        <v>17.399999999999999</v>
      </c>
      <c r="X47" s="59">
        <f>基础信息!$G52*基础信息!L52*(G$4+G$5*基础信息!$H52)</f>
        <v>0</v>
      </c>
      <c r="Y47" s="59">
        <f>基础信息!$G52*基础信息!M52*(H$4+H$5*基础信息!$H52)</f>
        <v>0</v>
      </c>
    </row>
    <row r="48" spans="3:25" x14ac:dyDescent="0.15">
      <c r="J48" s="97">
        <f>门客经验!I48</f>
        <v>0.55682109782180245</v>
      </c>
      <c r="K48" s="66">
        <v>4</v>
      </c>
      <c r="L48" s="60">
        <f>基础信息!D53</f>
        <v>27.5</v>
      </c>
      <c r="M48" s="61">
        <f>基础信息!E53</f>
        <v>11.322133882791231</v>
      </c>
      <c r="N48" s="61">
        <f>基础信息!F53</f>
        <v>40.643027415884688</v>
      </c>
      <c r="O48" s="77">
        <f>求节点($C$15:$C$44,$E$15:$E$44,基础信息!$H53)*基础信息!$G53*基础信息!I53</f>
        <v>0</v>
      </c>
      <c r="P48" s="77">
        <f>求节点($C$15:$C$44,$E$15:$E$44,基础信息!$H53)*基础信息!$G53*基础信息!J53</f>
        <v>0</v>
      </c>
      <c r="Q48" s="77">
        <f>求节点($C$15:$C$44,$E$15:$E$44,基础信息!$H53)*基础信息!$G53*基础信息!K53</f>
        <v>4640</v>
      </c>
      <c r="R48" s="77">
        <f>求节点($C$15:$C$44,$E$15:$E$44,基础信息!$H53)*基础信息!$G53*基础信息!L53</f>
        <v>0</v>
      </c>
      <c r="S48" s="77">
        <f>求节点($C$15:$C$44,$E$15:$E$44,基础信息!$H53)*基础信息!$G53*基础信息!M53</f>
        <v>0</v>
      </c>
      <c r="T48" s="77">
        <f t="shared" si="4"/>
        <v>4640</v>
      </c>
      <c r="U48" s="59">
        <f>基础信息!$G53*基础信息!I53*(D$4+D$5*基础信息!$H53)</f>
        <v>0</v>
      </c>
      <c r="V48" s="59">
        <f>基础信息!$G53*基础信息!J53*(E$4+E$5*基础信息!$H53)</f>
        <v>0</v>
      </c>
      <c r="W48" s="59">
        <f>基础信息!$G53*基础信息!K53*(F$4+F$5*基础信息!$H53)</f>
        <v>25.6</v>
      </c>
      <c r="X48" s="59">
        <f>基础信息!$G53*基础信息!L53*(G$4+G$5*基础信息!$H53)</f>
        <v>0</v>
      </c>
      <c r="Y48" s="59">
        <f>基础信息!$G53*基础信息!M53*(H$4+H$5*基础信息!$H53)</f>
        <v>0</v>
      </c>
    </row>
    <row r="49" spans="10:25" x14ac:dyDescent="0.15">
      <c r="J49" s="97">
        <f>门客经验!I49</f>
        <v>0.64330606586584305</v>
      </c>
      <c r="K49" s="66">
        <v>5</v>
      </c>
      <c r="L49" s="60">
        <f>基础信息!D54</f>
        <v>31.5</v>
      </c>
      <c r="M49" s="61">
        <f>基础信息!E54</f>
        <v>21.773543258148401</v>
      </c>
      <c r="N49" s="61">
        <f>基础信息!F54</f>
        <v>49.709437467755208</v>
      </c>
      <c r="O49" s="77">
        <f>求节点($C$15:$C$44,$E$15:$E$44,基础信息!$H54)*基础信息!$G54*基础信息!I54</f>
        <v>0</v>
      </c>
      <c r="P49" s="77">
        <f>求节点($C$15:$C$44,$E$15:$E$44,基础信息!$H54)*基础信息!$G54*基础信息!J54</f>
        <v>0</v>
      </c>
      <c r="Q49" s="77">
        <f>求节点($C$15:$C$44,$E$15:$E$44,基础信息!$H54)*基础信息!$G54*基础信息!K54</f>
        <v>6300</v>
      </c>
      <c r="R49" s="77">
        <f>求节点($C$15:$C$44,$E$15:$E$44,基础信息!$H54)*基础信息!$G54*基础信息!L54</f>
        <v>2100</v>
      </c>
      <c r="S49" s="77">
        <f>求节点($C$15:$C$44,$E$15:$E$44,基础信息!$H54)*基础信息!$G54*基础信息!M54</f>
        <v>0</v>
      </c>
      <c r="T49" s="77">
        <f t="shared" si="4"/>
        <v>8400</v>
      </c>
      <c r="U49" s="59">
        <f>基础信息!$G54*基础信息!I54*(D$4+D$5*基础信息!$H54)</f>
        <v>0</v>
      </c>
      <c r="V49" s="59">
        <f>基础信息!$G54*基础信息!J54*(E$4+E$5*基础信息!$H54)</f>
        <v>0</v>
      </c>
      <c r="W49" s="59">
        <f>基础信息!$G54*基础信息!K54*(F$4+F$5*基础信息!$H54)</f>
        <v>26.25</v>
      </c>
      <c r="X49" s="59">
        <f>基础信息!$G54*基础信息!L54*(G$4+G$5*基础信息!$H54)</f>
        <v>11.25</v>
      </c>
      <c r="Y49" s="59">
        <f>基础信息!$G54*基础信息!M54*(H$4+H$5*基础信息!$H54)</f>
        <v>0</v>
      </c>
    </row>
    <row r="50" spans="10:25" x14ac:dyDescent="0.15">
      <c r="J50" s="97">
        <f>门客经验!I50</f>
        <v>0.79458105660377765</v>
      </c>
      <c r="K50" s="66">
        <v>6</v>
      </c>
      <c r="L50" s="60">
        <f>基础信息!D55</f>
        <v>35.5</v>
      </c>
      <c r="M50" s="61">
        <f>基础信息!E55</f>
        <v>41.174058500102497</v>
      </c>
      <c r="N50" s="61">
        <f>基础信息!F55</f>
        <v>58.803150706157098</v>
      </c>
      <c r="O50" s="77">
        <f>求节点($C$15:$C$44,$E$15:$E$44,基础信息!$H55)*基础信息!$G55*基础信息!I55</f>
        <v>0</v>
      </c>
      <c r="P50" s="77">
        <f>求节点($C$15:$C$44,$E$15:$E$44,基础信息!$H55)*基础信息!$G55*基础信息!J55</f>
        <v>0</v>
      </c>
      <c r="Q50" s="77">
        <f>求节点($C$15:$C$44,$E$15:$E$44,基础信息!$H55)*基础信息!$G55*基础信息!K55</f>
        <v>7440</v>
      </c>
      <c r="R50" s="77">
        <f>求节点($C$15:$C$44,$E$15:$E$44,基础信息!$H55)*基础信息!$G55*基础信息!L55</f>
        <v>7440</v>
      </c>
      <c r="S50" s="77">
        <f>求节点($C$15:$C$44,$E$15:$E$44,基础信息!$H55)*基础信息!$G55*基础信息!M55</f>
        <v>0</v>
      </c>
      <c r="T50" s="77">
        <f t="shared" si="4"/>
        <v>14880</v>
      </c>
      <c r="U50" s="59">
        <f>基础信息!$G55*基础信息!I55*(D$4+D$5*基础信息!$H55)</f>
        <v>0</v>
      </c>
      <c r="V50" s="59">
        <f>基础信息!$G55*基础信息!J55*(E$4+E$5*基础信息!$H55)</f>
        <v>0</v>
      </c>
      <c r="W50" s="59">
        <f>基础信息!$G55*基础信息!K55*(F$4+F$5*基础信息!$H55)</f>
        <v>22.799999999999997</v>
      </c>
      <c r="X50" s="59">
        <f>基础信息!$G55*基础信息!L55*(G$4+G$5*基础信息!$H55)</f>
        <v>28.799999999999997</v>
      </c>
      <c r="Y50" s="59">
        <f>基础信息!$G55*基础信息!M55*(H$4+H$5*基础信息!$H55)</f>
        <v>0</v>
      </c>
    </row>
    <row r="51" spans="10:25" x14ac:dyDescent="0.15">
      <c r="J51" s="97">
        <f>门客经验!I51</f>
        <v>0.74262971257325905</v>
      </c>
      <c r="K51" s="66">
        <v>7</v>
      </c>
      <c r="L51" s="60">
        <f>基础信息!D56</f>
        <v>39.5</v>
      </c>
      <c r="M51" s="61">
        <f>基础信息!E56</f>
        <v>74.77280729579401</v>
      </c>
      <c r="N51" s="61">
        <f>基础信息!F56</f>
        <v>67.298489171654538</v>
      </c>
      <c r="O51" s="77">
        <f>求节点($C$15:$C$44,$E$15:$E$44,基础信息!$H56)*基础信息!$G56*基础信息!I56</f>
        <v>0</v>
      </c>
      <c r="P51" s="77">
        <f>求节点($C$15:$C$44,$E$15:$E$44,基础信息!$H56)*基础信息!$G56*基础信息!J56</f>
        <v>0</v>
      </c>
      <c r="Q51" s="77">
        <f>求节点($C$15:$C$44,$E$15:$E$44,基础信息!$H56)*基础信息!$G56*基础信息!K56</f>
        <v>7840</v>
      </c>
      <c r="R51" s="77">
        <f>求节点($C$15:$C$44,$E$15:$E$44,基础信息!$H56)*基础信息!$G56*基础信息!L56</f>
        <v>23520</v>
      </c>
      <c r="S51" s="77">
        <f>求节点($C$15:$C$44,$E$15:$E$44,基础信息!$H56)*基础信息!$G56*基础信息!M56</f>
        <v>0</v>
      </c>
      <c r="T51" s="77">
        <f t="shared" si="4"/>
        <v>31360</v>
      </c>
      <c r="U51" s="59">
        <f>基础信息!$G56*基础信息!I56*(D$4+D$5*基础信息!$H56)</f>
        <v>0</v>
      </c>
      <c r="V51" s="59">
        <f>基础信息!$G56*基础信息!J56*(E$4+E$5*基础信息!$H56)</f>
        <v>0</v>
      </c>
      <c r="W51" s="59">
        <f>基础信息!$G56*基础信息!K56*(F$4+F$5*基础信息!$H56)</f>
        <v>14.349999999999998</v>
      </c>
      <c r="X51" s="59">
        <f>基础信息!$G56*基础信息!L56*(G$4+G$5*基础信息!$H56)</f>
        <v>53.55</v>
      </c>
      <c r="Y51" s="59">
        <f>基础信息!$G56*基础信息!M56*(H$4+H$5*基础信息!$H56)</f>
        <v>0</v>
      </c>
    </row>
    <row r="52" spans="10:25" x14ac:dyDescent="0.15">
      <c r="J52" s="97">
        <f>门客经验!I52</f>
        <v>0.67580571099871167</v>
      </c>
      <c r="K52" s="66">
        <v>8</v>
      </c>
      <c r="L52" s="60">
        <f>基础信息!D57</f>
        <v>43.5</v>
      </c>
      <c r="M52" s="61">
        <f>基础信息!E57</f>
        <v>135.40982620096435</v>
      </c>
      <c r="N52" s="61">
        <f>基础信息!F57</f>
        <v>75.878784655965617</v>
      </c>
      <c r="O52" s="77">
        <f>求节点($C$15:$C$44,$E$15:$E$44,基础信息!$H57)*基础信息!$G57*基础信息!I57</f>
        <v>0</v>
      </c>
      <c r="P52" s="77">
        <f>求节点($C$15:$C$44,$E$15:$E$44,基础信息!$H57)*基础信息!$G57*基础信息!J57</f>
        <v>0</v>
      </c>
      <c r="Q52" s="77">
        <f>求节点($C$15:$C$44,$E$15:$E$44,基础信息!$H57)*基础信息!$G57*基础信息!K57</f>
        <v>0</v>
      </c>
      <c r="R52" s="77">
        <f>求节点($C$15:$C$44,$E$15:$E$44,基础信息!$H57)*基础信息!$G57*基础信息!L57</f>
        <v>87040</v>
      </c>
      <c r="S52" s="77">
        <f>求节点($C$15:$C$44,$E$15:$E$44,基础信息!$H57)*基础信息!$G57*基础信息!M57</f>
        <v>0</v>
      </c>
      <c r="T52" s="77">
        <f t="shared" si="4"/>
        <v>87040</v>
      </c>
      <c r="U52" s="59">
        <f>基础信息!$G57*基础信息!I57*(D$4+D$5*基础信息!$H57)</f>
        <v>0</v>
      </c>
      <c r="V52" s="59">
        <f>基础信息!$G57*基础信息!J57*(E$4+E$5*基础信息!$H57)</f>
        <v>0</v>
      </c>
      <c r="W52" s="59">
        <f>基础信息!$G57*基础信息!K57*(F$4+F$5*基础信息!$H57)</f>
        <v>0</v>
      </c>
      <c r="X52" s="59">
        <f>基础信息!$G57*基础信息!L57*(G$4+G$5*基础信息!$H57)</f>
        <v>86.4</v>
      </c>
      <c r="Y52" s="59">
        <f>基础信息!$G57*基础信息!M57*(H$4+H$5*基础信息!$H57)</f>
        <v>0</v>
      </c>
    </row>
    <row r="53" spans="10:25" x14ac:dyDescent="0.15">
      <c r="J53" s="97">
        <f>门客经验!I53</f>
        <v>0.6665275352731046</v>
      </c>
      <c r="K53" s="66">
        <v>9</v>
      </c>
      <c r="L53" s="60">
        <f>基础信息!D58</f>
        <v>47.5</v>
      </c>
      <c r="M53" s="61">
        <f>基础信息!E58</f>
        <v>244.70123896107964</v>
      </c>
      <c r="N53" s="61">
        <f>基础信息!F58</f>
        <v>84.446314672957783</v>
      </c>
      <c r="O53" s="77">
        <f>求节点($C$15:$C$44,$E$15:$E$44,基础信息!$H58)*基础信息!$G58*基础信息!I58</f>
        <v>0</v>
      </c>
      <c r="P53" s="77">
        <f>求节点($C$15:$C$44,$E$15:$E$44,基础信息!$H58)*基础信息!$G58*基础信息!J58</f>
        <v>0</v>
      </c>
      <c r="Q53" s="77">
        <f>求节点($C$15:$C$44,$E$15:$E$44,基础信息!$H58)*基础信息!$G58*基础信息!K58</f>
        <v>0</v>
      </c>
      <c r="R53" s="77">
        <f>求节点($C$15:$C$44,$E$15:$E$44,基础信息!$H58)*基础信息!$G58*基础信息!L58</f>
        <v>147456</v>
      </c>
      <c r="S53" s="77">
        <f>求节点($C$15:$C$44,$E$15:$E$44,基础信息!$H58)*基础信息!$G58*基础信息!M58</f>
        <v>36864</v>
      </c>
      <c r="T53" s="77">
        <f t="shared" si="4"/>
        <v>184320</v>
      </c>
      <c r="U53" s="59">
        <f>基础信息!$G58*基础信息!I58*(D$4+D$5*基础信息!$H58)</f>
        <v>0</v>
      </c>
      <c r="V53" s="59">
        <f>基础信息!$G58*基础信息!J58*(E$4+E$5*基础信息!$H58)</f>
        <v>0</v>
      </c>
      <c r="W53" s="59">
        <f>基础信息!$G58*基础信息!K58*(F$4+F$5*基础信息!$H58)</f>
        <v>0</v>
      </c>
      <c r="X53" s="59">
        <f>基础信息!$G58*基础信息!L58*(G$4+G$5*基础信息!$H58)</f>
        <v>82.08</v>
      </c>
      <c r="Y53" s="59">
        <f>基础信息!$G58*基础信息!M58*(H$4+H$5*基础信息!$H58)</f>
        <v>25.92</v>
      </c>
    </row>
    <row r="54" spans="10:25" x14ac:dyDescent="0.15">
      <c r="J54" s="97">
        <f>门客经验!I54</f>
        <v>0.72738764999815242</v>
      </c>
      <c r="K54" s="66">
        <v>10</v>
      </c>
      <c r="L54" s="60">
        <f>基础信息!D59</f>
        <v>52</v>
      </c>
      <c r="M54" s="61">
        <f>基础信息!E59</f>
        <v>473.91181132163672</v>
      </c>
      <c r="N54" s="61">
        <f>基础信息!F59</f>
        <v>94.309081972684396</v>
      </c>
      <c r="O54" s="77">
        <f>求节点($C$15:$C$44,$E$15:$E$44,基础信息!$H59)*基础信息!$G59*基础信息!I59</f>
        <v>0</v>
      </c>
      <c r="P54" s="77">
        <f>求节点($C$15:$C$44,$E$15:$E$44,基础信息!$H59)*基础信息!$G59*基础信息!J59</f>
        <v>0</v>
      </c>
      <c r="Q54" s="77">
        <f>求节点($C$15:$C$44,$E$15:$E$44,基础信息!$H59)*基础信息!$G59*基础信息!K59</f>
        <v>0</v>
      </c>
      <c r="R54" s="77">
        <f>求节点($C$15:$C$44,$E$15:$E$44,基础信息!$H59)*基础信息!$G59*基础信息!L59</f>
        <v>180480</v>
      </c>
      <c r="S54" s="77">
        <f>求节点($C$15:$C$44,$E$15:$E$44,基础信息!$H59)*基础信息!$G59*基础信息!M59</f>
        <v>120320</v>
      </c>
      <c r="T54" s="77">
        <f t="shared" si="4"/>
        <v>300800</v>
      </c>
      <c r="U54" s="59">
        <f>基础信息!$G59*基础信息!I59*(D$4+D$5*基础信息!$H59)</f>
        <v>0</v>
      </c>
      <c r="V54" s="59">
        <f>基础信息!$G59*基础信息!J59*(E$4+E$5*基础信息!$H59)</f>
        <v>0</v>
      </c>
      <c r="W54" s="59">
        <f>基础信息!$G59*基础信息!K59*(F$4+F$5*基础信息!$H59)</f>
        <v>0</v>
      </c>
      <c r="X54" s="59">
        <f>基础信息!$G59*基础信息!L59*(G$4+G$5*基础信息!$H59)</f>
        <v>72</v>
      </c>
      <c r="Y54" s="59">
        <f>基础信息!$G59*基础信息!M59*(H$4+H$5*基础信息!$H59)</f>
        <v>60</v>
      </c>
    </row>
    <row r="55" spans="10:25" x14ac:dyDescent="0.15">
      <c r="J55" s="97">
        <f>门客经验!I55</f>
        <v>1.5610617766664303</v>
      </c>
      <c r="K55" s="66">
        <v>11</v>
      </c>
      <c r="L55" s="60">
        <f>基础信息!D60</f>
        <v>57</v>
      </c>
      <c r="M55" s="61">
        <f>基础信息!E60</f>
        <v>988.69490566221691</v>
      </c>
      <c r="N55" s="61">
        <f>基础信息!F60</f>
        <v>104.93378702762401</v>
      </c>
      <c r="O55" s="77">
        <f>求节点($C$15:$C$44,$E$15:$E$44,基础信息!$H60)*基础信息!$G60*基础信息!I60</f>
        <v>0</v>
      </c>
      <c r="P55" s="77">
        <f>求节点($C$15:$C$44,$E$15:$E$44,基础信息!$H60)*基础信息!$G60*基础信息!J60</f>
        <v>0</v>
      </c>
      <c r="Q55" s="77">
        <f>求节点($C$15:$C$44,$E$15:$E$44,基础信息!$H60)*基础信息!$G60*基础信息!K60</f>
        <v>0</v>
      </c>
      <c r="R55" s="77">
        <f>求节点($C$15:$C$44,$E$15:$E$44,基础信息!$H60)*基础信息!$G60*基础信息!L60</f>
        <v>132352</v>
      </c>
      <c r="S55" s="77">
        <f>求节点($C$15:$C$44,$E$15:$E$44,基础信息!$H60)*基础信息!$G60*基础信息!M60</f>
        <v>198528</v>
      </c>
      <c r="T55" s="77">
        <f t="shared" si="4"/>
        <v>330880</v>
      </c>
      <c r="U55" s="59">
        <f>基础信息!$G60*基础信息!I60*(D$4+D$5*基础信息!$H60)</f>
        <v>0</v>
      </c>
      <c r="V55" s="59">
        <f>基础信息!$G60*基础信息!J60*(E$4+E$5*基础信息!$H60)</f>
        <v>0</v>
      </c>
      <c r="W55" s="59">
        <f>基础信息!$G60*基础信息!K60*(F$4+F$5*基础信息!$H60)</f>
        <v>0</v>
      </c>
      <c r="X55" s="59">
        <f>基础信息!$G60*基础信息!L60*(G$4+G$5*基础信息!$H60)</f>
        <v>52.800000000000004</v>
      </c>
      <c r="Y55" s="59">
        <f>基础信息!$G60*基础信息!M60*(H$4+H$5*基础信息!$H60)</f>
        <v>99</v>
      </c>
    </row>
    <row r="56" spans="10:25" x14ac:dyDescent="0.15">
      <c r="J56" s="97">
        <f>门客经验!I56</f>
        <v>3.3271474936883294</v>
      </c>
      <c r="K56" s="66">
        <v>12</v>
      </c>
      <c r="L56" s="60">
        <f>基础信息!D61</f>
        <v>62</v>
      </c>
      <c r="M56" s="61">
        <f>基础信息!E61</f>
        <v>2058.8113773623186</v>
      </c>
      <c r="N56" s="61">
        <f>基础信息!F61</f>
        <v>115.63935175516689</v>
      </c>
      <c r="O56" s="77">
        <f>求节点($C$15:$C$44,$E$15:$E$44,基础信息!$H61)*基础信息!$G61*基础信息!I61</f>
        <v>0</v>
      </c>
      <c r="P56" s="77">
        <f>求节点($C$15:$C$44,$E$15:$E$44,基础信息!$H61)*基础信息!$G61*基础信息!J61</f>
        <v>0</v>
      </c>
      <c r="Q56" s="77">
        <f>求节点($C$15:$C$44,$E$15:$E$44,基础信息!$H61)*基础信息!$G61*基础信息!K61</f>
        <v>0</v>
      </c>
      <c r="R56" s="77">
        <f>求节点($C$15:$C$44,$E$15:$E$44,基础信息!$H61)*基础信息!$G61*基础信息!L61</f>
        <v>72192</v>
      </c>
      <c r="S56" s="77">
        <f>求节点($C$15:$C$44,$E$15:$E$44,基础信息!$H61)*基础信息!$G61*基础信息!M61</f>
        <v>288768</v>
      </c>
      <c r="T56" s="77">
        <f t="shared" si="4"/>
        <v>360960</v>
      </c>
      <c r="U56" s="59">
        <f>基础信息!$G61*基础信息!I61*(D$4+D$5*基础信息!$H61)</f>
        <v>0</v>
      </c>
      <c r="V56" s="59">
        <f>基础信息!$G61*基础信息!J61*(E$4+E$5*基础信息!$H61)</f>
        <v>0</v>
      </c>
      <c r="W56" s="59">
        <f>基础信息!$G61*基础信息!K61*(F$4+F$5*基础信息!$H61)</f>
        <v>0</v>
      </c>
      <c r="X56" s="59">
        <f>基础信息!$G61*基础信息!L61*(G$4+G$5*基础信息!$H61)</f>
        <v>28.800000000000004</v>
      </c>
      <c r="Y56" s="59">
        <f>基础信息!$G61*基础信息!M61*(H$4+H$5*基础信息!$H61)</f>
        <v>144.00000000000003</v>
      </c>
    </row>
    <row r="57" spans="10:25" x14ac:dyDescent="0.15">
      <c r="J57" s="97">
        <f>门客经验!I57</f>
        <v>6.8966694227085794</v>
      </c>
      <c r="K57" s="66">
        <v>13</v>
      </c>
      <c r="L57" s="60">
        <f>基础信息!D62</f>
        <v>67</v>
      </c>
      <c r="M57" s="61">
        <f>基础信息!E62</f>
        <v>4280.1298868004114</v>
      </c>
      <c r="N57" s="61">
        <f>基础信息!F62</f>
        <v>126.19151638854794</v>
      </c>
      <c r="O57" s="77">
        <f>求节点($C$15:$C$44,$E$15:$E$44,基础信息!$H62)*基础信息!$G62*基础信息!I62</f>
        <v>0</v>
      </c>
      <c r="P57" s="77">
        <f>求节点($C$15:$C$44,$E$15:$E$44,基础信息!$H62)*基础信息!$G62*基础信息!J62</f>
        <v>0</v>
      </c>
      <c r="Q57" s="77">
        <f>求节点($C$15:$C$44,$E$15:$E$44,基础信息!$H62)*基础信息!$G62*基础信息!K62</f>
        <v>0</v>
      </c>
      <c r="R57" s="77">
        <f>求节点($C$15:$C$44,$E$15:$E$44,基础信息!$H62)*基础信息!$G62*基础信息!L62</f>
        <v>0</v>
      </c>
      <c r="S57" s="77">
        <f>求节点($C$15:$C$44,$E$15:$E$44,基础信息!$H62)*基础信息!$G62*基础信息!M62</f>
        <v>391040</v>
      </c>
      <c r="T57" s="77">
        <f t="shared" si="4"/>
        <v>391040</v>
      </c>
      <c r="U57" s="59">
        <f>基础信息!$G62*基础信息!I62*(D$4+D$5*基础信息!$H62)</f>
        <v>0</v>
      </c>
      <c r="V57" s="59">
        <f>基础信息!$G62*基础信息!J62*(E$4+E$5*基础信息!$H62)</f>
        <v>0</v>
      </c>
      <c r="W57" s="59">
        <f>基础信息!$G62*基础信息!K62*(F$4+F$5*基础信息!$H62)</f>
        <v>0</v>
      </c>
      <c r="X57" s="59">
        <f>基础信息!$G62*基础信息!L62*(G$4+G$5*基础信息!$H62)</f>
        <v>0</v>
      </c>
      <c r="Y57" s="59">
        <f>基础信息!$G62*基础信息!M62*(H$4+H$5*基础信息!$H62)</f>
        <v>195</v>
      </c>
    </row>
    <row r="58" spans="10:25" x14ac:dyDescent="0.15">
      <c r="J58" s="97">
        <f>门客经验!I58</f>
        <v>5.9552578422798774</v>
      </c>
      <c r="K58" s="66">
        <v>14</v>
      </c>
      <c r="L58" s="60">
        <f>基础信息!D63</f>
        <v>72</v>
      </c>
      <c r="M58" s="61">
        <f>基础信息!E63</f>
        <v>8884.9230377523691</v>
      </c>
      <c r="N58" s="61">
        <f>基础信息!F63</f>
        <v>136.8190741194654</v>
      </c>
      <c r="O58" s="77">
        <f>求节点($C$15:$C$44,$E$15:$E$44,基础信息!$H63)*基础信息!$G63*基础信息!I63</f>
        <v>0</v>
      </c>
      <c r="P58" s="77">
        <f>求节点($C$15:$C$44,$E$15:$E$44,基础信息!$H63)*基础信息!$G63*基础信息!J63</f>
        <v>0</v>
      </c>
      <c r="Q58" s="77">
        <f>求节点($C$15:$C$44,$E$15:$E$44,基础信息!$H63)*基础信息!$G63*基础信息!K63</f>
        <v>0</v>
      </c>
      <c r="R58" s="77">
        <f>求节点($C$15:$C$44,$E$15:$E$44,基础信息!$H63)*基础信息!$G63*基础信息!L63</f>
        <v>0</v>
      </c>
      <c r="S58" s="77">
        <f>求节点($C$15:$C$44,$E$15:$E$44,基础信息!$H63)*基础信息!$G63*基础信息!M63</f>
        <v>421120</v>
      </c>
      <c r="T58" s="77">
        <f t="shared" si="4"/>
        <v>421120</v>
      </c>
      <c r="U58" s="59">
        <f>基础信息!$G63*基础信息!I63*(D$4+D$5*基础信息!$H63)</f>
        <v>0</v>
      </c>
      <c r="V58" s="59">
        <f>基础信息!$G63*基础信息!J63*(E$4+E$5*基础信息!$H63)</f>
        <v>0</v>
      </c>
      <c r="W58" s="59">
        <f>基础信息!$G63*基础信息!K63*(F$4+F$5*基础信息!$H63)</f>
        <v>0</v>
      </c>
      <c r="X58" s="59">
        <f>基础信息!$G63*基础信息!L63*(G$4+G$5*基础信息!$H63)</f>
        <v>0</v>
      </c>
      <c r="Y58" s="59">
        <f>基础信息!$G63*基础信息!M63*(H$4+H$5*基础信息!$H63)</f>
        <v>210</v>
      </c>
    </row>
    <row r="59" spans="10:25" x14ac:dyDescent="0.15">
      <c r="J59" s="97">
        <f>门客经验!I59</f>
        <v>7.6074312072515369</v>
      </c>
      <c r="K59" s="66">
        <v>15</v>
      </c>
      <c r="L59" s="60">
        <f>基础信息!D64</f>
        <v>77</v>
      </c>
      <c r="M59" s="61">
        <f>基础信息!E64</f>
        <v>18418.806603807832</v>
      </c>
      <c r="N59" s="61">
        <f>基础信息!F64</f>
        <v>147.45018844840658</v>
      </c>
      <c r="O59" s="77">
        <f>求节点($C$15:$C$44,$E$15:$E$44,基础信息!$H64)*基础信息!$G64*基础信息!I64</f>
        <v>0</v>
      </c>
      <c r="P59" s="77">
        <f>求节点($C$15:$C$44,$E$15:$E$44,基础信息!$H64)*基础信息!$G64*基础信息!J64</f>
        <v>0</v>
      </c>
      <c r="Q59" s="77">
        <f>求节点($C$15:$C$44,$E$15:$E$44,基础信息!$H64)*基础信息!$G64*基础信息!K64</f>
        <v>0</v>
      </c>
      <c r="R59" s="77">
        <f>求节点($C$15:$C$44,$E$15:$E$44,基础信息!$H64)*基础信息!$G64*基础信息!L64</f>
        <v>0</v>
      </c>
      <c r="S59" s="77">
        <f>求节点($C$15:$C$44,$E$15:$E$44,基础信息!$H64)*基础信息!$G64*基础信息!M64</f>
        <v>451200</v>
      </c>
      <c r="T59" s="77">
        <f t="shared" si="4"/>
        <v>451200</v>
      </c>
      <c r="U59" s="59">
        <f>基础信息!$G64*基础信息!I64*(D$4+D$5*基础信息!$H64)</f>
        <v>0</v>
      </c>
      <c r="V59" s="59">
        <f>基础信息!$G64*基础信息!J64*(E$4+E$5*基础信息!$H64)</f>
        <v>0</v>
      </c>
      <c r="W59" s="59">
        <f>基础信息!$G64*基础信息!K64*(F$4+F$5*基础信息!$H64)</f>
        <v>0</v>
      </c>
      <c r="X59" s="59">
        <f>基础信息!$G64*基础信息!L64*(G$4+G$5*基础信息!$H64)</f>
        <v>0</v>
      </c>
      <c r="Y59" s="59">
        <f>基础信息!$G64*基础信息!M64*(H$4+H$5*基础信息!$H64)</f>
        <v>225</v>
      </c>
    </row>
    <row r="60" spans="10:25" x14ac:dyDescent="0.15">
      <c r="J60" s="97">
        <f>门客经验!I60</f>
        <v>8.2504668954384126</v>
      </c>
      <c r="K60" s="66">
        <v>16</v>
      </c>
      <c r="L60" s="60">
        <f>基础信息!D65</f>
        <v>80</v>
      </c>
      <c r="M60" s="61">
        <f>基础信息!E65</f>
        <v>28507.724999999999</v>
      </c>
      <c r="N60" s="61">
        <f>基础信息!F65</f>
        <v>153.14946182958477</v>
      </c>
      <c r="O60" s="77">
        <f>求节点($C$15:$C$44,$E$15:$E$44,基础信息!$H65)*基础信息!$G65*基础信息!I65</f>
        <v>0</v>
      </c>
      <c r="P60" s="77">
        <f>求节点($C$15:$C$44,$E$15:$E$44,基础信息!$H65)*基础信息!$G65*基础信息!J65</f>
        <v>0</v>
      </c>
      <c r="Q60" s="77">
        <f>求节点($C$15:$C$44,$E$15:$E$44,基础信息!$H65)*基础信息!$G65*基础信息!K65</f>
        <v>0</v>
      </c>
      <c r="R60" s="77">
        <f>求节点($C$15:$C$44,$E$15:$E$44,基础信息!$H65)*基础信息!$G65*基础信息!L65</f>
        <v>0</v>
      </c>
      <c r="S60" s="77">
        <f>求节点($C$15:$C$44,$E$15:$E$44,基础信息!$H65)*基础信息!$G65*基础信息!M65</f>
        <v>481280</v>
      </c>
      <c r="T60" s="77">
        <f t="shared" si="4"/>
        <v>481280</v>
      </c>
      <c r="U60" s="59">
        <f>基础信息!$G65*基础信息!I65*(D$4+D$5*基础信息!$H65)</f>
        <v>0</v>
      </c>
      <c r="V60" s="59">
        <f>基础信息!$G65*基础信息!J65*(E$4+E$5*基础信息!$H65)</f>
        <v>0</v>
      </c>
      <c r="W60" s="59">
        <f>基础信息!$G65*基础信息!K65*(F$4+F$5*基础信息!$H65)</f>
        <v>0</v>
      </c>
      <c r="X60" s="59">
        <f>基础信息!$G65*基础信息!L65*(G$4+G$5*基础信息!$H65)</f>
        <v>0</v>
      </c>
      <c r="Y60" s="59">
        <f>基础信息!$G65*基础信息!M65*(H$4+H$5*基础信息!$H65)</f>
        <v>240</v>
      </c>
    </row>
    <row r="61" spans="10:25" x14ac:dyDescent="0.15">
      <c r="K61" s="66"/>
      <c r="L61" s="66"/>
      <c r="M61" s="65"/>
      <c r="N61" s="65"/>
    </row>
    <row r="62" spans="10:25" x14ac:dyDescent="0.15">
      <c r="K62" s="66"/>
      <c r="L62" s="66"/>
      <c r="M62" s="65"/>
      <c r="N62" s="65"/>
    </row>
    <row r="63" spans="10:25" x14ac:dyDescent="0.15">
      <c r="K63" s="66" t="s">
        <v>3</v>
      </c>
      <c r="L63" s="66"/>
      <c r="M63" s="65"/>
      <c r="N63" s="65"/>
      <c r="O63" s="124" t="s">
        <v>163</v>
      </c>
      <c r="P63" s="124"/>
      <c r="Q63" s="124"/>
      <c r="R63" s="124"/>
      <c r="S63" s="124"/>
      <c r="U63" s="123" t="s">
        <v>162</v>
      </c>
      <c r="V63" s="123"/>
      <c r="W63" s="123"/>
      <c r="X63" s="123"/>
      <c r="Y63" s="123"/>
    </row>
    <row r="64" spans="10:25" x14ac:dyDescent="0.15">
      <c r="K64" s="66" t="s">
        <v>21</v>
      </c>
      <c r="L64" s="66" t="s">
        <v>121</v>
      </c>
      <c r="M64" s="65" t="s">
        <v>122</v>
      </c>
      <c r="N64" s="65" t="s">
        <v>103</v>
      </c>
      <c r="O64" s="77" t="s">
        <v>104</v>
      </c>
      <c r="P64" s="77" t="s">
        <v>105</v>
      </c>
      <c r="Q64" s="77" t="s">
        <v>106</v>
      </c>
      <c r="R64" s="77" t="s">
        <v>107</v>
      </c>
      <c r="S64" s="77" t="s">
        <v>108</v>
      </c>
      <c r="T64" s="77" t="s">
        <v>161</v>
      </c>
      <c r="U64" s="59" t="s">
        <v>104</v>
      </c>
      <c r="V64" s="59" t="s">
        <v>105</v>
      </c>
      <c r="W64" s="59" t="s">
        <v>106</v>
      </c>
      <c r="X64" s="59" t="s">
        <v>107</v>
      </c>
      <c r="Y64" s="59" t="s">
        <v>108</v>
      </c>
    </row>
    <row r="65" spans="10:25" x14ac:dyDescent="0.15">
      <c r="J65" s="97">
        <f>门客经验!I65</f>
        <v>0.83333333333333337</v>
      </c>
      <c r="K65" s="66">
        <v>1</v>
      </c>
      <c r="L65" s="60">
        <f>基础信息!D70</f>
        <v>16</v>
      </c>
      <c r="M65" s="61">
        <f>基础信息!E70</f>
        <v>1.0155087681570587</v>
      </c>
      <c r="N65" s="61">
        <f>基础信息!F70</f>
        <v>15.589627930182091</v>
      </c>
      <c r="O65" s="77">
        <f>求节点($C$15:$C$44,$E$15:$E$44,基础信息!$H70)*基础信息!$G70*基础信息!I70</f>
        <v>0</v>
      </c>
      <c r="P65" s="77">
        <f>求节点($C$15:$C$44,$E$15:$E$44,基础信息!$H70)*基础信息!$G70*基础信息!J70</f>
        <v>0</v>
      </c>
      <c r="Q65" s="77">
        <f>求节点($C$15:$C$44,$E$15:$E$44,基础信息!$H70)*基础信息!$G70*基础信息!K70</f>
        <v>120</v>
      </c>
      <c r="R65" s="77">
        <f>求节点($C$15:$C$44,$E$15:$E$44,基础信息!$H70)*基础信息!$G70*基础信息!L70</f>
        <v>0</v>
      </c>
      <c r="S65" s="77">
        <f>求节点($C$15:$C$44,$E$15:$E$44,基础信息!$H70)*基础信息!$G70*基础信息!M70</f>
        <v>0</v>
      </c>
      <c r="T65" s="77">
        <f>SUM(O65:S65)</f>
        <v>120</v>
      </c>
      <c r="U65" s="59">
        <f>基础信息!$G70*基础信息!I70*(D$4+D$5*基础信息!$H70)</f>
        <v>0</v>
      </c>
      <c r="V65" s="59">
        <f>基础信息!$G70*基础信息!J70*(E$4+E$5*基础信息!$H70)</f>
        <v>0</v>
      </c>
      <c r="W65" s="59">
        <f>基础信息!$G70*基础信息!K70*(F$4+F$5*基础信息!$H70)</f>
        <v>4.5999999999999996</v>
      </c>
      <c r="X65" s="59">
        <f>基础信息!$G70*基础信息!L70*(G$4+G$5*基础信息!$H70)</f>
        <v>0</v>
      </c>
      <c r="Y65" s="59">
        <f>基础信息!$G70*基础信息!M70*(H$4+H$5*基础信息!$H70)</f>
        <v>0</v>
      </c>
    </row>
    <row r="66" spans="10:25" x14ac:dyDescent="0.15">
      <c r="J66" s="97">
        <f>门客经验!I66</f>
        <v>0.383375032198569</v>
      </c>
      <c r="K66" s="66">
        <v>2</v>
      </c>
      <c r="L66" s="60">
        <f>基础信息!D71</f>
        <v>19.5</v>
      </c>
      <c r="M66" s="61">
        <f>基础信息!E71</f>
        <v>1.9291590128661831</v>
      </c>
      <c r="N66" s="61">
        <f>基础信息!F71</f>
        <v>22.124520244011151</v>
      </c>
      <c r="O66" s="77">
        <f>求节点($C$15:$C$44,$E$15:$E$44,基础信息!$H71)*基础信息!$G71*基础信息!I71</f>
        <v>0</v>
      </c>
      <c r="P66" s="77">
        <f>求节点($C$15:$C$44,$E$15:$E$44,基础信息!$H71)*基础信息!$G71*基础信息!J71</f>
        <v>0</v>
      </c>
      <c r="Q66" s="77">
        <f>求节点($C$15:$C$44,$E$15:$E$44,基础信息!$H71)*基础信息!$G71*基础信息!K71</f>
        <v>760</v>
      </c>
      <c r="R66" s="77">
        <f>求节点($C$15:$C$44,$E$15:$E$44,基础信息!$H71)*基础信息!$G71*基础信息!L71</f>
        <v>0</v>
      </c>
      <c r="S66" s="77">
        <f>求节点($C$15:$C$44,$E$15:$E$44,基础信息!$H71)*基础信息!$G71*基础信息!M71</f>
        <v>0</v>
      </c>
      <c r="T66" s="77">
        <f t="shared" ref="T66:T80" si="5">SUM(O66:S66)</f>
        <v>760</v>
      </c>
      <c r="U66" s="59">
        <f>基础信息!$G71*基础信息!I71*(D$4+D$5*基础信息!$H71)</f>
        <v>0</v>
      </c>
      <c r="V66" s="59">
        <f>基础信息!$G71*基础信息!J71*(E$4+E$5*基础信息!$H71)</f>
        <v>0</v>
      </c>
      <c r="W66" s="59">
        <f>基础信息!$G71*基础信息!K71*(F$4+F$5*基础信息!$H71)</f>
        <v>10.4</v>
      </c>
      <c r="X66" s="59">
        <f>基础信息!$G71*基础信息!L71*(G$4+G$5*基础信息!$H71)</f>
        <v>0</v>
      </c>
      <c r="Y66" s="59">
        <f>基础信息!$G71*基础信息!M71*(H$4+H$5*基础信息!$H71)</f>
        <v>0</v>
      </c>
    </row>
    <row r="67" spans="10:25" x14ac:dyDescent="0.15">
      <c r="J67" s="97">
        <f>门客经验!I67</f>
        <v>0.33465954446058266</v>
      </c>
      <c r="K67" s="66">
        <v>3</v>
      </c>
      <c r="L67" s="60">
        <f>基础信息!D72</f>
        <v>23.5</v>
      </c>
      <c r="M67" s="61">
        <f>基础信息!E72</f>
        <v>3.8620055508637692</v>
      </c>
      <c r="N67" s="61">
        <f>基础信息!F72</f>
        <v>30.385092920099169</v>
      </c>
      <c r="O67" s="77">
        <f>求节点($C$15:$C$44,$E$15:$E$44,基础信息!$H72)*基础信息!$G72*基础信息!I72</f>
        <v>0</v>
      </c>
      <c r="P67" s="77">
        <f>求节点($C$15:$C$44,$E$15:$E$44,基础信息!$H72)*基础信息!$G72*基础信息!J72</f>
        <v>0</v>
      </c>
      <c r="Q67" s="77">
        <f>求节点($C$15:$C$44,$E$15:$E$44,基础信息!$H72)*基础信息!$G72*基础信息!K72</f>
        <v>1080</v>
      </c>
      <c r="R67" s="77">
        <f>求节点($C$15:$C$44,$E$15:$E$44,基础信息!$H72)*基础信息!$G72*基础信息!L72</f>
        <v>1080</v>
      </c>
      <c r="S67" s="77">
        <f>求节点($C$15:$C$44,$E$15:$E$44,基础信息!$H72)*基础信息!$G72*基础信息!M72</f>
        <v>0</v>
      </c>
      <c r="T67" s="77">
        <f t="shared" si="5"/>
        <v>2160</v>
      </c>
      <c r="U67" s="59">
        <f>基础信息!$G72*基础信息!I72*(D$4+D$5*基础信息!$H72)</f>
        <v>0</v>
      </c>
      <c r="V67" s="59">
        <f>基础信息!$G72*基础信息!J72*(E$4+E$5*基础信息!$H72)</f>
        <v>0</v>
      </c>
      <c r="W67" s="59">
        <f>基础信息!$G72*基础信息!K72*(F$4+F$5*基础信息!$H72)</f>
        <v>8.6999999999999993</v>
      </c>
      <c r="X67" s="59">
        <f>基础信息!$G72*基础信息!L72*(G$4+G$5*基础信息!$H72)</f>
        <v>11.7</v>
      </c>
      <c r="Y67" s="59">
        <f>基础信息!$G72*基础信息!M72*(H$4+H$5*基础信息!$H72)</f>
        <v>0</v>
      </c>
    </row>
    <row r="68" spans="10:25" x14ac:dyDescent="0.15">
      <c r="J68" s="97">
        <f>门客经验!I68</f>
        <v>0.52130162527689805</v>
      </c>
      <c r="K68" s="66">
        <v>4</v>
      </c>
      <c r="L68" s="60">
        <f>基础信息!D73</f>
        <v>27.5</v>
      </c>
      <c r="M68" s="61">
        <f>基础信息!E73</f>
        <v>7.5480892551941539</v>
      </c>
      <c r="N68" s="61">
        <f>基础信息!F73</f>
        <v>39.22082982715331</v>
      </c>
      <c r="O68" s="77">
        <f>求节点($C$15:$C$44,$E$15:$E$44,基础信息!$H73)*基础信息!$G73*基础信息!I73</f>
        <v>0</v>
      </c>
      <c r="P68" s="77">
        <f>求节点($C$15:$C$44,$E$15:$E$44,基础信息!$H73)*基础信息!$G73*基础信息!J73</f>
        <v>0</v>
      </c>
      <c r="Q68" s="77">
        <f>求节点($C$15:$C$44,$E$15:$E$44,基础信息!$H73)*基础信息!$G73*基础信息!K73</f>
        <v>0</v>
      </c>
      <c r="R68" s="77">
        <f>求节点($C$15:$C$44,$E$15:$E$44,基础信息!$H73)*基础信息!$G73*基础信息!L73</f>
        <v>4640</v>
      </c>
      <c r="S68" s="77">
        <f>求节点($C$15:$C$44,$E$15:$E$44,基础信息!$H73)*基础信息!$G73*基础信息!M73</f>
        <v>0</v>
      </c>
      <c r="T68" s="77">
        <f t="shared" si="5"/>
        <v>4640</v>
      </c>
      <c r="U68" s="59">
        <f>基础信息!$G73*基础信息!I73*(D$4+D$5*基础信息!$H73)</f>
        <v>0</v>
      </c>
      <c r="V68" s="59">
        <f>基础信息!$G73*基础信息!J73*(E$4+E$5*基础信息!$H73)</f>
        <v>0</v>
      </c>
      <c r="W68" s="59">
        <f>基础信息!$G73*基础信息!K73*(F$4+F$5*基础信息!$H73)</f>
        <v>0</v>
      </c>
      <c r="X68" s="59">
        <f>基础信息!$G73*基础信息!L73*(G$4+G$5*基础信息!$H73)</f>
        <v>33.6</v>
      </c>
      <c r="Y68" s="59">
        <f>基础信息!$G73*基础信息!M73*(H$4+H$5*基础信息!$H73)</f>
        <v>0</v>
      </c>
    </row>
    <row r="69" spans="10:25" x14ac:dyDescent="0.15">
      <c r="J69" s="97">
        <f>门客经验!I69</f>
        <v>0.64539307855729988</v>
      </c>
      <c r="K69" s="66">
        <v>5</v>
      </c>
      <c r="L69" s="60">
        <f>基础信息!D74</f>
        <v>31.5</v>
      </c>
      <c r="M69" s="61">
        <f>基础信息!E74</f>
        <v>14.515695505432269</v>
      </c>
      <c r="N69" s="61">
        <f>基础信息!F74</f>
        <v>48.246535012671018</v>
      </c>
      <c r="O69" s="77">
        <f>求节点($C$15:$C$44,$E$15:$E$44,基础信息!$H74)*基础信息!$G74*基础信息!I74</f>
        <v>0</v>
      </c>
      <c r="P69" s="77">
        <f>求节点($C$15:$C$44,$E$15:$E$44,基础信息!$H74)*基础信息!$G74*基础信息!J74</f>
        <v>0</v>
      </c>
      <c r="Q69" s="77">
        <f>求节点($C$15:$C$44,$E$15:$E$44,基础信息!$H74)*基础信息!$G74*基础信息!K74</f>
        <v>0</v>
      </c>
      <c r="R69" s="77">
        <f>求节点($C$15:$C$44,$E$15:$E$44,基础信息!$H74)*基础信息!$G74*基础信息!L74</f>
        <v>8400</v>
      </c>
      <c r="S69" s="77">
        <f>求节点($C$15:$C$44,$E$15:$E$44,基础信息!$H74)*基础信息!$G74*基础信息!M74</f>
        <v>0</v>
      </c>
      <c r="T69" s="77">
        <f t="shared" si="5"/>
        <v>8400</v>
      </c>
      <c r="U69" s="59">
        <f>基础信息!$G74*基础信息!I74*(D$4+D$5*基础信息!$H74)</f>
        <v>0</v>
      </c>
      <c r="V69" s="59">
        <f>基础信息!$G74*基础信息!J74*(E$4+E$5*基础信息!$H74)</f>
        <v>0</v>
      </c>
      <c r="W69" s="59">
        <f>基础信息!$G74*基础信息!K74*(F$4+F$5*基础信息!$H74)</f>
        <v>0</v>
      </c>
      <c r="X69" s="59">
        <f>基础信息!$G74*基础信息!L74*(G$4+G$5*基础信息!$H74)</f>
        <v>45</v>
      </c>
      <c r="Y69" s="59">
        <f>基础信息!$G74*基础信息!M74*(H$4+H$5*基础信息!$H74)</f>
        <v>0</v>
      </c>
    </row>
    <row r="70" spans="10:25" x14ac:dyDescent="0.15">
      <c r="J70" s="97">
        <f>门客经验!I70</f>
        <v>0.77906667429153575</v>
      </c>
      <c r="K70" s="66">
        <v>6</v>
      </c>
      <c r="L70" s="60">
        <f>基础信息!D75</f>
        <v>35.5</v>
      </c>
      <c r="M70" s="61">
        <f>基础信息!E75</f>
        <v>27.449372333401666</v>
      </c>
      <c r="N70" s="61">
        <f>基础信息!F75</f>
        <v>57.411337115405701</v>
      </c>
      <c r="O70" s="77">
        <f>求节点($C$15:$C$44,$E$15:$E$44,基础信息!$H75)*基础信息!$G75*基础信息!I75</f>
        <v>0</v>
      </c>
      <c r="P70" s="77">
        <f>求节点($C$15:$C$44,$E$15:$E$44,基础信息!$H75)*基础信息!$G75*基础信息!J75</f>
        <v>0</v>
      </c>
      <c r="Q70" s="77">
        <f>求节点($C$15:$C$44,$E$15:$E$44,基础信息!$H75)*基础信息!$G75*基础信息!K75</f>
        <v>0</v>
      </c>
      <c r="R70" s="77">
        <f>求节点($C$15:$C$44,$E$15:$E$44,基础信息!$H75)*基础信息!$G75*基础信息!L75</f>
        <v>14880</v>
      </c>
      <c r="S70" s="77">
        <f>求节点($C$15:$C$44,$E$15:$E$44,基础信息!$H75)*基础信息!$G75*基础信息!M75</f>
        <v>0</v>
      </c>
      <c r="T70" s="77">
        <f t="shared" si="5"/>
        <v>14880</v>
      </c>
      <c r="U70" s="59">
        <f>基础信息!$G75*基础信息!I75*(D$4+D$5*基础信息!$H75)</f>
        <v>0</v>
      </c>
      <c r="V70" s="59">
        <f>基础信息!$G75*基础信息!J75*(E$4+E$5*基础信息!$H75)</f>
        <v>0</v>
      </c>
      <c r="W70" s="59">
        <f>基础信息!$G75*基础信息!K75*(F$4+F$5*基础信息!$H75)</f>
        <v>0</v>
      </c>
      <c r="X70" s="59">
        <f>基础信息!$G75*基础信息!L75*(G$4+G$5*基础信息!$H75)</f>
        <v>57.599999999999994</v>
      </c>
      <c r="Y70" s="59">
        <f>基础信息!$G75*基础信息!M75*(H$4+H$5*基础信息!$H75)</f>
        <v>0</v>
      </c>
    </row>
    <row r="71" spans="10:25" x14ac:dyDescent="0.15">
      <c r="J71" s="97">
        <f>门客经验!I71</f>
        <v>0.7987555367614535</v>
      </c>
      <c r="K71" s="66">
        <v>7</v>
      </c>
      <c r="L71" s="60">
        <f>基础信息!D76</f>
        <v>39.5</v>
      </c>
      <c r="M71" s="61">
        <f>基础信息!E76</f>
        <v>49.848538197196007</v>
      </c>
      <c r="N71" s="61">
        <f>基础信息!F76</f>
        <v>65.902718877121345</v>
      </c>
      <c r="O71" s="77">
        <f>求节点($C$15:$C$44,$E$15:$E$44,基础信息!$H76)*基础信息!$G76*基础信息!I76</f>
        <v>0</v>
      </c>
      <c r="P71" s="77">
        <f>求节点($C$15:$C$44,$E$15:$E$44,基础信息!$H76)*基础信息!$G76*基础信息!J76</f>
        <v>0</v>
      </c>
      <c r="Q71" s="77">
        <f>求节点($C$15:$C$44,$E$15:$E$44,基础信息!$H76)*基础信息!$G76*基础信息!K76</f>
        <v>0</v>
      </c>
      <c r="R71" s="77">
        <f>求节点($C$15:$C$44,$E$15:$E$44,基础信息!$H76)*基础信息!$G76*基础信息!L76</f>
        <v>31360</v>
      </c>
      <c r="S71" s="77">
        <f>求节点($C$15:$C$44,$E$15:$E$44,基础信息!$H76)*基础信息!$G76*基础信息!M76</f>
        <v>0</v>
      </c>
      <c r="T71" s="77">
        <f t="shared" si="5"/>
        <v>31360</v>
      </c>
      <c r="U71" s="59">
        <f>基础信息!$G76*基础信息!I76*(D$4+D$5*基础信息!$H76)</f>
        <v>0</v>
      </c>
      <c r="V71" s="59">
        <f>基础信息!$G76*基础信息!J76*(E$4+E$5*基础信息!$H76)</f>
        <v>0</v>
      </c>
      <c r="W71" s="59">
        <f>基础信息!$G76*基础信息!K76*(F$4+F$5*基础信息!$H76)</f>
        <v>0</v>
      </c>
      <c r="X71" s="59">
        <f>基础信息!$G76*基础信息!L76*(G$4+G$5*基础信息!$H76)</f>
        <v>71.399999999999991</v>
      </c>
      <c r="Y71" s="59">
        <f>基础信息!$G76*基础信息!M76*(H$4+H$5*基础信息!$H76)</f>
        <v>0</v>
      </c>
    </row>
    <row r="72" spans="10:25" x14ac:dyDescent="0.15">
      <c r="J72" s="97">
        <f>门客经验!I72</f>
        <v>0.56738941603543358</v>
      </c>
      <c r="K72" s="66">
        <v>8</v>
      </c>
      <c r="L72" s="60">
        <f>基础信息!D77</f>
        <v>43.5</v>
      </c>
      <c r="M72" s="61">
        <f>基础信息!E77</f>
        <v>90.273217467309593</v>
      </c>
      <c r="N72" s="61">
        <f>基础信息!F77</f>
        <v>74.536451869422805</v>
      </c>
      <c r="O72" s="77">
        <f>求节点($C$15:$C$44,$E$15:$E$44,基础信息!$H77)*基础信息!$G77*基础信息!I77</f>
        <v>0</v>
      </c>
      <c r="P72" s="77">
        <f>求节点($C$15:$C$44,$E$15:$E$44,基础信息!$H77)*基础信息!$G77*基础信息!J77</f>
        <v>0</v>
      </c>
      <c r="Q72" s="77">
        <f>求节点($C$15:$C$44,$E$15:$E$44,基础信息!$H77)*基础信息!$G77*基础信息!K77</f>
        <v>0</v>
      </c>
      <c r="R72" s="77">
        <f>求节点($C$15:$C$44,$E$15:$E$44,基础信息!$H77)*基础信息!$G77*基础信息!L77</f>
        <v>69632</v>
      </c>
      <c r="S72" s="77">
        <f>求节点($C$15:$C$44,$E$15:$E$44,基础信息!$H77)*基础信息!$G77*基础信息!M77</f>
        <v>17408</v>
      </c>
      <c r="T72" s="77">
        <f t="shared" si="5"/>
        <v>87040</v>
      </c>
      <c r="U72" s="59">
        <f>基础信息!$G77*基础信息!I77*(D$4+D$5*基础信息!$H77)</f>
        <v>0</v>
      </c>
      <c r="V72" s="59">
        <f>基础信息!$G77*基础信息!J77*(E$4+E$5*基础信息!$H77)</f>
        <v>0</v>
      </c>
      <c r="W72" s="59">
        <f>基础信息!$G77*基础信息!K77*(F$4+F$5*基础信息!$H77)</f>
        <v>0</v>
      </c>
      <c r="X72" s="59">
        <f>基础信息!$G77*基础信息!L77*(G$4+G$5*基础信息!$H77)</f>
        <v>69.12</v>
      </c>
      <c r="Y72" s="59">
        <f>基础信息!$G77*基础信息!M77*(H$4+H$5*基础信息!$H77)</f>
        <v>22.080000000000002</v>
      </c>
    </row>
    <row r="73" spans="10:25" x14ac:dyDescent="0.15">
      <c r="J73" s="97">
        <f>门客经验!I73</f>
        <v>0.53698776743688081</v>
      </c>
      <c r="K73" s="66">
        <v>9</v>
      </c>
      <c r="L73" s="60">
        <f>基础信息!D78</f>
        <v>47.5</v>
      </c>
      <c r="M73" s="61">
        <f>基础信息!E78</f>
        <v>163.13415930738643</v>
      </c>
      <c r="N73" s="61">
        <f>基础信息!F78</f>
        <v>83.136424497546074</v>
      </c>
      <c r="O73" s="77">
        <f>求节点($C$15:$C$44,$E$15:$E$44,基础信息!$H78)*基础信息!$G78*基础信息!I78</f>
        <v>0</v>
      </c>
      <c r="P73" s="77">
        <f>求节点($C$15:$C$44,$E$15:$E$44,基础信息!$H78)*基础信息!$G78*基础信息!J78</f>
        <v>0</v>
      </c>
      <c r="Q73" s="77">
        <f>求节点($C$15:$C$44,$E$15:$E$44,基础信息!$H78)*基础信息!$G78*基础信息!K78</f>
        <v>0</v>
      </c>
      <c r="R73" s="77">
        <f>求节点($C$15:$C$44,$E$15:$E$44,基础信息!$H78)*基础信息!$G78*基础信息!L78</f>
        <v>110592</v>
      </c>
      <c r="S73" s="77">
        <f>求节点($C$15:$C$44,$E$15:$E$44,基础信息!$H78)*基础信息!$G78*基础信息!M78</f>
        <v>73728</v>
      </c>
      <c r="T73" s="77">
        <f t="shared" si="5"/>
        <v>184320</v>
      </c>
      <c r="U73" s="59">
        <f>基础信息!$G78*基础信息!I78*(D$4+D$5*基础信息!$H78)</f>
        <v>0</v>
      </c>
      <c r="V73" s="59">
        <f>基础信息!$G78*基础信息!J78*(E$4+E$5*基础信息!$H78)</f>
        <v>0</v>
      </c>
      <c r="W73" s="59">
        <f>基础信息!$G78*基础信息!K78*(F$4+F$5*基础信息!$H78)</f>
        <v>0</v>
      </c>
      <c r="X73" s="59">
        <f>基础信息!$G78*基础信息!L78*(G$4+G$5*基础信息!$H78)</f>
        <v>61.559999999999995</v>
      </c>
      <c r="Y73" s="59">
        <f>基础信息!$G78*基础信息!M78*(H$4+H$5*基础信息!$H78)</f>
        <v>51.84</v>
      </c>
    </row>
    <row r="74" spans="10:25" x14ac:dyDescent="0.15">
      <c r="J74" s="97">
        <f>门客经验!I74</f>
        <v>0.59214506897390384</v>
      </c>
      <c r="K74" s="66">
        <v>10</v>
      </c>
      <c r="L74" s="60">
        <f>基础信息!D79</f>
        <v>52</v>
      </c>
      <c r="M74" s="61">
        <f>基础信息!E79</f>
        <v>315.94120754775781</v>
      </c>
      <c r="N74" s="61">
        <f>基础信息!F79</f>
        <v>93.208444061349098</v>
      </c>
      <c r="O74" s="77">
        <f>求节点($C$15:$C$44,$E$15:$E$44,基础信息!$H79)*基础信息!$G79*基础信息!I79</f>
        <v>0</v>
      </c>
      <c r="P74" s="77">
        <f>求节点($C$15:$C$44,$E$15:$E$44,基础信息!$H79)*基础信息!$G79*基础信息!J79</f>
        <v>0</v>
      </c>
      <c r="Q74" s="77">
        <f>求节点($C$15:$C$44,$E$15:$E$44,基础信息!$H79)*基础信息!$G79*基础信息!K79</f>
        <v>0</v>
      </c>
      <c r="R74" s="77">
        <f>求节点($C$15:$C$44,$E$15:$E$44,基础信息!$H79)*基础信息!$G79*基础信息!L79</f>
        <v>120320</v>
      </c>
      <c r="S74" s="77">
        <f>求节点($C$15:$C$44,$E$15:$E$44,基础信息!$H79)*基础信息!$G79*基础信息!M79</f>
        <v>180480</v>
      </c>
      <c r="T74" s="77">
        <f t="shared" si="5"/>
        <v>300800</v>
      </c>
      <c r="U74" s="59">
        <f>基础信息!$G79*基础信息!I79*(D$4+D$5*基础信息!$H79)</f>
        <v>0</v>
      </c>
      <c r="V74" s="59">
        <f>基础信息!$G79*基础信息!J79*(E$4+E$5*基础信息!$H79)</f>
        <v>0</v>
      </c>
      <c r="W74" s="59">
        <f>基础信息!$G79*基础信息!K79*(F$4+F$5*基础信息!$H79)</f>
        <v>0</v>
      </c>
      <c r="X74" s="59">
        <f>基础信息!$G79*基础信息!L79*(G$4+G$5*基础信息!$H79)</f>
        <v>48</v>
      </c>
      <c r="Y74" s="59">
        <f>基础信息!$G79*基础信息!M79*(H$4+H$5*基础信息!$H79)</f>
        <v>90</v>
      </c>
    </row>
    <row r="75" spans="10:25" x14ac:dyDescent="0.15">
      <c r="J75" s="97">
        <f>门客经验!I75</f>
        <v>1.3200145777106622</v>
      </c>
      <c r="K75" s="66">
        <v>11</v>
      </c>
      <c r="L75" s="60">
        <f>基础信息!D80</f>
        <v>57</v>
      </c>
      <c r="M75" s="61">
        <f>基础信息!E80</f>
        <v>659.12993710814465</v>
      </c>
      <c r="N75" s="61">
        <f>基础信息!F80</f>
        <v>103.87052361677672</v>
      </c>
      <c r="O75" s="77">
        <f>求节点($C$15:$C$44,$E$15:$E$44,基础信息!$H80)*基础信息!$G80*基础信息!I80</f>
        <v>0</v>
      </c>
      <c r="P75" s="77">
        <f>求节点($C$15:$C$44,$E$15:$E$44,基础信息!$H80)*基础信息!$G80*基础信息!J80</f>
        <v>0</v>
      </c>
      <c r="Q75" s="77">
        <f>求节点($C$15:$C$44,$E$15:$E$44,基础信息!$H80)*基础信息!$G80*基础信息!K80</f>
        <v>0</v>
      </c>
      <c r="R75" s="77">
        <f>求节点($C$15:$C$44,$E$15:$E$44,基础信息!$H80)*基础信息!$G80*基础信息!L80</f>
        <v>66176</v>
      </c>
      <c r="S75" s="77">
        <f>求节点($C$15:$C$44,$E$15:$E$44,基础信息!$H80)*基础信息!$G80*基础信息!M80</f>
        <v>264704</v>
      </c>
      <c r="T75" s="77">
        <f t="shared" si="5"/>
        <v>330880</v>
      </c>
      <c r="U75" s="59">
        <f>基础信息!$G80*基础信息!I80*(D$4+D$5*基础信息!$H80)</f>
        <v>0</v>
      </c>
      <c r="V75" s="59">
        <f>基础信息!$G80*基础信息!J80*(E$4+E$5*基础信息!$H80)</f>
        <v>0</v>
      </c>
      <c r="W75" s="59">
        <f>基础信息!$G80*基础信息!K80*(F$4+F$5*基础信息!$H80)</f>
        <v>0</v>
      </c>
      <c r="X75" s="59">
        <f>基础信息!$G80*基础信息!L80*(G$4+G$5*基础信息!$H80)</f>
        <v>26.400000000000002</v>
      </c>
      <c r="Y75" s="59">
        <f>基础信息!$G80*基础信息!M80*(H$4+H$5*基础信息!$H80)</f>
        <v>132</v>
      </c>
    </row>
    <row r="76" spans="10:25" x14ac:dyDescent="0.15">
      <c r="J76" s="97">
        <f>门客经验!I76</f>
        <v>2.7743754275365</v>
      </c>
      <c r="K76" s="66">
        <v>12</v>
      </c>
      <c r="L76" s="60">
        <f>基础信息!D81</f>
        <v>62</v>
      </c>
      <c r="M76" s="61">
        <f>基础信息!E81</f>
        <v>1372.540918241546</v>
      </c>
      <c r="N76" s="61">
        <f>基础信息!F81</f>
        <v>114.60606674176169</v>
      </c>
      <c r="O76" s="77">
        <f>求节点($C$15:$C$44,$E$15:$E$44,基础信息!$H81)*基础信息!$G81*基础信息!I81</f>
        <v>0</v>
      </c>
      <c r="P76" s="77">
        <f>求节点($C$15:$C$44,$E$15:$E$44,基础信息!$H81)*基础信息!$G81*基础信息!J81</f>
        <v>0</v>
      </c>
      <c r="Q76" s="77">
        <f>求节点($C$15:$C$44,$E$15:$E$44,基础信息!$H81)*基础信息!$G81*基础信息!K81</f>
        <v>0</v>
      </c>
      <c r="R76" s="77">
        <f>求节点($C$15:$C$44,$E$15:$E$44,基础信息!$H81)*基础信息!$G81*基础信息!L81</f>
        <v>0</v>
      </c>
      <c r="S76" s="77">
        <f>求节点($C$15:$C$44,$E$15:$E$44,基础信息!$H81)*基础信息!$G81*基础信息!M81</f>
        <v>360960</v>
      </c>
      <c r="T76" s="77">
        <f t="shared" si="5"/>
        <v>360960</v>
      </c>
      <c r="U76" s="59">
        <f>基础信息!$G81*基础信息!I81*(D$4+D$5*基础信息!$H81)</f>
        <v>0</v>
      </c>
      <c r="V76" s="59">
        <f>基础信息!$G81*基础信息!J81*(E$4+E$5*基础信息!$H81)</f>
        <v>0</v>
      </c>
      <c r="W76" s="59">
        <f>基础信息!$G81*基础信息!K81*(F$4+F$5*基础信息!$H81)</f>
        <v>0</v>
      </c>
      <c r="X76" s="59">
        <f>基础信息!$G81*基础信息!L81*(G$4+G$5*基础信息!$H81)</f>
        <v>0</v>
      </c>
      <c r="Y76" s="59">
        <f>基础信息!$G81*基础信息!M81*(H$4+H$5*基础信息!$H81)</f>
        <v>180</v>
      </c>
    </row>
    <row r="77" spans="10:25" x14ac:dyDescent="0.15">
      <c r="J77" s="97">
        <f>门客经验!I77</f>
        <v>3.9139307392873199</v>
      </c>
      <c r="K77" s="66">
        <v>13</v>
      </c>
      <c r="L77" s="60">
        <f>基础信息!D82</f>
        <v>67</v>
      </c>
      <c r="M77" s="61">
        <f>基础信息!E82</f>
        <v>2853.4199245336076</v>
      </c>
      <c r="N77" s="61">
        <f>基础信息!F82</f>
        <v>125.19410714767859</v>
      </c>
      <c r="O77" s="77">
        <f>求节点($C$15:$C$44,$E$15:$E$44,基础信息!$H82)*基础信息!$G82*基础信息!I82</f>
        <v>0</v>
      </c>
      <c r="P77" s="77">
        <f>求节点($C$15:$C$44,$E$15:$E$44,基础信息!$H82)*基础信息!$G82*基础信息!J82</f>
        <v>0</v>
      </c>
      <c r="Q77" s="77">
        <f>求节点($C$15:$C$44,$E$15:$E$44,基础信息!$H82)*基础信息!$G82*基础信息!K82</f>
        <v>0</v>
      </c>
      <c r="R77" s="77">
        <f>求节点($C$15:$C$44,$E$15:$E$44,基础信息!$H82)*基础信息!$G82*基础信息!L82</f>
        <v>0</v>
      </c>
      <c r="S77" s="77">
        <f>求节点($C$15:$C$44,$E$15:$E$44,基础信息!$H82)*基础信息!$G82*基础信息!M82</f>
        <v>391040</v>
      </c>
      <c r="T77" s="77">
        <f t="shared" si="5"/>
        <v>391040</v>
      </c>
      <c r="U77" s="59">
        <f>基础信息!$G82*基础信息!I82*(D$4+D$5*基础信息!$H82)</f>
        <v>0</v>
      </c>
      <c r="V77" s="59">
        <f>基础信息!$G82*基础信息!J82*(E$4+E$5*基础信息!$H82)</f>
        <v>0</v>
      </c>
      <c r="W77" s="59">
        <f>基础信息!$G82*基础信息!K82*(F$4+F$5*基础信息!$H82)</f>
        <v>0</v>
      </c>
      <c r="X77" s="59">
        <f>基础信息!$G82*基础信息!L82*(G$4+G$5*基础信息!$H82)</f>
        <v>0</v>
      </c>
      <c r="Y77" s="59">
        <f>基础信息!$G82*基础信息!M82*(H$4+H$5*基础信息!$H82)</f>
        <v>195</v>
      </c>
    </row>
    <row r="78" spans="10:25" x14ac:dyDescent="0.15">
      <c r="J78" s="97">
        <f>门客经验!I78</f>
        <v>3.1096604030972239</v>
      </c>
      <c r="K78" s="66">
        <v>14</v>
      </c>
      <c r="L78" s="60">
        <f>基础信息!D83</f>
        <v>72</v>
      </c>
      <c r="M78" s="61">
        <f>基础信息!E83</f>
        <v>5923.2820251682469</v>
      </c>
      <c r="N78" s="61">
        <f>基础信息!F83</f>
        <v>135.89542876835631</v>
      </c>
      <c r="O78" s="77">
        <f>求节点($C$15:$C$44,$E$15:$E$44,基础信息!$H83)*基础信息!$G83*基础信息!I83</f>
        <v>0</v>
      </c>
      <c r="P78" s="77">
        <f>求节点($C$15:$C$44,$E$15:$E$44,基础信息!$H83)*基础信息!$G83*基础信息!J83</f>
        <v>0</v>
      </c>
      <c r="Q78" s="77">
        <f>求节点($C$15:$C$44,$E$15:$E$44,基础信息!$H83)*基础信息!$G83*基础信息!K83</f>
        <v>0</v>
      </c>
      <c r="R78" s="77">
        <f>求节点($C$15:$C$44,$E$15:$E$44,基础信息!$H83)*基础信息!$G83*基础信息!L83</f>
        <v>0</v>
      </c>
      <c r="S78" s="77">
        <f>求节点($C$15:$C$44,$E$15:$E$44,基础信息!$H83)*基础信息!$G83*基础信息!M83</f>
        <v>421120</v>
      </c>
      <c r="T78" s="77">
        <f t="shared" si="5"/>
        <v>421120</v>
      </c>
      <c r="U78" s="59">
        <f>基础信息!$G83*基础信息!I83*(D$4+D$5*基础信息!$H83)</f>
        <v>0</v>
      </c>
      <c r="V78" s="59">
        <f>基础信息!$G83*基础信息!J83*(E$4+E$5*基础信息!$H83)</f>
        <v>0</v>
      </c>
      <c r="W78" s="59">
        <f>基础信息!$G83*基础信息!K83*(F$4+F$5*基础信息!$H83)</f>
        <v>0</v>
      </c>
      <c r="X78" s="59">
        <f>基础信息!$G83*基础信息!L83*(G$4+G$5*基础信息!$H83)</f>
        <v>0</v>
      </c>
      <c r="Y78" s="59">
        <f>基础信息!$G83*基础信息!M83*(H$4+H$5*基础信息!$H83)</f>
        <v>210</v>
      </c>
    </row>
    <row r="79" spans="10:25" x14ac:dyDescent="0.15">
      <c r="J79" s="97">
        <f>门客经验!I79</f>
        <v>4.5531179032378155</v>
      </c>
      <c r="K79" s="66">
        <v>15</v>
      </c>
      <c r="L79" s="60">
        <f>基础信息!D84</f>
        <v>77</v>
      </c>
      <c r="M79" s="61">
        <f>基础信息!E84</f>
        <v>12279.204402538555</v>
      </c>
      <c r="N79" s="61">
        <f>基础信息!F84</f>
        <v>146.55064673623977</v>
      </c>
      <c r="O79" s="77">
        <f>求节点($C$15:$C$44,$E$15:$E$44,基础信息!$H84)*基础信息!$G84*基础信息!I84</f>
        <v>0</v>
      </c>
      <c r="P79" s="77">
        <f>求节点($C$15:$C$44,$E$15:$E$44,基础信息!$H84)*基础信息!$G84*基础信息!J84</f>
        <v>0</v>
      </c>
      <c r="Q79" s="77">
        <f>求节点($C$15:$C$44,$E$15:$E$44,基础信息!$H84)*基础信息!$G84*基础信息!K84</f>
        <v>0</v>
      </c>
      <c r="R79" s="77">
        <f>求节点($C$15:$C$44,$E$15:$E$44,基础信息!$H84)*基础信息!$G84*基础信息!L84</f>
        <v>0</v>
      </c>
      <c r="S79" s="77">
        <f>求节点($C$15:$C$44,$E$15:$E$44,基础信息!$H84)*基础信息!$G84*基础信息!M84</f>
        <v>451200</v>
      </c>
      <c r="T79" s="77">
        <f t="shared" si="5"/>
        <v>451200</v>
      </c>
      <c r="U79" s="59">
        <f>基础信息!$G84*基础信息!I84*(D$4+D$5*基础信息!$H84)</f>
        <v>0</v>
      </c>
      <c r="V79" s="59">
        <f>基础信息!$G84*基础信息!J84*(E$4+E$5*基础信息!$H84)</f>
        <v>0</v>
      </c>
      <c r="W79" s="59">
        <f>基础信息!$G84*基础信息!K84*(F$4+F$5*基础信息!$H84)</f>
        <v>0</v>
      </c>
      <c r="X79" s="59">
        <f>基础信息!$G84*基础信息!L84*(G$4+G$5*基础信息!$H84)</f>
        <v>0</v>
      </c>
      <c r="Y79" s="59">
        <f>基础信息!$G84*基础信息!M84*(H$4+H$5*基础信息!$H84)</f>
        <v>225</v>
      </c>
    </row>
    <row r="80" spans="10:25" x14ac:dyDescent="0.15">
      <c r="J80" s="97">
        <f>门客经验!I80</f>
        <v>5.3054811291339714</v>
      </c>
      <c r="K80" s="66">
        <v>16</v>
      </c>
      <c r="L80" s="60">
        <f>基础信息!D85</f>
        <v>80</v>
      </c>
      <c r="M80" s="61">
        <f>基础信息!E85</f>
        <v>19005.150000000001</v>
      </c>
      <c r="N80" s="61">
        <f>基础信息!F85</f>
        <v>152.12605579164665</v>
      </c>
      <c r="O80" s="77">
        <f>求节点($C$15:$C$44,$E$15:$E$44,基础信息!$H85)*基础信息!$G85*基础信息!I85</f>
        <v>0</v>
      </c>
      <c r="P80" s="77">
        <f>求节点($C$15:$C$44,$E$15:$E$44,基础信息!$H85)*基础信息!$G85*基础信息!J85</f>
        <v>0</v>
      </c>
      <c r="Q80" s="77">
        <f>求节点($C$15:$C$44,$E$15:$E$44,基础信息!$H85)*基础信息!$G85*基础信息!K85</f>
        <v>0</v>
      </c>
      <c r="R80" s="77">
        <f>求节点($C$15:$C$44,$E$15:$E$44,基础信息!$H85)*基础信息!$G85*基础信息!L85</f>
        <v>0</v>
      </c>
      <c r="S80" s="77">
        <f>求节点($C$15:$C$44,$E$15:$E$44,基础信息!$H85)*基础信息!$G85*基础信息!M85</f>
        <v>481280</v>
      </c>
      <c r="T80" s="77">
        <f t="shared" si="5"/>
        <v>481280</v>
      </c>
      <c r="U80" s="59">
        <f>基础信息!$G85*基础信息!I85*(D$4+D$5*基础信息!$H85)</f>
        <v>0</v>
      </c>
      <c r="V80" s="59">
        <f>基础信息!$G85*基础信息!J85*(E$4+E$5*基础信息!$H85)</f>
        <v>0</v>
      </c>
      <c r="W80" s="59">
        <f>基础信息!$G85*基础信息!K85*(F$4+F$5*基础信息!$H85)</f>
        <v>0</v>
      </c>
      <c r="X80" s="59">
        <f>基础信息!$G85*基础信息!L85*(G$4+G$5*基础信息!$H85)</f>
        <v>0</v>
      </c>
      <c r="Y80" s="59">
        <f>基础信息!$G85*基础信息!M85*(H$4+H$5*基础信息!$H85)</f>
        <v>240</v>
      </c>
    </row>
    <row r="81" spans="10:25" x14ac:dyDescent="0.15">
      <c r="K81" s="66"/>
      <c r="L81" s="66"/>
      <c r="M81" s="65"/>
      <c r="N81" s="65"/>
    </row>
    <row r="82" spans="10:25" x14ac:dyDescent="0.15">
      <c r="K82" s="66"/>
      <c r="L82" s="66"/>
      <c r="M82" s="65"/>
      <c r="N82" s="65"/>
    </row>
    <row r="83" spans="10:25" x14ac:dyDescent="0.15">
      <c r="K83" s="66" t="s">
        <v>4</v>
      </c>
      <c r="L83" s="66"/>
      <c r="M83" s="65"/>
      <c r="N83" s="65"/>
      <c r="O83" s="124" t="s">
        <v>163</v>
      </c>
      <c r="P83" s="124"/>
      <c r="Q83" s="124"/>
      <c r="R83" s="124"/>
      <c r="S83" s="124"/>
      <c r="U83" s="123" t="s">
        <v>162</v>
      </c>
      <c r="V83" s="123"/>
      <c r="W83" s="123"/>
      <c r="X83" s="123"/>
      <c r="Y83" s="123"/>
    </row>
    <row r="84" spans="10:25" x14ac:dyDescent="0.15">
      <c r="K84" s="66" t="s">
        <v>21</v>
      </c>
      <c r="L84" s="66" t="s">
        <v>121</v>
      </c>
      <c r="M84" s="65" t="s">
        <v>122</v>
      </c>
      <c r="N84" s="65" t="s">
        <v>103</v>
      </c>
      <c r="O84" s="77" t="s">
        <v>104</v>
      </c>
      <c r="P84" s="77" t="s">
        <v>105</v>
      </c>
      <c r="Q84" s="77" t="s">
        <v>106</v>
      </c>
      <c r="R84" s="77" t="s">
        <v>107</v>
      </c>
      <c r="S84" s="77" t="s">
        <v>108</v>
      </c>
      <c r="T84" s="77" t="s">
        <v>161</v>
      </c>
      <c r="U84" s="59" t="s">
        <v>104</v>
      </c>
      <c r="V84" s="59" t="s">
        <v>105</v>
      </c>
      <c r="W84" s="59" t="s">
        <v>106</v>
      </c>
      <c r="X84" s="59" t="s">
        <v>107</v>
      </c>
      <c r="Y84" s="59" t="s">
        <v>108</v>
      </c>
    </row>
    <row r="85" spans="10:25" x14ac:dyDescent="0.15">
      <c r="J85" s="97">
        <f>门客经验!I85</f>
        <v>0.83333333333333337</v>
      </c>
      <c r="K85" s="66">
        <v>1</v>
      </c>
      <c r="L85" s="60">
        <f>基础信息!D90</f>
        <v>16</v>
      </c>
      <c r="M85" s="61">
        <f>基础信息!E90</f>
        <v>0.50775438407852935</v>
      </c>
      <c r="N85" s="61">
        <f>基础信息!F90</f>
        <v>14.671687356650759</v>
      </c>
      <c r="O85" s="77">
        <f>求节点($C$15:$C$44,$E$15:$E$44,基础信息!$H90)*基础信息!$G90*基础信息!I90</f>
        <v>0</v>
      </c>
      <c r="P85" s="77">
        <f>求节点($C$15:$C$44,$E$15:$E$44,基础信息!$H90)*基础信息!$G90*基础信息!J90</f>
        <v>0</v>
      </c>
      <c r="Q85" s="77">
        <f>求节点($C$15:$C$44,$E$15:$E$44,基础信息!$H90)*基础信息!$G90*基础信息!K90</f>
        <v>120</v>
      </c>
      <c r="R85" s="77">
        <f>求节点($C$15:$C$44,$E$15:$E$44,基础信息!$H90)*基础信息!$G90*基础信息!L90</f>
        <v>0</v>
      </c>
      <c r="S85" s="77">
        <f>求节点($C$15:$C$44,$E$15:$E$44,基础信息!$H90)*基础信息!$G90*基础信息!M90</f>
        <v>0</v>
      </c>
      <c r="T85" s="77">
        <f>SUM(O85:S85)</f>
        <v>120</v>
      </c>
      <c r="U85" s="59">
        <f>基础信息!$G90*基础信息!I90*(D$4+D$5*基础信息!$H90)</f>
        <v>0</v>
      </c>
      <c r="V85" s="59">
        <f>基础信息!$G90*基础信息!J90*(E$4+E$5*基础信息!$H90)</f>
        <v>0</v>
      </c>
      <c r="W85" s="59">
        <f>基础信息!$G90*基础信息!K90*(F$4+F$5*基础信息!$H90)</f>
        <v>4.5999999999999996</v>
      </c>
      <c r="X85" s="59">
        <f>基础信息!$G90*基础信息!L90*(G$4+G$5*基础信息!$H90)</f>
        <v>0</v>
      </c>
      <c r="Y85" s="59">
        <f>基础信息!$G90*基础信息!M90*(H$4+H$5*基础信息!$H90)</f>
        <v>0</v>
      </c>
    </row>
    <row r="86" spans="10:25" x14ac:dyDescent="0.15">
      <c r="J86" s="97">
        <f>门客经验!I86</f>
        <v>0.32326646346770554</v>
      </c>
      <c r="K86" s="66">
        <v>2</v>
      </c>
      <c r="L86" s="60">
        <f>基础信息!D91</f>
        <v>19.5</v>
      </c>
      <c r="M86" s="61">
        <f>基础信息!E91</f>
        <v>0.96457950643309154</v>
      </c>
      <c r="N86" s="61">
        <f>基础信息!F91</f>
        <v>20.922787117743994</v>
      </c>
      <c r="O86" s="77">
        <f>求节点($C$15:$C$44,$E$15:$E$44,基础信息!$H91)*基础信息!$G91*基础信息!I91</f>
        <v>0</v>
      </c>
      <c r="P86" s="77">
        <f>求节点($C$15:$C$44,$E$15:$E$44,基础信息!$H91)*基础信息!$G91*基础信息!J91</f>
        <v>0</v>
      </c>
      <c r="Q86" s="77">
        <f>求节点($C$15:$C$44,$E$15:$E$44,基础信息!$H91)*基础信息!$G91*基础信息!K91</f>
        <v>760</v>
      </c>
      <c r="R86" s="77">
        <f>求节点($C$15:$C$44,$E$15:$E$44,基础信息!$H91)*基础信息!$G91*基础信息!L91</f>
        <v>0</v>
      </c>
      <c r="S86" s="77">
        <f>求节点($C$15:$C$44,$E$15:$E$44,基础信息!$H91)*基础信息!$G91*基础信息!M91</f>
        <v>0</v>
      </c>
      <c r="T86" s="77">
        <f t="shared" ref="T86:T100" si="6">SUM(O86:S86)</f>
        <v>760</v>
      </c>
      <c r="U86" s="59">
        <f>基础信息!$G91*基础信息!I91*(D$4+D$5*基础信息!$H91)</f>
        <v>0</v>
      </c>
      <c r="V86" s="59">
        <f>基础信息!$G91*基础信息!J91*(E$4+E$5*基础信息!$H91)</f>
        <v>0</v>
      </c>
      <c r="W86" s="59">
        <f>基础信息!$G91*基础信息!K91*(F$4+F$5*基础信息!$H91)</f>
        <v>10.4</v>
      </c>
      <c r="X86" s="59">
        <f>基础信息!$G91*基础信息!L91*(G$4+G$5*基础信息!$H91)</f>
        <v>0</v>
      </c>
      <c r="Y86" s="59">
        <f>基础信息!$G91*基础信息!M91*(H$4+H$5*基础信息!$H91)</f>
        <v>0</v>
      </c>
    </row>
    <row r="87" spans="10:25" x14ac:dyDescent="0.15">
      <c r="J87" s="97">
        <f>门客经验!I87</f>
        <v>0.28906952870281355</v>
      </c>
      <c r="K87" s="66">
        <v>3</v>
      </c>
      <c r="L87" s="60">
        <f>基础信息!D92</f>
        <v>23.5</v>
      </c>
      <c r="M87" s="61">
        <f>基础信息!E92</f>
        <v>1.9310027754318846</v>
      </c>
      <c r="N87" s="61">
        <f>基础信息!F92</f>
        <v>28.96506192552858</v>
      </c>
      <c r="O87" s="77">
        <f>求节点($C$15:$C$44,$E$15:$E$44,基础信息!$H92)*基础信息!$G92*基础信息!I92</f>
        <v>0</v>
      </c>
      <c r="P87" s="77">
        <f>求节点($C$15:$C$44,$E$15:$E$44,基础信息!$H92)*基础信息!$G92*基础信息!J92</f>
        <v>0</v>
      </c>
      <c r="Q87" s="77">
        <f>求节点($C$15:$C$44,$E$15:$E$44,基础信息!$H92)*基础信息!$G92*基础信息!K92</f>
        <v>1080</v>
      </c>
      <c r="R87" s="77">
        <f>求节点($C$15:$C$44,$E$15:$E$44,基础信息!$H92)*基础信息!$G92*基础信息!L92</f>
        <v>1080</v>
      </c>
      <c r="S87" s="77">
        <f>求节点($C$15:$C$44,$E$15:$E$44,基础信息!$H92)*基础信息!$G92*基础信息!M92</f>
        <v>0</v>
      </c>
      <c r="T87" s="77">
        <f t="shared" si="6"/>
        <v>2160</v>
      </c>
      <c r="U87" s="59">
        <f>基础信息!$G92*基础信息!I92*(D$4+D$5*基础信息!$H92)</f>
        <v>0</v>
      </c>
      <c r="V87" s="59">
        <f>基础信息!$G92*基础信息!J92*(E$4+E$5*基础信息!$H92)</f>
        <v>0</v>
      </c>
      <c r="W87" s="59">
        <f>基础信息!$G92*基础信息!K92*(F$4+F$5*基础信息!$H92)</f>
        <v>8.6999999999999993</v>
      </c>
      <c r="X87" s="59">
        <f>基础信息!$G92*基础信息!L92*(G$4+G$5*基础信息!$H92)</f>
        <v>11.7</v>
      </c>
      <c r="Y87" s="59">
        <f>基础信息!$G92*基础信息!M92*(H$4+H$5*基础信息!$H92)</f>
        <v>0</v>
      </c>
    </row>
    <row r="88" spans="10:25" x14ac:dyDescent="0.15">
      <c r="J88" s="97">
        <f>门客经验!I88</f>
        <v>0.49197671231120199</v>
      </c>
      <c r="K88" s="66">
        <v>4</v>
      </c>
      <c r="L88" s="60">
        <f>基础信息!D93</f>
        <v>27.5</v>
      </c>
      <c r="M88" s="61">
        <f>基础信息!E93</f>
        <v>3.7740446275970769</v>
      </c>
      <c r="N88" s="61">
        <f>基础信息!F93</f>
        <v>37.642488096871389</v>
      </c>
      <c r="O88" s="77">
        <f>求节点($C$15:$C$44,$E$15:$E$44,基础信息!$H93)*基础信息!$G93*基础信息!I93</f>
        <v>0</v>
      </c>
      <c r="P88" s="77">
        <f>求节点($C$15:$C$44,$E$15:$E$44,基础信息!$H93)*基础信息!$G93*基础信息!J93</f>
        <v>0</v>
      </c>
      <c r="Q88" s="77">
        <f>求节点($C$15:$C$44,$E$15:$E$44,基础信息!$H93)*基础信息!$G93*基础信息!K93</f>
        <v>0</v>
      </c>
      <c r="R88" s="77">
        <f>求节点($C$15:$C$44,$E$15:$E$44,基础信息!$H93)*基础信息!$G93*基础信息!L93</f>
        <v>4640</v>
      </c>
      <c r="S88" s="77">
        <f>求节点($C$15:$C$44,$E$15:$E$44,基础信息!$H93)*基础信息!$G93*基础信息!M93</f>
        <v>0</v>
      </c>
      <c r="T88" s="77">
        <f t="shared" si="6"/>
        <v>4640</v>
      </c>
      <c r="U88" s="59">
        <f>基础信息!$G93*基础信息!I93*(D$4+D$5*基础信息!$H93)</f>
        <v>0</v>
      </c>
      <c r="V88" s="59">
        <f>基础信息!$G93*基础信息!J93*(E$4+E$5*基础信息!$H93)</f>
        <v>0</v>
      </c>
      <c r="W88" s="59">
        <f>基础信息!$G93*基础信息!K93*(F$4+F$5*基础信息!$H93)</f>
        <v>0</v>
      </c>
      <c r="X88" s="59">
        <f>基础信息!$G93*基础信息!L93*(G$4+G$5*基础信息!$H93)</f>
        <v>33.6</v>
      </c>
      <c r="Y88" s="59">
        <f>基础信息!$G93*基础信息!M93*(H$4+H$5*基础信息!$H93)</f>
        <v>0</v>
      </c>
    </row>
    <row r="89" spans="10:25" x14ac:dyDescent="0.15">
      <c r="J89" s="97">
        <f>门客经验!I89</f>
        <v>0.56775917688458721</v>
      </c>
      <c r="K89" s="66">
        <v>5</v>
      </c>
      <c r="L89" s="60">
        <f>基础信息!D94</f>
        <v>31.5</v>
      </c>
      <c r="M89" s="61">
        <f>基础信息!E94</f>
        <v>7.2578477527161347</v>
      </c>
      <c r="N89" s="61">
        <f>基础信息!F94</f>
        <v>46.621425173369133</v>
      </c>
      <c r="O89" s="77">
        <f>求节点($C$15:$C$44,$E$15:$E$44,基础信息!$H94)*基础信息!$G94*基础信息!I94</f>
        <v>0</v>
      </c>
      <c r="P89" s="77">
        <f>求节点($C$15:$C$44,$E$15:$E$44,基础信息!$H94)*基础信息!$G94*基础信息!J94</f>
        <v>0</v>
      </c>
      <c r="Q89" s="77">
        <f>求节点($C$15:$C$44,$E$15:$E$44,基础信息!$H94)*基础信息!$G94*基础信息!K94</f>
        <v>0</v>
      </c>
      <c r="R89" s="77">
        <f>求节点($C$15:$C$44,$E$15:$E$44,基础信息!$H94)*基础信息!$G94*基础信息!L94</f>
        <v>8400</v>
      </c>
      <c r="S89" s="77">
        <f>求节点($C$15:$C$44,$E$15:$E$44,基础信息!$H94)*基础信息!$G94*基础信息!M94</f>
        <v>0</v>
      </c>
      <c r="T89" s="77">
        <f t="shared" si="6"/>
        <v>8400</v>
      </c>
      <c r="U89" s="59">
        <f>基础信息!$G94*基础信息!I94*(D$4+D$5*基础信息!$H94)</f>
        <v>0</v>
      </c>
      <c r="V89" s="59">
        <f>基础信息!$G94*基础信息!J94*(E$4+E$5*基础信息!$H94)</f>
        <v>0</v>
      </c>
      <c r="W89" s="59">
        <f>基础信息!$G94*基础信息!K94*(F$4+F$5*基础信息!$H94)</f>
        <v>0</v>
      </c>
      <c r="X89" s="59">
        <f>基础信息!$G94*基础信息!L94*(G$4+G$5*基础信息!$H94)</f>
        <v>45</v>
      </c>
      <c r="Y89" s="59">
        <f>基础信息!$G94*基础信息!M94*(H$4+H$5*基础信息!$H94)</f>
        <v>0</v>
      </c>
    </row>
    <row r="90" spans="10:25" x14ac:dyDescent="0.15">
      <c r="J90" s="97">
        <f>门客经验!I90</f>
        <v>0.65317915969886131</v>
      </c>
      <c r="K90" s="66">
        <v>6</v>
      </c>
      <c r="L90" s="60">
        <f>基础信息!D95</f>
        <v>35.5</v>
      </c>
      <c r="M90" s="61">
        <f>基础信息!E95</f>
        <v>13.724686166700833</v>
      </c>
      <c r="N90" s="61">
        <f>基础信息!F95</f>
        <v>55.873561913262044</v>
      </c>
      <c r="O90" s="77">
        <f>求节点($C$15:$C$44,$E$15:$E$44,基础信息!$H95)*基础信息!$G95*基础信息!I95</f>
        <v>0</v>
      </c>
      <c r="P90" s="77">
        <f>求节点($C$15:$C$44,$E$15:$E$44,基础信息!$H95)*基础信息!$G95*基础信息!J95</f>
        <v>0</v>
      </c>
      <c r="Q90" s="77">
        <f>求节点($C$15:$C$44,$E$15:$E$44,基础信息!$H95)*基础信息!$G95*基础信息!K95</f>
        <v>0</v>
      </c>
      <c r="R90" s="77">
        <f>求节点($C$15:$C$44,$E$15:$E$44,基础信息!$H95)*基础信息!$G95*基础信息!L95</f>
        <v>14880</v>
      </c>
      <c r="S90" s="77">
        <f>求节点($C$15:$C$44,$E$15:$E$44,基础信息!$H95)*基础信息!$G95*基础信息!M95</f>
        <v>0</v>
      </c>
      <c r="T90" s="77">
        <f t="shared" si="6"/>
        <v>14880</v>
      </c>
      <c r="U90" s="59">
        <f>基础信息!$G95*基础信息!I95*(D$4+D$5*基础信息!$H95)</f>
        <v>0</v>
      </c>
      <c r="V90" s="59">
        <f>基础信息!$G95*基础信息!J95*(E$4+E$5*基础信息!$H95)</f>
        <v>0</v>
      </c>
      <c r="W90" s="59">
        <f>基础信息!$G95*基础信息!K95*(F$4+F$5*基础信息!$H95)</f>
        <v>0</v>
      </c>
      <c r="X90" s="59">
        <f>基础信息!$G95*基础信息!L95*(G$4+G$5*基础信息!$H95)</f>
        <v>57.599999999999994</v>
      </c>
      <c r="Y90" s="59">
        <f>基础信息!$G95*基础信息!M95*(H$4+H$5*基础信息!$H95)</f>
        <v>0</v>
      </c>
    </row>
    <row r="91" spans="10:25" x14ac:dyDescent="0.15">
      <c r="J91" s="97">
        <f>门客经验!I91</f>
        <v>0.61459686033756911</v>
      </c>
      <c r="K91" s="66">
        <v>7</v>
      </c>
      <c r="L91" s="60">
        <f>基础信息!D96</f>
        <v>39.5</v>
      </c>
      <c r="M91" s="61">
        <f>基础信息!E96</f>
        <v>24.924269098598003</v>
      </c>
      <c r="N91" s="61">
        <f>基础信息!F96</f>
        <v>64.352574598751431</v>
      </c>
      <c r="O91" s="77">
        <f>求节点($C$15:$C$44,$E$15:$E$44,基础信息!$H96)*基础信息!$G96*基础信息!I96</f>
        <v>0</v>
      </c>
      <c r="P91" s="77">
        <f>求节点($C$15:$C$44,$E$15:$E$44,基础信息!$H96)*基础信息!$G96*基础信息!J96</f>
        <v>0</v>
      </c>
      <c r="Q91" s="77">
        <f>求节点($C$15:$C$44,$E$15:$E$44,基础信息!$H96)*基础信息!$G96*基础信息!K96</f>
        <v>0</v>
      </c>
      <c r="R91" s="77">
        <f>求节点($C$15:$C$44,$E$15:$E$44,基础信息!$H96)*基础信息!$G96*基础信息!L96</f>
        <v>31360</v>
      </c>
      <c r="S91" s="77">
        <f>求节点($C$15:$C$44,$E$15:$E$44,基础信息!$H96)*基础信息!$G96*基础信息!M96</f>
        <v>0</v>
      </c>
      <c r="T91" s="77">
        <f t="shared" si="6"/>
        <v>31360</v>
      </c>
      <c r="U91" s="59">
        <f>基础信息!$G96*基础信息!I96*(D$4+D$5*基础信息!$H96)</f>
        <v>0</v>
      </c>
      <c r="V91" s="59">
        <f>基础信息!$G96*基础信息!J96*(E$4+E$5*基础信息!$H96)</f>
        <v>0</v>
      </c>
      <c r="W91" s="59">
        <f>基础信息!$G96*基础信息!K96*(F$4+F$5*基础信息!$H96)</f>
        <v>0</v>
      </c>
      <c r="X91" s="59">
        <f>基础信息!$G96*基础信息!L96*(G$4+G$5*基础信息!$H96)</f>
        <v>71.399999999999991</v>
      </c>
      <c r="Y91" s="59">
        <f>基础信息!$G96*基础信息!M96*(H$4+H$5*基础信息!$H96)</f>
        <v>0</v>
      </c>
    </row>
    <row r="92" spans="10:25" x14ac:dyDescent="0.15">
      <c r="J92" s="97">
        <f>门客经验!I92</f>
        <v>0.45400951182992805</v>
      </c>
      <c r="K92" s="66">
        <v>8</v>
      </c>
      <c r="L92" s="60">
        <f>基础信息!D97</f>
        <v>43.5</v>
      </c>
      <c r="M92" s="61">
        <f>基础信息!E97</f>
        <v>45.136608733654796</v>
      </c>
      <c r="N92" s="61">
        <f>基础信息!F97</f>
        <v>73.078652735991781</v>
      </c>
      <c r="O92" s="77">
        <f>求节点($C$15:$C$44,$E$15:$E$44,基础信息!$H97)*基础信息!$G97*基础信息!I97</f>
        <v>0</v>
      </c>
      <c r="P92" s="77">
        <f>求节点($C$15:$C$44,$E$15:$E$44,基础信息!$H97)*基础信息!$G97*基础信息!J97</f>
        <v>0</v>
      </c>
      <c r="Q92" s="77">
        <f>求节点($C$15:$C$44,$E$15:$E$44,基础信息!$H97)*基础信息!$G97*基础信息!K97</f>
        <v>0</v>
      </c>
      <c r="R92" s="77">
        <f>求节点($C$15:$C$44,$E$15:$E$44,基础信息!$H97)*基础信息!$G97*基础信息!L97</f>
        <v>65280</v>
      </c>
      <c r="S92" s="77">
        <f>求节点($C$15:$C$44,$E$15:$E$44,基础信息!$H97)*基础信息!$G97*基础信息!M97</f>
        <v>21760</v>
      </c>
      <c r="T92" s="77">
        <f t="shared" si="6"/>
        <v>87040</v>
      </c>
      <c r="U92" s="59">
        <f>基础信息!$G97*基础信息!I97*(D$4+D$5*基础信息!$H97)</f>
        <v>0</v>
      </c>
      <c r="V92" s="59">
        <f>基础信息!$G97*基础信息!J97*(E$4+E$5*基础信息!$H97)</f>
        <v>0</v>
      </c>
      <c r="W92" s="59">
        <f>基础信息!$G97*基础信息!K97*(F$4+F$5*基础信息!$H97)</f>
        <v>0</v>
      </c>
      <c r="X92" s="59">
        <f>基础信息!$G97*基础信息!L97*(G$4+G$5*基础信息!$H97)</f>
        <v>64.800000000000011</v>
      </c>
      <c r="Y92" s="59">
        <f>基础信息!$G97*基础信息!M97*(H$4+H$5*基础信息!$H97)</f>
        <v>27.6</v>
      </c>
    </row>
    <row r="93" spans="10:25" x14ac:dyDescent="0.15">
      <c r="J93" s="97">
        <f>门客经验!I93</f>
        <v>0.53106285335257586</v>
      </c>
      <c r="K93" s="66">
        <v>9</v>
      </c>
      <c r="L93" s="60">
        <f>基础信息!D98</f>
        <v>47.5</v>
      </c>
      <c r="M93" s="61">
        <f>基础信息!E98</f>
        <v>81.567079653693213</v>
      </c>
      <c r="N93" s="61">
        <f>基础信息!F98</f>
        <v>81.690385070357735</v>
      </c>
      <c r="O93" s="77">
        <f>求节点($C$15:$C$44,$E$15:$E$44,基础信息!$H98)*基础信息!$G98*基础信息!I98</f>
        <v>0</v>
      </c>
      <c r="P93" s="77">
        <f>求节点($C$15:$C$44,$E$15:$E$44,基础信息!$H98)*基础信息!$G98*基础信息!J98</f>
        <v>0</v>
      </c>
      <c r="Q93" s="77">
        <f>求节点($C$15:$C$44,$E$15:$E$44,基础信息!$H98)*基础信息!$G98*基础信息!K98</f>
        <v>0</v>
      </c>
      <c r="R93" s="77">
        <f>求节点($C$15:$C$44,$E$15:$E$44,基础信息!$H98)*基础信息!$G98*基础信息!L98</f>
        <v>92160</v>
      </c>
      <c r="S93" s="77">
        <f>求节点($C$15:$C$44,$E$15:$E$44,基础信息!$H98)*基础信息!$G98*基础信息!M98</f>
        <v>92160</v>
      </c>
      <c r="T93" s="77">
        <f t="shared" si="6"/>
        <v>184320</v>
      </c>
      <c r="U93" s="59">
        <f>基础信息!$G98*基础信息!I98*(D$4+D$5*基础信息!$H98)</f>
        <v>0</v>
      </c>
      <c r="V93" s="59">
        <f>基础信息!$G98*基础信息!J98*(E$4+E$5*基础信息!$H98)</f>
        <v>0</v>
      </c>
      <c r="W93" s="59">
        <f>基础信息!$G98*基础信息!K98*(F$4+F$5*基础信息!$H98)</f>
        <v>0</v>
      </c>
      <c r="X93" s="59">
        <f>基础信息!$G98*基础信息!L98*(G$4+G$5*基础信息!$H98)</f>
        <v>51.300000000000004</v>
      </c>
      <c r="Y93" s="59">
        <f>基础信息!$G98*基础信息!M98*(H$4+H$5*基础信息!$H98)</f>
        <v>64.8</v>
      </c>
    </row>
    <row r="94" spans="10:25" x14ac:dyDescent="0.15">
      <c r="J94" s="97">
        <f>门客经验!I94</f>
        <v>0.59585064883054339</v>
      </c>
      <c r="K94" s="66">
        <v>10</v>
      </c>
      <c r="L94" s="60">
        <f>基础信息!D99</f>
        <v>52</v>
      </c>
      <c r="M94" s="61">
        <f>基础信息!E99</f>
        <v>157.97060377387891</v>
      </c>
      <c r="N94" s="61">
        <f>基础信息!F99</f>
        <v>92.03038330510195</v>
      </c>
      <c r="O94" s="77">
        <f>求节点($C$15:$C$44,$E$15:$E$44,基础信息!$H99)*基础信息!$G99*基础信息!I99</f>
        <v>0</v>
      </c>
      <c r="P94" s="77">
        <f>求节点($C$15:$C$44,$E$15:$E$44,基础信息!$H99)*基础信息!$G99*基础信息!J99</f>
        <v>0</v>
      </c>
      <c r="Q94" s="77">
        <f>求节点($C$15:$C$44,$E$15:$E$44,基础信息!$H99)*基础信息!$G99*基础信息!K99</f>
        <v>0</v>
      </c>
      <c r="R94" s="77">
        <f>求节点($C$15:$C$44,$E$15:$E$44,基础信息!$H99)*基础信息!$G99*基础信息!L99</f>
        <v>75200</v>
      </c>
      <c r="S94" s="77">
        <f>求节点($C$15:$C$44,$E$15:$E$44,基础信息!$H99)*基础信息!$G99*基础信息!M99</f>
        <v>225600</v>
      </c>
      <c r="T94" s="77">
        <f t="shared" si="6"/>
        <v>300800</v>
      </c>
      <c r="U94" s="59">
        <f>基础信息!$G99*基础信息!I99*(D$4+D$5*基础信息!$H99)</f>
        <v>0</v>
      </c>
      <c r="V94" s="59">
        <f>基础信息!$G99*基础信息!J99*(E$4+E$5*基础信息!$H99)</f>
        <v>0</v>
      </c>
      <c r="W94" s="59">
        <f>基础信息!$G99*基础信息!K99*(F$4+F$5*基础信息!$H99)</f>
        <v>0</v>
      </c>
      <c r="X94" s="59">
        <f>基础信息!$G99*基础信息!L99*(G$4+G$5*基础信息!$H99)</f>
        <v>30</v>
      </c>
      <c r="Y94" s="59">
        <f>基础信息!$G99*基础信息!M99*(H$4+H$5*基础信息!$H99)</f>
        <v>112.5</v>
      </c>
    </row>
    <row r="95" spans="10:25" x14ac:dyDescent="0.15">
      <c r="J95" s="97">
        <f>门客经验!I95</f>
        <v>1.2456789988415371</v>
      </c>
      <c r="K95" s="66">
        <v>11</v>
      </c>
      <c r="L95" s="60">
        <f>基础信息!D100</f>
        <v>57</v>
      </c>
      <c r="M95" s="61">
        <f>基础信息!E100</f>
        <v>329.56496855407232</v>
      </c>
      <c r="N95" s="61">
        <f>基础信息!F100</f>
        <v>102.71853803916484</v>
      </c>
      <c r="O95" s="77">
        <f>求节点($C$15:$C$44,$E$15:$E$44,基础信息!$H100)*基础信息!$G100*基础信息!I100</f>
        <v>0</v>
      </c>
      <c r="P95" s="77">
        <f>求节点($C$15:$C$44,$E$15:$E$44,基础信息!$H100)*基础信息!$G100*基础信息!J100</f>
        <v>0</v>
      </c>
      <c r="Q95" s="77">
        <f>求节点($C$15:$C$44,$E$15:$E$44,基础信息!$H100)*基础信息!$G100*基础信息!K100</f>
        <v>0</v>
      </c>
      <c r="R95" s="77">
        <f>求节点($C$15:$C$44,$E$15:$E$44,基础信息!$H100)*基础信息!$G100*基础信息!L100</f>
        <v>0</v>
      </c>
      <c r="S95" s="77">
        <f>求节点($C$15:$C$44,$E$15:$E$44,基础信息!$H100)*基础信息!$G100*基础信息!M100</f>
        <v>330880</v>
      </c>
      <c r="T95" s="77">
        <f t="shared" si="6"/>
        <v>330880</v>
      </c>
      <c r="U95" s="59">
        <f>基础信息!$G100*基础信息!I100*(D$4+D$5*基础信息!$H100)</f>
        <v>0</v>
      </c>
      <c r="V95" s="59">
        <f>基础信息!$G100*基础信息!J100*(E$4+E$5*基础信息!$H100)</f>
        <v>0</v>
      </c>
      <c r="W95" s="59">
        <f>基础信息!$G100*基础信息!K100*(F$4+F$5*基础信息!$H100)</f>
        <v>0</v>
      </c>
      <c r="X95" s="59">
        <f>基础信息!$G100*基础信息!L100*(G$4+G$5*基础信息!$H100)</f>
        <v>0</v>
      </c>
      <c r="Y95" s="59">
        <f>基础信息!$G100*基础信息!M100*(H$4+H$5*基础信息!$H100)</f>
        <v>165</v>
      </c>
    </row>
    <row r="96" spans="10:25" x14ac:dyDescent="0.15">
      <c r="J96" s="97">
        <f>门客经验!I96</f>
        <v>1.2509377712833081</v>
      </c>
      <c r="K96" s="66">
        <v>12</v>
      </c>
      <c r="L96" s="60">
        <f>基础信息!D101</f>
        <v>62</v>
      </c>
      <c r="M96" s="61">
        <f>基础信息!E101</f>
        <v>686.27045912077301</v>
      </c>
      <c r="N96" s="61">
        <f>基础信息!F101</f>
        <v>113.4549371467006</v>
      </c>
      <c r="O96" s="77">
        <f>求节点($C$15:$C$44,$E$15:$E$44,基础信息!$H101)*基础信息!$G101*基础信息!I101</f>
        <v>0</v>
      </c>
      <c r="P96" s="77">
        <f>求节点($C$15:$C$44,$E$15:$E$44,基础信息!$H101)*基础信息!$G101*基础信息!J101</f>
        <v>0</v>
      </c>
      <c r="Q96" s="77">
        <f>求节点($C$15:$C$44,$E$15:$E$44,基础信息!$H101)*基础信息!$G101*基础信息!K101</f>
        <v>0</v>
      </c>
      <c r="R96" s="77">
        <f>求节点($C$15:$C$44,$E$15:$E$44,基础信息!$H101)*基础信息!$G101*基础信息!L101</f>
        <v>0</v>
      </c>
      <c r="S96" s="77">
        <f>求节点($C$15:$C$44,$E$15:$E$44,基础信息!$H101)*基础信息!$G101*基础信息!M101</f>
        <v>360960</v>
      </c>
      <c r="T96" s="77">
        <f t="shared" si="6"/>
        <v>360960</v>
      </c>
      <c r="U96" s="59">
        <f>基础信息!$G101*基础信息!I101*(D$4+D$5*基础信息!$H101)</f>
        <v>0</v>
      </c>
      <c r="V96" s="59">
        <f>基础信息!$G101*基础信息!J101*(E$4+E$5*基础信息!$H101)</f>
        <v>0</v>
      </c>
      <c r="W96" s="59">
        <f>基础信息!$G101*基础信息!K101*(F$4+F$5*基础信息!$H101)</f>
        <v>0</v>
      </c>
      <c r="X96" s="59">
        <f>基础信息!$G101*基础信息!L101*(G$4+G$5*基础信息!$H101)</f>
        <v>0</v>
      </c>
      <c r="Y96" s="59">
        <f>基础信息!$G101*基础信息!M101*(H$4+H$5*基础信息!$H101)</f>
        <v>180</v>
      </c>
    </row>
    <row r="97" spans="10:25" x14ac:dyDescent="0.15">
      <c r="J97" s="97">
        <f>门客经验!I97</f>
        <v>1.6387959337230251</v>
      </c>
      <c r="K97" s="66">
        <v>13</v>
      </c>
      <c r="L97" s="60">
        <f>基础信息!D102</f>
        <v>67</v>
      </c>
      <c r="M97" s="61">
        <f>基础信息!E102</f>
        <v>1426.7099622668038</v>
      </c>
      <c r="N97" s="61">
        <f>基础信息!F102</f>
        <v>124.11624751239822</v>
      </c>
      <c r="O97" s="77">
        <f>求节点($C$15:$C$44,$E$15:$E$44,基础信息!$H102)*基础信息!$G102*基础信息!I102</f>
        <v>0</v>
      </c>
      <c r="P97" s="77">
        <f>求节点($C$15:$C$44,$E$15:$E$44,基础信息!$H102)*基础信息!$G102*基础信息!J102</f>
        <v>0</v>
      </c>
      <c r="Q97" s="77">
        <f>求节点($C$15:$C$44,$E$15:$E$44,基础信息!$H102)*基础信息!$G102*基础信息!K102</f>
        <v>0</v>
      </c>
      <c r="R97" s="77">
        <f>求节点($C$15:$C$44,$E$15:$E$44,基础信息!$H102)*基础信息!$G102*基础信息!L102</f>
        <v>0</v>
      </c>
      <c r="S97" s="77">
        <f>求节点($C$15:$C$44,$E$15:$E$44,基础信息!$H102)*基础信息!$G102*基础信息!M102</f>
        <v>391040</v>
      </c>
      <c r="T97" s="77">
        <f t="shared" si="6"/>
        <v>391040</v>
      </c>
      <c r="U97" s="59">
        <f>基础信息!$G102*基础信息!I102*(D$4+D$5*基础信息!$H102)</f>
        <v>0</v>
      </c>
      <c r="V97" s="59">
        <f>基础信息!$G102*基础信息!J102*(E$4+E$5*基础信息!$H102)</f>
        <v>0</v>
      </c>
      <c r="W97" s="59">
        <f>基础信息!$G102*基础信息!K102*(F$4+F$5*基础信息!$H102)</f>
        <v>0</v>
      </c>
      <c r="X97" s="59">
        <f>基础信息!$G102*基础信息!L102*(G$4+G$5*基础信息!$H102)</f>
        <v>0</v>
      </c>
      <c r="Y97" s="59">
        <f>基础信息!$G102*基础信息!M102*(H$4+H$5*基础信息!$H102)</f>
        <v>195</v>
      </c>
    </row>
    <row r="98" spans="10:25" x14ac:dyDescent="0.15">
      <c r="J98" s="97">
        <f>门客经验!I98</f>
        <v>1.4196644682659474</v>
      </c>
      <c r="K98" s="66">
        <v>14</v>
      </c>
      <c r="L98" s="60">
        <f>基础信息!D103</f>
        <v>72</v>
      </c>
      <c r="M98" s="61">
        <f>基础信息!E103</f>
        <v>2961.6410125841235</v>
      </c>
      <c r="N98" s="61">
        <f>基础信息!F103</f>
        <v>134.91256595481366</v>
      </c>
      <c r="O98" s="77">
        <f>求节点($C$15:$C$44,$E$15:$E$44,基础信息!$H103)*基础信息!$G103*基础信息!I103</f>
        <v>0</v>
      </c>
      <c r="P98" s="77">
        <f>求节点($C$15:$C$44,$E$15:$E$44,基础信息!$H103)*基础信息!$G103*基础信息!J103</f>
        <v>0</v>
      </c>
      <c r="Q98" s="77">
        <f>求节点($C$15:$C$44,$E$15:$E$44,基础信息!$H103)*基础信息!$G103*基础信息!K103</f>
        <v>0</v>
      </c>
      <c r="R98" s="77">
        <f>求节点($C$15:$C$44,$E$15:$E$44,基础信息!$H103)*基础信息!$G103*基础信息!L103</f>
        <v>0</v>
      </c>
      <c r="S98" s="77">
        <f>求节点($C$15:$C$44,$E$15:$E$44,基础信息!$H103)*基础信息!$G103*基础信息!M103</f>
        <v>421120</v>
      </c>
      <c r="T98" s="77">
        <f t="shared" si="6"/>
        <v>421120</v>
      </c>
      <c r="U98" s="59">
        <f>基础信息!$G103*基础信息!I103*(D$4+D$5*基础信息!$H103)</f>
        <v>0</v>
      </c>
      <c r="V98" s="59">
        <f>基础信息!$G103*基础信息!J103*(E$4+E$5*基础信息!$H103)</f>
        <v>0</v>
      </c>
      <c r="W98" s="59">
        <f>基础信息!$G103*基础信息!K103*(F$4+F$5*基础信息!$H103)</f>
        <v>0</v>
      </c>
      <c r="X98" s="59">
        <f>基础信息!$G103*基础信息!L103*(G$4+G$5*基础信息!$H103)</f>
        <v>0</v>
      </c>
      <c r="Y98" s="59">
        <f>基础信息!$G103*基础信息!M103*(H$4+H$5*基础信息!$H103)</f>
        <v>210</v>
      </c>
    </row>
    <row r="99" spans="10:25" x14ac:dyDescent="0.15">
      <c r="J99" s="97">
        <f>门客经验!I99</f>
        <v>2.821418860619278</v>
      </c>
      <c r="K99" s="66">
        <v>15</v>
      </c>
      <c r="L99" s="60">
        <f>基础信息!D104</f>
        <v>77</v>
      </c>
      <c r="M99" s="61">
        <f>基础信息!E104</f>
        <v>6139.6022012692774</v>
      </c>
      <c r="N99" s="61">
        <f>基础信息!F104</f>
        <v>145.53468456757108</v>
      </c>
      <c r="O99" s="77">
        <f>求节点($C$15:$C$44,$E$15:$E$44,基础信息!$H104)*基础信息!$G104*基础信息!I104</f>
        <v>0</v>
      </c>
      <c r="P99" s="77">
        <f>求节点($C$15:$C$44,$E$15:$E$44,基础信息!$H104)*基础信息!$G104*基础信息!J104</f>
        <v>0</v>
      </c>
      <c r="Q99" s="77">
        <f>求节点($C$15:$C$44,$E$15:$E$44,基础信息!$H104)*基础信息!$G104*基础信息!K104</f>
        <v>0</v>
      </c>
      <c r="R99" s="77">
        <f>求节点($C$15:$C$44,$E$15:$E$44,基础信息!$H104)*基础信息!$G104*基础信息!L104</f>
        <v>0</v>
      </c>
      <c r="S99" s="77">
        <f>求节点($C$15:$C$44,$E$15:$E$44,基础信息!$H104)*基础信息!$G104*基础信息!M104</f>
        <v>451200</v>
      </c>
      <c r="T99" s="77">
        <f t="shared" si="6"/>
        <v>451200</v>
      </c>
      <c r="U99" s="59">
        <f>基础信息!$G104*基础信息!I104*(D$4+D$5*基础信息!$H104)</f>
        <v>0</v>
      </c>
      <c r="V99" s="59">
        <f>基础信息!$G104*基础信息!J104*(E$4+E$5*基础信息!$H104)</f>
        <v>0</v>
      </c>
      <c r="W99" s="59">
        <f>基础信息!$G104*基础信息!K104*(F$4+F$5*基础信息!$H104)</f>
        <v>0</v>
      </c>
      <c r="X99" s="59">
        <f>基础信息!$G104*基础信息!L104*(G$4+G$5*基础信息!$H104)</f>
        <v>0</v>
      </c>
      <c r="Y99" s="59">
        <f>基础信息!$G104*基础信息!M104*(H$4+H$5*基础信息!$H104)</f>
        <v>225</v>
      </c>
    </row>
    <row r="100" spans="10:25" x14ac:dyDescent="0.15">
      <c r="J100" s="97">
        <f>门客经验!I100</f>
        <v>4.1494868673298102</v>
      </c>
      <c r="K100" s="66">
        <v>16</v>
      </c>
      <c r="L100" s="60">
        <f>基础信息!D105</f>
        <v>80</v>
      </c>
      <c r="M100" s="61">
        <f>基础信息!E105</f>
        <v>9502.5750000000007</v>
      </c>
      <c r="N100" s="61">
        <f>基础信息!F105</f>
        <v>151.0810487166913</v>
      </c>
      <c r="O100" s="77">
        <f>求节点($C$15:$C$44,$E$15:$E$44,基础信息!$H105)*基础信息!$G105*基础信息!I105</f>
        <v>0</v>
      </c>
      <c r="P100" s="77">
        <f>求节点($C$15:$C$44,$E$15:$E$44,基础信息!$H105)*基础信息!$G105*基础信息!J105</f>
        <v>0</v>
      </c>
      <c r="Q100" s="77">
        <f>求节点($C$15:$C$44,$E$15:$E$44,基础信息!$H105)*基础信息!$G105*基础信息!K105</f>
        <v>0</v>
      </c>
      <c r="R100" s="77">
        <f>求节点($C$15:$C$44,$E$15:$E$44,基础信息!$H105)*基础信息!$G105*基础信息!L105</f>
        <v>0</v>
      </c>
      <c r="S100" s="77">
        <f>求节点($C$15:$C$44,$E$15:$E$44,基础信息!$H105)*基础信息!$G105*基础信息!M105</f>
        <v>481280</v>
      </c>
      <c r="T100" s="77">
        <f t="shared" si="6"/>
        <v>481280</v>
      </c>
      <c r="U100" s="59">
        <f>基础信息!$G105*基础信息!I105*(D$4+D$5*基础信息!$H105)</f>
        <v>0</v>
      </c>
      <c r="V100" s="59">
        <f>基础信息!$G105*基础信息!J105*(E$4+E$5*基础信息!$H105)</f>
        <v>0</v>
      </c>
      <c r="W100" s="59">
        <f>基础信息!$G105*基础信息!K105*(F$4+F$5*基础信息!$H105)</f>
        <v>0</v>
      </c>
      <c r="X100" s="59">
        <f>基础信息!$G105*基础信息!L105*(G$4+G$5*基础信息!$H105)</f>
        <v>0</v>
      </c>
      <c r="Y100" s="59">
        <f>基础信息!$G105*基础信息!M105*(H$4+H$5*基础信息!$H105)</f>
        <v>240</v>
      </c>
    </row>
  </sheetData>
  <mergeCells count="10">
    <mergeCell ref="O83:S83"/>
    <mergeCell ref="O3:S3"/>
    <mergeCell ref="O23:S23"/>
    <mergeCell ref="O43:S43"/>
    <mergeCell ref="O63:S63"/>
    <mergeCell ref="U3:Y3"/>
    <mergeCell ref="U23:Y23"/>
    <mergeCell ref="U43:Y43"/>
    <mergeCell ref="U63:Y63"/>
    <mergeCell ref="U83:Y83"/>
  </mergeCells>
  <phoneticPr fontId="1" type="noConversion"/>
  <pageMargins left="0.7" right="0.7" top="0.75" bottom="0.75" header="0.3" footer="0.3"/>
  <pageSetup paperSize="9" orientation="portrait" r:id="rId1"/>
  <ignoredErrors>
    <ignoredError sqref="E17:E43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1B3CD-C115-46B5-927E-F35FB6BF9571}">
  <sheetPr codeName="Sheet7"/>
  <dimension ref="B2:AI100"/>
  <sheetViews>
    <sheetView topLeftCell="L1" workbookViewId="0">
      <selection activeCell="AE5" sqref="AE5:AI20"/>
    </sheetView>
  </sheetViews>
  <sheetFormatPr defaultRowHeight="11.25" x14ac:dyDescent="0.15"/>
  <cols>
    <col min="1" max="1" width="9" style="56"/>
    <col min="2" max="2" width="20.875" style="56" customWidth="1"/>
    <col min="3" max="3" width="27.25" style="56" bestFit="1" customWidth="1"/>
    <col min="4" max="10" width="9" style="56"/>
    <col min="11" max="12" width="10.5" style="56" bestFit="1" customWidth="1"/>
    <col min="13" max="13" width="8.25" style="59" bestFit="1" customWidth="1"/>
    <col min="14" max="14" width="10.5" style="59" bestFit="1" customWidth="1"/>
    <col min="15" max="19" width="6.625" style="74" customWidth="1"/>
    <col min="20" max="20" width="9" style="74" bestFit="1" customWidth="1"/>
    <col min="21" max="25" width="6.625" style="73" customWidth="1"/>
    <col min="26" max="30" width="6.625" style="59" customWidth="1"/>
    <col min="31" max="35" width="6.625" style="56" customWidth="1"/>
    <col min="36" max="16384" width="9" style="56"/>
  </cols>
  <sheetData>
    <row r="2" spans="2:35" x14ac:dyDescent="0.15">
      <c r="C2" s="64" t="s">
        <v>147</v>
      </c>
    </row>
    <row r="3" spans="2:35" x14ac:dyDescent="0.15">
      <c r="C3" s="41" t="s">
        <v>143</v>
      </c>
      <c r="D3" s="55" t="s">
        <v>8</v>
      </c>
      <c r="E3" s="55" t="s">
        <v>9</v>
      </c>
      <c r="F3" s="55" t="s">
        <v>10</v>
      </c>
      <c r="G3" s="55" t="s">
        <v>11</v>
      </c>
      <c r="H3" s="55" t="s">
        <v>12</v>
      </c>
      <c r="K3" s="66" t="s">
        <v>0</v>
      </c>
      <c r="L3" s="66"/>
      <c r="M3" s="65"/>
      <c r="N3" s="65"/>
      <c r="O3" s="126" t="s">
        <v>164</v>
      </c>
      <c r="P3" s="126"/>
      <c r="Q3" s="126"/>
      <c r="R3" s="126"/>
      <c r="S3" s="126"/>
      <c r="U3" s="126" t="s">
        <v>165</v>
      </c>
      <c r="V3" s="126"/>
      <c r="W3" s="126"/>
      <c r="X3" s="126"/>
      <c r="Y3" s="126"/>
      <c r="Z3" s="123" t="s">
        <v>166</v>
      </c>
      <c r="AA3" s="123"/>
      <c r="AB3" s="123"/>
      <c r="AC3" s="123"/>
      <c r="AD3" s="123"/>
      <c r="AE3" s="121" t="s">
        <v>302</v>
      </c>
      <c r="AF3" s="121"/>
      <c r="AG3" s="121"/>
      <c r="AH3" s="121"/>
      <c r="AI3" s="121"/>
    </row>
    <row r="4" spans="2:35" x14ac:dyDescent="0.15">
      <c r="C4" s="6" t="s">
        <v>142</v>
      </c>
      <c r="D4" s="55">
        <v>0</v>
      </c>
      <c r="E4" s="55">
        <v>1</v>
      </c>
      <c r="F4" s="55">
        <v>1</v>
      </c>
      <c r="G4" s="55">
        <v>2</v>
      </c>
      <c r="H4" s="55">
        <v>2</v>
      </c>
      <c r="K4" s="66" t="s">
        <v>21</v>
      </c>
      <c r="L4" s="66" t="s">
        <v>121</v>
      </c>
      <c r="M4" s="65" t="s">
        <v>122</v>
      </c>
      <c r="N4" s="65" t="s">
        <v>103</v>
      </c>
      <c r="O4" s="74" t="s">
        <v>104</v>
      </c>
      <c r="P4" s="74" t="s">
        <v>105</v>
      </c>
      <c r="Q4" s="74" t="s">
        <v>106</v>
      </c>
      <c r="R4" s="74" t="s">
        <v>107</v>
      </c>
      <c r="S4" s="74" t="s">
        <v>108</v>
      </c>
      <c r="T4" s="74" t="s">
        <v>171</v>
      </c>
      <c r="U4" s="73" t="s">
        <v>104</v>
      </c>
      <c r="V4" s="73" t="s">
        <v>105</v>
      </c>
      <c r="W4" s="73" t="s">
        <v>106</v>
      </c>
      <c r="X4" s="73" t="s">
        <v>107</v>
      </c>
      <c r="Y4" s="73" t="s">
        <v>108</v>
      </c>
      <c r="Z4" s="59" t="s">
        <v>104</v>
      </c>
      <c r="AA4" s="59" t="s">
        <v>105</v>
      </c>
      <c r="AB4" s="59" t="s">
        <v>106</v>
      </c>
      <c r="AC4" s="59" t="s">
        <v>107</v>
      </c>
      <c r="AD4" s="59" t="s">
        <v>108</v>
      </c>
      <c r="AE4" s="110" t="s">
        <v>104</v>
      </c>
      <c r="AF4" s="110" t="s">
        <v>105</v>
      </c>
      <c r="AG4" s="110" t="s">
        <v>106</v>
      </c>
      <c r="AH4" s="110" t="s">
        <v>107</v>
      </c>
      <c r="AI4" s="110" t="s">
        <v>108</v>
      </c>
    </row>
    <row r="5" spans="2:35" x14ac:dyDescent="0.15">
      <c r="C5" s="6" t="s">
        <v>144</v>
      </c>
      <c r="D5" s="71">
        <v>0.6</v>
      </c>
      <c r="E5" s="67">
        <v>0.6</v>
      </c>
      <c r="F5" s="67">
        <v>0.6</v>
      </c>
      <c r="G5" s="67">
        <v>0.6</v>
      </c>
      <c r="H5" s="67">
        <v>0.6</v>
      </c>
      <c r="K5" s="66">
        <v>1</v>
      </c>
      <c r="L5" s="60">
        <f>基础信息!D10</f>
        <v>16</v>
      </c>
      <c r="M5" s="61">
        <f>基础信息!E10</f>
        <v>2.5387719203926467</v>
      </c>
      <c r="N5" s="61">
        <f>基础信息!F10</f>
        <v>18.226342304552581</v>
      </c>
      <c r="O5" s="77">
        <f>MAX(基础信息!$G10*基础信息!I10*基础信息!N10*INDEX(D$32:D$34,基础信息!S10),O4)</f>
        <v>0</v>
      </c>
      <c r="P5" s="77">
        <f>MAX(基础信息!$G10*基础信息!J10*基础信息!O10*INDEX(E$32:E$34,基础信息!T10),P4)</f>
        <v>0</v>
      </c>
      <c r="Q5" s="77">
        <f>MAX(基础信息!$G10*基础信息!K10*基础信息!P10*INDEX(F$32:F$34,基础信息!U10),Q4)</f>
        <v>0</v>
      </c>
      <c r="R5" s="77">
        <f>MAX(基础信息!$G10*基础信息!L10*基础信息!Q10*INDEX(G$32:G$34,基础信息!V10),R4)</f>
        <v>0</v>
      </c>
      <c r="S5" s="77">
        <f>MAX(基础信息!$G10*基础信息!M10*基础信息!R10*INDEX(H$32:H$34,基础信息!W10),S4)</f>
        <v>0</v>
      </c>
      <c r="T5" s="77">
        <f>SUM(O5:S5)</f>
        <v>0</v>
      </c>
      <c r="U5" s="73">
        <f>基础信息!N10*INDEX(D$8:D$10,基础信息!S10)*基础信息!I10</f>
        <v>0</v>
      </c>
      <c r="V5" s="73">
        <f>基础信息!O10*INDEX(E$8:E$10,基础信息!T10)*基础信息!J10</f>
        <v>0</v>
      </c>
      <c r="W5" s="73">
        <f>基础信息!P10*INDEX(F$8:F$10,基础信息!U10)*基础信息!K10</f>
        <v>0</v>
      </c>
      <c r="X5" s="73">
        <f>基础信息!Q10*INDEX(G$8:G$10,基础信息!V10)*基础信息!L10</f>
        <v>0</v>
      </c>
      <c r="Y5" s="73">
        <f>基础信息!R10*INDEX(H$8:H$10,基础信息!W10)*基础信息!M10</f>
        <v>0</v>
      </c>
      <c r="Z5" s="59">
        <f>U5*门客升级!U5</f>
        <v>0</v>
      </c>
      <c r="AA5" s="59">
        <f>V5*门客升级!V5</f>
        <v>0</v>
      </c>
      <c r="AB5" s="59">
        <f>W5*门客升级!W5</f>
        <v>0</v>
      </c>
      <c r="AC5" s="59">
        <f>X5*门客升级!X5</f>
        <v>0</v>
      </c>
      <c r="AD5" s="59">
        <f>Y5*门客升级!Y5</f>
        <v>0</v>
      </c>
      <c r="AE5" s="56">
        <f>INDEX(门客实力!L$5:L$7,基础信息!S10)</f>
        <v>100</v>
      </c>
      <c r="AF5" s="109">
        <f>INDEX(门客实力!M$5:M$7,基础信息!T10)</f>
        <v>500</v>
      </c>
      <c r="AG5" s="109">
        <f>INDEX(门客实力!N$5:N$7,基础信息!U10)</f>
        <v>1000</v>
      </c>
      <c r="AH5" s="109">
        <f>INDEX(门客实力!O$5:O$7,基础信息!V10)</f>
        <v>2000</v>
      </c>
      <c r="AI5" s="109">
        <f>INDEX(门客实力!P$5:P$7,基础信息!W10)</f>
        <v>5000</v>
      </c>
    </row>
    <row r="6" spans="2:35" x14ac:dyDescent="0.15">
      <c r="C6" s="6" t="s">
        <v>145</v>
      </c>
      <c r="D6" s="71">
        <v>0.3</v>
      </c>
      <c r="E6" s="67">
        <v>0.3</v>
      </c>
      <c r="F6" s="67">
        <v>0.3</v>
      </c>
      <c r="G6" s="67">
        <v>0.3</v>
      </c>
      <c r="H6" s="67">
        <v>0.3</v>
      </c>
      <c r="K6" s="66">
        <v>2</v>
      </c>
      <c r="L6" s="60">
        <f>基础信息!D11</f>
        <v>19.5</v>
      </c>
      <c r="M6" s="61">
        <f>基础信息!E11</f>
        <v>4.8228975321654577</v>
      </c>
      <c r="N6" s="61">
        <f>基础信息!F11</f>
        <v>25.408961498441148</v>
      </c>
      <c r="O6" s="77">
        <f>MAX(基础信息!$G11*基础信息!I11*基础信息!N11*INDEX(D$32:D$34,基础信息!S11),O5)</f>
        <v>0</v>
      </c>
      <c r="P6" s="77">
        <f>MAX(基础信息!$G11*基础信息!J11*基础信息!O11*INDEX(E$32:E$34,基础信息!T11),P5)</f>
        <v>0</v>
      </c>
      <c r="Q6" s="77">
        <f>MAX(基础信息!$G11*基础信息!K11*基础信息!P11*INDEX(F$32:F$34,基础信息!U11),Q5)</f>
        <v>0</v>
      </c>
      <c r="R6" s="77">
        <f>MAX(基础信息!$G11*基础信息!L11*基础信息!Q11*INDEX(G$32:G$34,基础信息!V11),R5)</f>
        <v>0</v>
      </c>
      <c r="S6" s="77">
        <f>MAX(基础信息!$G11*基础信息!M11*基础信息!R11*INDEX(H$32:H$34,基础信息!W11),S5)</f>
        <v>0</v>
      </c>
      <c r="T6" s="77">
        <f t="shared" ref="T6:T20" si="0">SUM(O6:S6)</f>
        <v>0</v>
      </c>
      <c r="U6" s="73">
        <f>基础信息!N11*INDEX(D$8:D$10,基础信息!S11)*基础信息!I11</f>
        <v>0</v>
      </c>
      <c r="V6" s="73">
        <f>基础信息!O11*INDEX(E$8:E$10,基础信息!T11)*基础信息!J11</f>
        <v>0</v>
      </c>
      <c r="W6" s="73">
        <f>基础信息!P11*INDEX(F$8:F$10,基础信息!U11)*基础信息!K11</f>
        <v>0</v>
      </c>
      <c r="X6" s="73">
        <f>基础信息!Q11*INDEX(G$8:G$10,基础信息!V11)*基础信息!L11</f>
        <v>0</v>
      </c>
      <c r="Y6" s="73">
        <f>基础信息!R11*INDEX(H$8:H$10,基础信息!W11)*基础信息!M11</f>
        <v>0</v>
      </c>
      <c r="Z6" s="59">
        <f>U6*门客升级!U6</f>
        <v>0</v>
      </c>
      <c r="AA6" s="59">
        <f>V6*门客升级!V6</f>
        <v>0</v>
      </c>
      <c r="AB6" s="59">
        <f>W6*门客升级!W6</f>
        <v>0</v>
      </c>
      <c r="AC6" s="59">
        <f>X6*门客升级!X6</f>
        <v>0</v>
      </c>
      <c r="AD6" s="59">
        <f>Y6*门客升级!Y6</f>
        <v>0</v>
      </c>
      <c r="AE6" s="109">
        <f>INDEX(门客实力!L$5:L$7,基础信息!S11)</f>
        <v>100</v>
      </c>
      <c r="AF6" s="109">
        <f>INDEX(门客实力!M$5:M$7,基础信息!T11)</f>
        <v>500</v>
      </c>
      <c r="AG6" s="109">
        <f>INDEX(门客实力!N$5:N$7,基础信息!U11)</f>
        <v>1000</v>
      </c>
      <c r="AH6" s="109">
        <f>INDEX(门客实力!O$5:O$7,基础信息!V11)</f>
        <v>2000</v>
      </c>
      <c r="AI6" s="109">
        <f>INDEX(门客实力!P$5:P$7,基础信息!W11)</f>
        <v>5000</v>
      </c>
    </row>
    <row r="7" spans="2:35" x14ac:dyDescent="0.15">
      <c r="C7" s="6" t="s">
        <v>146</v>
      </c>
      <c r="D7" s="71">
        <v>0.1</v>
      </c>
      <c r="E7" s="67">
        <v>0.1</v>
      </c>
      <c r="F7" s="67">
        <v>0.1</v>
      </c>
      <c r="G7" s="67">
        <v>0.1</v>
      </c>
      <c r="H7" s="67">
        <v>0.1</v>
      </c>
      <c r="K7" s="66">
        <v>3</v>
      </c>
      <c r="L7" s="60">
        <f>基础信息!D12</f>
        <v>23.5</v>
      </c>
      <c r="M7" s="61">
        <f>基础信息!E12</f>
        <v>9.6550138771594227</v>
      </c>
      <c r="N7" s="61">
        <f>基础信息!F12</f>
        <v>34.130602806306101</v>
      </c>
      <c r="O7" s="77">
        <f>MAX(基础信息!$G12*基础信息!I12*基础信息!N12*INDEX(D$32:D$34,基础信息!S12),O6)</f>
        <v>0</v>
      </c>
      <c r="P7" s="77">
        <f>MAX(基础信息!$G12*基础信息!J12*基础信息!O12*INDEX(E$32:E$34,基础信息!T12),P6)</f>
        <v>0</v>
      </c>
      <c r="Q7" s="77">
        <f>MAX(基础信息!$G12*基础信息!K12*基础信息!P12*INDEX(F$32:F$34,基础信息!U12),Q6)</f>
        <v>0</v>
      </c>
      <c r="R7" s="77">
        <f>MAX(基础信息!$G12*基础信息!L12*基础信息!Q12*INDEX(G$32:G$34,基础信息!V12),R6)</f>
        <v>0</v>
      </c>
      <c r="S7" s="77">
        <f>MAX(基础信息!$G12*基础信息!M12*基础信息!R12*INDEX(H$32:H$34,基础信息!W12),S6)</f>
        <v>0</v>
      </c>
      <c r="T7" s="77">
        <f t="shared" si="0"/>
        <v>0</v>
      </c>
      <c r="U7" s="73">
        <f>基础信息!N12*INDEX(D$8:D$10,基础信息!S12)*基础信息!I12</f>
        <v>0</v>
      </c>
      <c r="V7" s="73">
        <f>基础信息!O12*INDEX(E$8:E$10,基础信息!T12)*基础信息!J12</f>
        <v>0</v>
      </c>
      <c r="W7" s="73">
        <f>基础信息!P12*INDEX(F$8:F$10,基础信息!U12)*基础信息!K12</f>
        <v>0</v>
      </c>
      <c r="X7" s="73">
        <f>基础信息!Q12*INDEX(G$8:G$10,基础信息!V12)*基础信息!L12</f>
        <v>0</v>
      </c>
      <c r="Y7" s="73">
        <f>基础信息!R12*INDEX(H$8:H$10,基础信息!W12)*基础信息!M12</f>
        <v>0</v>
      </c>
      <c r="Z7" s="59">
        <f>U7*门客升级!U7</f>
        <v>0</v>
      </c>
      <c r="AA7" s="59">
        <f>V7*门客升级!V7</f>
        <v>0</v>
      </c>
      <c r="AB7" s="59">
        <f>W7*门客升级!W7</f>
        <v>0</v>
      </c>
      <c r="AC7" s="59">
        <f>X7*门客升级!X7</f>
        <v>0</v>
      </c>
      <c r="AD7" s="59">
        <f>Y7*门客升级!Y7</f>
        <v>0</v>
      </c>
      <c r="AE7" s="109">
        <f>INDEX(门客实力!L$5:L$7,基础信息!S12)</f>
        <v>100</v>
      </c>
      <c r="AF7" s="109">
        <f>INDEX(门客实力!M$5:M$7,基础信息!T12)</f>
        <v>500</v>
      </c>
      <c r="AG7" s="109">
        <f>INDEX(门客实力!N$5:N$7,基础信息!U12)</f>
        <v>1000</v>
      </c>
      <c r="AH7" s="109">
        <f>INDEX(门客实力!O$5:O$7,基础信息!V12)</f>
        <v>2000</v>
      </c>
      <c r="AI7" s="109">
        <f>INDEX(门客实力!P$5:P$7,基础信息!W12)</f>
        <v>5000</v>
      </c>
    </row>
    <row r="8" spans="2:35" x14ac:dyDescent="0.15">
      <c r="B8" s="125" t="s">
        <v>152</v>
      </c>
      <c r="C8" s="6" t="s">
        <v>153</v>
      </c>
      <c r="D8" s="62">
        <v>0</v>
      </c>
      <c r="E8" s="62">
        <v>0.1</v>
      </c>
      <c r="F8" s="62">
        <v>0.1</v>
      </c>
      <c r="G8" s="62">
        <v>0.1</v>
      </c>
      <c r="H8" s="62">
        <v>0.1</v>
      </c>
      <c r="K8" s="66">
        <v>4</v>
      </c>
      <c r="L8" s="60">
        <f>基础信息!D13</f>
        <v>27.5</v>
      </c>
      <c r="M8" s="61">
        <f>基础信息!E13</f>
        <v>18.870223137985384</v>
      </c>
      <c r="N8" s="61">
        <f>基础信息!F13</f>
        <v>43.121594697945582</v>
      </c>
      <c r="O8" s="77">
        <f>MAX(基础信息!$G13*基础信息!I13*基础信息!N13*INDEX(D$32:D$34,基础信息!S13),O7)</f>
        <v>0</v>
      </c>
      <c r="P8" s="77">
        <f>MAX(基础信息!$G13*基础信息!J13*基础信息!O13*INDEX(E$32:E$34,基础信息!T13),P7)</f>
        <v>0</v>
      </c>
      <c r="Q8" s="77">
        <f>MAX(基础信息!$G13*基础信息!K13*基础信息!P13*INDEX(F$32:F$34,基础信息!U13),Q7)</f>
        <v>0</v>
      </c>
      <c r="R8" s="77">
        <f>MAX(基础信息!$G13*基础信息!L13*基础信息!Q13*INDEX(G$32:G$34,基础信息!V13),R7)</f>
        <v>0</v>
      </c>
      <c r="S8" s="77">
        <f>MAX(基础信息!$G13*基础信息!M13*基础信息!R13*INDEX(H$32:H$34,基础信息!W13),S7)</f>
        <v>0</v>
      </c>
      <c r="T8" s="77">
        <f t="shared" si="0"/>
        <v>0</v>
      </c>
      <c r="U8" s="73">
        <f>基础信息!N13*INDEX(D$8:D$10,基础信息!S13)*基础信息!I13</f>
        <v>0</v>
      </c>
      <c r="V8" s="73">
        <f>基础信息!O13*INDEX(E$8:E$10,基础信息!T13)*基础信息!J13</f>
        <v>0</v>
      </c>
      <c r="W8" s="73">
        <f>基础信息!P13*INDEX(F$8:F$10,基础信息!U13)*基础信息!K13</f>
        <v>0</v>
      </c>
      <c r="X8" s="73">
        <f>基础信息!Q13*INDEX(G$8:G$10,基础信息!V13)*基础信息!L13</f>
        <v>0</v>
      </c>
      <c r="Y8" s="73">
        <f>基础信息!R13*INDEX(H$8:H$10,基础信息!W13)*基础信息!M13</f>
        <v>0</v>
      </c>
      <c r="Z8" s="59">
        <f>U8*门客升级!U8</f>
        <v>0</v>
      </c>
      <c r="AA8" s="59">
        <f>V8*门客升级!V8</f>
        <v>0</v>
      </c>
      <c r="AB8" s="59">
        <f>W8*门客升级!W8</f>
        <v>0</v>
      </c>
      <c r="AC8" s="59">
        <f>X8*门客升级!X8</f>
        <v>0</v>
      </c>
      <c r="AD8" s="59">
        <f>Y8*门客升级!Y8</f>
        <v>0</v>
      </c>
      <c r="AE8" s="109">
        <f>INDEX(门客实力!L$5:L$7,基础信息!S13)</f>
        <v>100</v>
      </c>
      <c r="AF8" s="109">
        <f>INDEX(门客实力!M$5:M$7,基础信息!T13)</f>
        <v>700</v>
      </c>
      <c r="AG8" s="109">
        <f>INDEX(门客实力!N$5:N$7,基础信息!U13)</f>
        <v>1000</v>
      </c>
      <c r="AH8" s="109">
        <f>INDEX(门客实力!O$5:O$7,基础信息!V13)</f>
        <v>2000</v>
      </c>
      <c r="AI8" s="109">
        <f>INDEX(门客实力!P$5:P$7,基础信息!W13)</f>
        <v>5000</v>
      </c>
    </row>
    <row r="9" spans="2:35" s="68" customFormat="1" x14ac:dyDescent="0.15">
      <c r="B9" s="125"/>
      <c r="C9" s="6" t="s">
        <v>154</v>
      </c>
      <c r="D9" s="62">
        <f>D8*2</f>
        <v>0</v>
      </c>
      <c r="E9" s="62">
        <f t="shared" ref="E9:G10" si="1">E8*2</f>
        <v>0.2</v>
      </c>
      <c r="F9" s="62">
        <f t="shared" si="1"/>
        <v>0.2</v>
      </c>
      <c r="G9" s="62">
        <f t="shared" si="1"/>
        <v>0.2</v>
      </c>
      <c r="H9" s="62">
        <f t="shared" ref="H9" si="2">H8*2</f>
        <v>0.2</v>
      </c>
      <c r="K9" s="66">
        <v>5</v>
      </c>
      <c r="L9" s="60">
        <f>基础信息!D14</f>
        <v>31.5</v>
      </c>
      <c r="M9" s="61">
        <f>基础信息!E14</f>
        <v>36.28923876358067</v>
      </c>
      <c r="N9" s="61">
        <f>基础信息!F14</f>
        <v>52.20122679843417</v>
      </c>
      <c r="O9" s="77">
        <f>MAX(基础信息!$G14*基础信息!I14*基础信息!N14*INDEX(D$32:D$34,基础信息!S14),O8)</f>
        <v>0</v>
      </c>
      <c r="P9" s="77">
        <f>MAX(基础信息!$G14*基础信息!J14*基础信息!O14*INDEX(E$32:E$34,基础信息!T14),P8)</f>
        <v>0</v>
      </c>
      <c r="Q9" s="77">
        <f>MAX(基础信息!$G14*基础信息!K14*基础信息!P14*INDEX(F$32:F$34,基础信息!U14),Q8)</f>
        <v>0</v>
      </c>
      <c r="R9" s="77">
        <f>MAX(基础信息!$G14*基础信息!L14*基础信息!Q14*INDEX(G$32:G$34,基础信息!V14),R8)</f>
        <v>0</v>
      </c>
      <c r="S9" s="77">
        <f>MAX(基础信息!$G14*基础信息!M14*基础信息!R14*INDEX(H$32:H$34,基础信息!W14),S8)</f>
        <v>0</v>
      </c>
      <c r="T9" s="77">
        <f t="shared" si="0"/>
        <v>0</v>
      </c>
      <c r="U9" s="73">
        <f>基础信息!N14*INDEX(D$8:D$10,基础信息!S14)*基础信息!I14</f>
        <v>0</v>
      </c>
      <c r="V9" s="73">
        <f>基础信息!O14*INDEX(E$8:E$10,基础信息!T14)*基础信息!J14</f>
        <v>0</v>
      </c>
      <c r="W9" s="73">
        <f>基础信息!P14*INDEX(F$8:F$10,基础信息!U14)*基础信息!K14</f>
        <v>0</v>
      </c>
      <c r="X9" s="73">
        <f>基础信息!Q14*INDEX(G$8:G$10,基础信息!V14)*基础信息!L14</f>
        <v>0</v>
      </c>
      <c r="Y9" s="73">
        <f>基础信息!R14*INDEX(H$8:H$10,基础信息!W14)*基础信息!M14</f>
        <v>0</v>
      </c>
      <c r="Z9" s="59">
        <f>U9*门客升级!U9</f>
        <v>0</v>
      </c>
      <c r="AA9" s="59">
        <f>V9*门客升级!V9</f>
        <v>0</v>
      </c>
      <c r="AB9" s="59">
        <f>W9*门客升级!W9</f>
        <v>0</v>
      </c>
      <c r="AC9" s="59">
        <f>X9*门客升级!X9</f>
        <v>0</v>
      </c>
      <c r="AD9" s="59">
        <f>Y9*门客升级!Y9</f>
        <v>0</v>
      </c>
      <c r="AE9" s="109">
        <f>INDEX(门客实力!L$5:L$7,基础信息!S14)</f>
        <v>100</v>
      </c>
      <c r="AF9" s="109">
        <f>INDEX(门客实力!M$5:M$7,基础信息!T14)</f>
        <v>1000</v>
      </c>
      <c r="AG9" s="109">
        <f>INDEX(门客实力!N$5:N$7,基础信息!U14)</f>
        <v>1000</v>
      </c>
      <c r="AH9" s="109">
        <f>INDEX(门客实力!O$5:O$7,基础信息!V14)</f>
        <v>2000</v>
      </c>
      <c r="AI9" s="109">
        <f>INDEX(门客实力!P$5:P$7,基础信息!W14)</f>
        <v>5000</v>
      </c>
    </row>
    <row r="10" spans="2:35" s="68" customFormat="1" x14ac:dyDescent="0.15">
      <c r="B10" s="125"/>
      <c r="C10" s="6" t="s">
        <v>155</v>
      </c>
      <c r="D10" s="62">
        <f>D9*2</f>
        <v>0</v>
      </c>
      <c r="E10" s="62">
        <f t="shared" si="1"/>
        <v>0.4</v>
      </c>
      <c r="F10" s="62">
        <f t="shared" si="1"/>
        <v>0.4</v>
      </c>
      <c r="G10" s="62">
        <f t="shared" si="1"/>
        <v>0.4</v>
      </c>
      <c r="H10" s="62">
        <f t="shared" ref="H10" si="3">H9*2</f>
        <v>0.4</v>
      </c>
      <c r="K10" s="66">
        <v>6</v>
      </c>
      <c r="L10" s="60">
        <f>基础信息!D15</f>
        <v>35.5</v>
      </c>
      <c r="M10" s="61">
        <f>基础信息!E15</f>
        <v>68.623430833504159</v>
      </c>
      <c r="N10" s="61">
        <f>基础信息!F15</f>
        <v>61.20919943756077</v>
      </c>
      <c r="O10" s="77">
        <f>MAX(基础信息!$G15*基础信息!I15*基础信息!N15*INDEX(D$32:D$34,基础信息!S15),O9)</f>
        <v>0</v>
      </c>
      <c r="P10" s="77">
        <f>MAX(基础信息!$G15*基础信息!J15*基础信息!O15*INDEX(E$32:E$34,基础信息!T15),P9)</f>
        <v>0</v>
      </c>
      <c r="Q10" s="77">
        <f>MAX(基础信息!$G15*基础信息!K15*基础信息!P15*INDEX(F$32:F$34,基础信息!U15),Q9)</f>
        <v>0</v>
      </c>
      <c r="R10" s="77">
        <f>MAX(基础信息!$G15*基础信息!L15*基础信息!Q15*INDEX(G$32:G$34,基础信息!V15),R9)</f>
        <v>0</v>
      </c>
      <c r="S10" s="77">
        <f>MAX(基础信息!$G15*基础信息!M15*基础信息!R15*INDEX(H$32:H$34,基础信息!W15),S9)</f>
        <v>0</v>
      </c>
      <c r="T10" s="77">
        <f t="shared" si="0"/>
        <v>0</v>
      </c>
      <c r="U10" s="73">
        <f>基础信息!N15*INDEX(D$8:D$10,基础信息!S15)*基础信息!I15</f>
        <v>0</v>
      </c>
      <c r="V10" s="73">
        <f>基础信息!O15*INDEX(E$8:E$10,基础信息!T15)*基础信息!J15</f>
        <v>0</v>
      </c>
      <c r="W10" s="73">
        <f>基础信息!P15*INDEX(F$8:F$10,基础信息!U15)*基础信息!K15</f>
        <v>0</v>
      </c>
      <c r="X10" s="73">
        <f>基础信息!Q15*INDEX(G$8:G$10,基础信息!V15)*基础信息!L15</f>
        <v>0</v>
      </c>
      <c r="Y10" s="73">
        <f>基础信息!R15*INDEX(H$8:H$10,基础信息!W15)*基础信息!M15</f>
        <v>0</v>
      </c>
      <c r="Z10" s="59">
        <f>U10*门客升级!U10</f>
        <v>0</v>
      </c>
      <c r="AA10" s="59">
        <f>V10*门客升级!V10</f>
        <v>0</v>
      </c>
      <c r="AB10" s="59">
        <f>W10*门客升级!W10</f>
        <v>0</v>
      </c>
      <c r="AC10" s="59">
        <f>X10*门客升级!X10</f>
        <v>0</v>
      </c>
      <c r="AD10" s="59">
        <f>Y10*门客升级!Y10</f>
        <v>0</v>
      </c>
      <c r="AE10" s="109">
        <f>INDEX(门客实力!L$5:L$7,基础信息!S15)</f>
        <v>100</v>
      </c>
      <c r="AF10" s="109">
        <f>INDEX(门客实力!M$5:M$7,基础信息!T15)</f>
        <v>1000</v>
      </c>
      <c r="AG10" s="109">
        <f>INDEX(门客实力!N$5:N$7,基础信息!U15)</f>
        <v>1000</v>
      </c>
      <c r="AH10" s="109">
        <f>INDEX(门客实力!O$5:O$7,基础信息!V15)</f>
        <v>2000</v>
      </c>
      <c r="AI10" s="109">
        <f>INDEX(门客实力!P$5:P$7,基础信息!W15)</f>
        <v>5000</v>
      </c>
    </row>
    <row r="11" spans="2:35" s="68" customFormat="1" x14ac:dyDescent="0.15">
      <c r="C11" s="6" t="s">
        <v>151</v>
      </c>
      <c r="D11" s="62">
        <f>D4*D10</f>
        <v>0</v>
      </c>
      <c r="E11" s="62">
        <f>E4*E10</f>
        <v>0.4</v>
      </c>
      <c r="F11" s="62">
        <f>F4*F10</f>
        <v>0.4</v>
      </c>
      <c r="G11" s="62">
        <f>G4*G10</f>
        <v>0.8</v>
      </c>
      <c r="H11" s="62">
        <f>H4*H10</f>
        <v>0.8</v>
      </c>
      <c r="K11" s="66">
        <v>7</v>
      </c>
      <c r="L11" s="60">
        <f>基础信息!D16</f>
        <v>39.5</v>
      </c>
      <c r="M11" s="61">
        <f>基础信息!E16</f>
        <v>124.62134549299002</v>
      </c>
      <c r="N11" s="61">
        <f>基础信息!F16</f>
        <v>69.722501590522299</v>
      </c>
      <c r="O11" s="77">
        <f>MAX(基础信息!$G16*基础信息!I16*基础信息!N16*INDEX(D$32:D$34,基础信息!S16),O10)</f>
        <v>0</v>
      </c>
      <c r="P11" s="77">
        <f>MAX(基础信息!$G16*基础信息!J16*基础信息!O16*INDEX(E$32:E$34,基础信息!T16),P10)</f>
        <v>0</v>
      </c>
      <c r="Q11" s="77">
        <f>MAX(基础信息!$G16*基础信息!K16*基础信息!P16*INDEX(F$32:F$34,基础信息!U16),Q10)</f>
        <v>10500</v>
      </c>
      <c r="R11" s="77">
        <f>MAX(基础信息!$G16*基础信息!L16*基础信息!Q16*INDEX(G$32:G$34,基础信息!V16),R10)</f>
        <v>0</v>
      </c>
      <c r="S11" s="77">
        <f>MAX(基础信息!$G16*基础信息!M16*基础信息!R16*INDEX(H$32:H$34,基础信息!W16),S10)</f>
        <v>0</v>
      </c>
      <c r="T11" s="77">
        <f t="shared" si="0"/>
        <v>10500</v>
      </c>
      <c r="U11" s="73">
        <f>基础信息!N16*INDEX(D$8:D$10,基础信息!S16)*基础信息!I16</f>
        <v>0</v>
      </c>
      <c r="V11" s="73">
        <f>基础信息!O16*INDEX(E$8:E$10,基础信息!T16)*基础信息!J16</f>
        <v>0</v>
      </c>
      <c r="W11" s="73">
        <f>基础信息!P16*INDEX(F$8:F$10,基础信息!U16)*基础信息!K16</f>
        <v>7.5000000000000011E-2</v>
      </c>
      <c r="X11" s="73">
        <f>基础信息!Q16*INDEX(G$8:G$10,基础信息!V16)*基础信息!L16</f>
        <v>0</v>
      </c>
      <c r="Y11" s="73">
        <f>基础信息!R16*INDEX(H$8:H$10,基础信息!W16)*基础信息!M16</f>
        <v>0</v>
      </c>
      <c r="Z11" s="59">
        <f>U11*门客升级!U11</f>
        <v>0</v>
      </c>
      <c r="AA11" s="59">
        <f>V11*门客升级!V11</f>
        <v>0</v>
      </c>
      <c r="AB11" s="59">
        <f>W11*门客升级!W11</f>
        <v>3.2287500000000002</v>
      </c>
      <c r="AC11" s="59">
        <f>X11*门客升级!X11</f>
        <v>0</v>
      </c>
      <c r="AD11" s="59">
        <f>Y11*门客升级!Y11</f>
        <v>0</v>
      </c>
      <c r="AE11" s="109">
        <f>INDEX(门客实力!L$5:L$7,基础信息!S16)</f>
        <v>100</v>
      </c>
      <c r="AF11" s="109">
        <f>INDEX(门客实力!M$5:M$7,基础信息!T16)</f>
        <v>1000</v>
      </c>
      <c r="AG11" s="109">
        <f>INDEX(门客实力!N$5:N$7,基础信息!U16)</f>
        <v>1500</v>
      </c>
      <c r="AH11" s="109">
        <f>INDEX(门客实力!O$5:O$7,基础信息!V16)</f>
        <v>2000</v>
      </c>
      <c r="AI11" s="109">
        <f>INDEX(门客实力!P$5:P$7,基础信息!W16)</f>
        <v>5000</v>
      </c>
    </row>
    <row r="12" spans="2:35" s="68" customFormat="1" x14ac:dyDescent="0.15">
      <c r="C12" s="6"/>
      <c r="D12" s="62"/>
      <c r="E12" s="62"/>
      <c r="F12" s="62"/>
      <c r="G12" s="62"/>
      <c r="H12" s="62"/>
      <c r="K12" s="66">
        <v>8</v>
      </c>
      <c r="L12" s="60">
        <f>基础信息!D17</f>
        <v>43.5</v>
      </c>
      <c r="M12" s="61">
        <f>基础信息!E17</f>
        <v>225.68304366827394</v>
      </c>
      <c r="N12" s="61">
        <f>基础信息!F17</f>
        <v>78.238948396428512</v>
      </c>
      <c r="O12" s="77">
        <f>MAX(基础信息!$G17*基础信息!I17*基础信息!N17*INDEX(D$32:D$34,基础信息!S17),O11)</f>
        <v>0</v>
      </c>
      <c r="P12" s="77">
        <f>MAX(基础信息!$G17*基础信息!J17*基础信息!O17*INDEX(E$32:E$34,基础信息!T17),P11)</f>
        <v>0</v>
      </c>
      <c r="Q12" s="77">
        <f>MAX(基础信息!$G17*基础信息!K17*基础信息!P17*INDEX(F$32:F$34,基础信息!U17),Q11)</f>
        <v>16000</v>
      </c>
      <c r="R12" s="77">
        <f>MAX(基础信息!$G17*基础信息!L17*基础信息!Q17*INDEX(G$32:G$34,基础信息!V17),R11)</f>
        <v>0</v>
      </c>
      <c r="S12" s="77">
        <f>MAX(基础信息!$G17*基础信息!M17*基础信息!R17*INDEX(H$32:H$34,基础信息!W17),S11)</f>
        <v>0</v>
      </c>
      <c r="T12" s="77">
        <f t="shared" si="0"/>
        <v>16000</v>
      </c>
      <c r="U12" s="73">
        <f>基础信息!N17*INDEX(D$8:D$10,基础信息!S17)*基础信息!I17</f>
        <v>0</v>
      </c>
      <c r="V12" s="73">
        <f>基础信息!O17*INDEX(E$8:E$10,基础信息!T17)*基础信息!J17</f>
        <v>0</v>
      </c>
      <c r="W12" s="73">
        <f>基础信息!P17*INDEX(F$8:F$10,基础信息!U17)*基础信息!K17</f>
        <v>0.1</v>
      </c>
      <c r="X12" s="73">
        <f>基础信息!Q17*INDEX(G$8:G$10,基础信息!V17)*基础信息!L17</f>
        <v>0</v>
      </c>
      <c r="Y12" s="73">
        <f>基础信息!R17*INDEX(H$8:H$10,基础信息!W17)*基础信息!M17</f>
        <v>0</v>
      </c>
      <c r="Z12" s="59">
        <f>U12*门客升级!U12</f>
        <v>0</v>
      </c>
      <c r="AA12" s="59">
        <f>V12*门客升级!V12</f>
        <v>0</v>
      </c>
      <c r="AB12" s="59">
        <f>W12*门客升级!W12</f>
        <v>3.5200000000000005</v>
      </c>
      <c r="AC12" s="59">
        <f>X12*门客升级!X12</f>
        <v>0</v>
      </c>
      <c r="AD12" s="59">
        <f>Y12*门客升级!Y12</f>
        <v>0</v>
      </c>
      <c r="AE12" s="109">
        <f>INDEX(门客实力!L$5:L$7,基础信息!S17)</f>
        <v>100</v>
      </c>
      <c r="AF12" s="109">
        <f>INDEX(门客实力!M$5:M$7,基础信息!T17)</f>
        <v>1000</v>
      </c>
      <c r="AG12" s="109">
        <f>INDEX(门客实力!N$5:N$7,基础信息!U17)</f>
        <v>1500</v>
      </c>
      <c r="AH12" s="109">
        <f>INDEX(门客实力!O$5:O$7,基础信息!V17)</f>
        <v>2000</v>
      </c>
      <c r="AI12" s="109">
        <f>INDEX(门客实力!P$5:P$7,基础信息!W17)</f>
        <v>5000</v>
      </c>
    </row>
    <row r="13" spans="2:35" s="68" customFormat="1" x14ac:dyDescent="0.15">
      <c r="C13" s="67" t="s">
        <v>148</v>
      </c>
      <c r="D13" s="67">
        <f>门客升级!D7</f>
        <v>4</v>
      </c>
      <c r="E13" s="67">
        <f>门客升级!E7</f>
        <v>5</v>
      </c>
      <c r="F13" s="67">
        <f>门客升级!F7</f>
        <v>8</v>
      </c>
      <c r="G13" s="67">
        <f>门客升级!G7</f>
        <v>12</v>
      </c>
      <c r="H13" s="67">
        <f>门客升级!H7</f>
        <v>18</v>
      </c>
      <c r="K13" s="66">
        <v>9</v>
      </c>
      <c r="L13" s="60">
        <f>基础信息!D18</f>
        <v>47.5</v>
      </c>
      <c r="M13" s="61">
        <f>基础信息!E18</f>
        <v>407.83539826846607</v>
      </c>
      <c r="N13" s="61">
        <f>基础信息!F18</f>
        <v>86.747293257864058</v>
      </c>
      <c r="O13" s="77">
        <f>MAX(基础信息!$G18*基础信息!I18*基础信息!N18*INDEX(D$32:D$34,基础信息!S18),O12)</f>
        <v>0</v>
      </c>
      <c r="P13" s="77">
        <f>MAX(基础信息!$G18*基础信息!J18*基础信息!O18*INDEX(E$32:E$34,基础信息!T18),P12)</f>
        <v>0</v>
      </c>
      <c r="Q13" s="77">
        <f>MAX(基础信息!$G18*基础信息!K18*基础信息!P18*INDEX(F$32:F$34,基础信息!U18),Q12)</f>
        <v>27000</v>
      </c>
      <c r="R13" s="77">
        <f>MAX(基础信息!$G18*基础信息!L18*基础信息!Q18*INDEX(G$32:G$34,基础信息!V18),R12)</f>
        <v>0</v>
      </c>
      <c r="S13" s="77">
        <f>MAX(基础信息!$G18*基础信息!M18*基础信息!R18*INDEX(H$32:H$34,基础信息!W18),S12)</f>
        <v>0</v>
      </c>
      <c r="T13" s="77">
        <f t="shared" si="0"/>
        <v>27000</v>
      </c>
      <c r="U13" s="73">
        <f>基础信息!N18*INDEX(D$8:D$10,基础信息!S18)*基础信息!I18</f>
        <v>0</v>
      </c>
      <c r="V13" s="73">
        <f>基础信息!O18*INDEX(E$8:E$10,基础信息!T18)*基础信息!J18</f>
        <v>0</v>
      </c>
      <c r="W13" s="73">
        <f>基础信息!P18*INDEX(F$8:F$10,基础信息!U18)*基础信息!K18</f>
        <v>0.1</v>
      </c>
      <c r="X13" s="73">
        <f>基础信息!Q18*INDEX(G$8:G$10,基础信息!V18)*基础信息!L18</f>
        <v>0</v>
      </c>
      <c r="Y13" s="73">
        <f>基础信息!R18*INDEX(H$8:H$10,基础信息!W18)*基础信息!M18</f>
        <v>0</v>
      </c>
      <c r="Z13" s="59">
        <f>U13*门客升级!U13</f>
        <v>0</v>
      </c>
      <c r="AA13" s="59">
        <f>V13*门客升级!V13</f>
        <v>0</v>
      </c>
      <c r="AB13" s="59">
        <f>W13*门客升级!W13</f>
        <v>2.1150000000000002</v>
      </c>
      <c r="AC13" s="59">
        <f>X13*门客升级!X13</f>
        <v>0</v>
      </c>
      <c r="AD13" s="59">
        <f>Y13*门客升级!Y13</f>
        <v>0</v>
      </c>
      <c r="AE13" s="109">
        <f>INDEX(门客实力!L$5:L$7,基础信息!S18)</f>
        <v>100</v>
      </c>
      <c r="AF13" s="109">
        <f>INDEX(门客实力!M$5:M$7,基础信息!T18)</f>
        <v>1000</v>
      </c>
      <c r="AG13" s="109">
        <f>INDEX(门客实力!N$5:N$7,基础信息!U18)</f>
        <v>2000</v>
      </c>
      <c r="AH13" s="109">
        <f>INDEX(门客实力!O$5:O$7,基础信息!V18)</f>
        <v>2000</v>
      </c>
      <c r="AI13" s="109">
        <f>INDEX(门客实力!P$5:P$7,基础信息!W18)</f>
        <v>5000</v>
      </c>
    </row>
    <row r="14" spans="2:35" s="68" customFormat="1" x14ac:dyDescent="0.15">
      <c r="C14" s="67" t="s">
        <v>149</v>
      </c>
      <c r="D14" s="63">
        <f>D11*D13</f>
        <v>0</v>
      </c>
      <c r="E14" s="63">
        <f t="shared" ref="E14:G14" si="4">E11*E13</f>
        <v>2</v>
      </c>
      <c r="F14" s="63">
        <f t="shared" si="4"/>
        <v>3.2</v>
      </c>
      <c r="G14" s="63">
        <f t="shared" si="4"/>
        <v>9.6000000000000014</v>
      </c>
      <c r="H14" s="63">
        <f>H11*H13</f>
        <v>14.4</v>
      </c>
      <c r="K14" s="66">
        <v>10</v>
      </c>
      <c r="L14" s="60">
        <f>基础信息!D19</f>
        <v>52</v>
      </c>
      <c r="M14" s="61">
        <f>基础信息!E19</f>
        <v>789.85301886939453</v>
      </c>
      <c r="N14" s="61">
        <f>基础信息!F19</f>
        <v>96.265821375882837</v>
      </c>
      <c r="O14" s="77">
        <f>MAX(基础信息!$G19*基础信息!I19*基础信息!N19*INDEX(D$32:D$34,基础信息!S19),O13)</f>
        <v>0</v>
      </c>
      <c r="P14" s="77">
        <f>MAX(基础信息!$G19*基础信息!J19*基础信息!O19*INDEX(E$32:E$34,基础信息!T19),P13)</f>
        <v>0</v>
      </c>
      <c r="Q14" s="77">
        <f>MAX(基础信息!$G19*基础信息!K19*基础信息!P19*INDEX(F$32:F$34,基础信息!U19),Q13)</f>
        <v>27000</v>
      </c>
      <c r="R14" s="77">
        <f>MAX(基础信息!$G19*基础信息!L19*基础信息!Q19*INDEX(G$32:G$34,基础信息!V19),R13)</f>
        <v>0</v>
      </c>
      <c r="S14" s="77">
        <f>MAX(基础信息!$G19*基础信息!M19*基础信息!R19*INDEX(H$32:H$34,基础信息!W19),S13)</f>
        <v>0</v>
      </c>
      <c r="T14" s="77">
        <f t="shared" si="0"/>
        <v>27000</v>
      </c>
      <c r="U14" s="73">
        <f>基础信息!N19*INDEX(D$8:D$10,基础信息!S19)*基础信息!I19</f>
        <v>0</v>
      </c>
      <c r="V14" s="73">
        <f>基础信息!O19*INDEX(E$8:E$10,基础信息!T19)*基础信息!J19</f>
        <v>0</v>
      </c>
      <c r="W14" s="73">
        <f>基础信息!P19*INDEX(F$8:F$10,基础信息!U19)*基础信息!K19</f>
        <v>0</v>
      </c>
      <c r="X14" s="73">
        <f>基础信息!Q19*INDEX(G$8:G$10,基础信息!V19)*基础信息!L19</f>
        <v>0</v>
      </c>
      <c r="Y14" s="73">
        <f>基础信息!R19*INDEX(H$8:H$10,基础信息!W19)*基础信息!M19</f>
        <v>0</v>
      </c>
      <c r="Z14" s="59">
        <f>U14*门客升级!U14</f>
        <v>0</v>
      </c>
      <c r="AA14" s="59">
        <f>V14*门客升级!V14</f>
        <v>0</v>
      </c>
      <c r="AB14" s="59">
        <f>W14*门客升级!W14</f>
        <v>0</v>
      </c>
      <c r="AC14" s="59">
        <f>X14*门客升级!X14</f>
        <v>0</v>
      </c>
      <c r="AD14" s="59">
        <f>Y14*门客升级!Y14</f>
        <v>0</v>
      </c>
      <c r="AE14" s="109">
        <f>INDEX(门客实力!L$5:L$7,基础信息!S19)</f>
        <v>100</v>
      </c>
      <c r="AF14" s="109">
        <f>INDEX(门客实力!M$5:M$7,基础信息!T19)</f>
        <v>1000</v>
      </c>
      <c r="AG14" s="109">
        <f>INDEX(门客实力!N$5:N$7,基础信息!U19)</f>
        <v>2000</v>
      </c>
      <c r="AH14" s="109">
        <f>INDEX(门客实力!O$5:O$7,基础信息!V19)</f>
        <v>3000</v>
      </c>
      <c r="AI14" s="109">
        <f>INDEX(门客实力!P$5:P$7,基础信息!W19)</f>
        <v>7000</v>
      </c>
    </row>
    <row r="15" spans="2:35" s="68" customFormat="1" x14ac:dyDescent="0.15">
      <c r="C15" s="6" t="s">
        <v>150</v>
      </c>
      <c r="D15" s="63">
        <f>(D13+D14)*16</f>
        <v>64</v>
      </c>
      <c r="E15" s="63">
        <f t="shared" ref="E15:H15" si="5">(E13+E14)*16</f>
        <v>112</v>
      </c>
      <c r="F15" s="63">
        <f t="shared" si="5"/>
        <v>179.2</v>
      </c>
      <c r="G15" s="63">
        <f t="shared" si="5"/>
        <v>345.6</v>
      </c>
      <c r="H15" s="63">
        <f t="shared" si="5"/>
        <v>518.4</v>
      </c>
      <c r="K15" s="66">
        <v>11</v>
      </c>
      <c r="L15" s="60">
        <f>基础信息!D20</f>
        <v>57</v>
      </c>
      <c r="M15" s="61">
        <f>基础信息!E20</f>
        <v>1647.8248427703616</v>
      </c>
      <c r="N15" s="61">
        <f>基础信息!F20</f>
        <v>106.86832874572353</v>
      </c>
      <c r="O15" s="77">
        <f>MAX(基础信息!$G20*基础信息!I20*基础信息!N20*INDEX(D$32:D$34,基础信息!S20),O14)</f>
        <v>0</v>
      </c>
      <c r="P15" s="77">
        <f>MAX(基础信息!$G20*基础信息!J20*基础信息!O20*INDEX(E$32:E$34,基础信息!T20),P14)</f>
        <v>0</v>
      </c>
      <c r="Q15" s="77">
        <f>MAX(基础信息!$G20*基础信息!K20*基础信息!P20*INDEX(F$32:F$34,基础信息!U20),Q14)</f>
        <v>27000</v>
      </c>
      <c r="R15" s="77">
        <f>MAX(基础信息!$G20*基础信息!L20*基础信息!Q20*INDEX(G$32:G$34,基础信息!V20),R14)</f>
        <v>58666.666666666672</v>
      </c>
      <c r="S15" s="77">
        <f>MAX(基础信息!$G20*基础信息!M20*基础信息!R20*INDEX(H$32:H$34,基础信息!W20),S14)</f>
        <v>0</v>
      </c>
      <c r="T15" s="77">
        <f t="shared" si="0"/>
        <v>85666.666666666672</v>
      </c>
      <c r="U15" s="73">
        <f>基础信息!N20*INDEX(D$8:D$10,基础信息!S20)*基础信息!I20</f>
        <v>0</v>
      </c>
      <c r="V15" s="73">
        <f>基础信息!O20*INDEX(E$8:E$10,基础信息!T20)*基础信息!J20</f>
        <v>0</v>
      </c>
      <c r="W15" s="73">
        <f>基础信息!P20*INDEX(F$8:F$10,基础信息!U20)*基础信息!K20</f>
        <v>0</v>
      </c>
      <c r="X15" s="73">
        <f>基础信息!Q20*INDEX(G$8:G$10,基础信息!V20)*基础信息!L20</f>
        <v>8.0000000000000016E-2</v>
      </c>
      <c r="Y15" s="73">
        <f>基础信息!R20*INDEX(H$8:H$10,基础信息!W20)*基础信息!M20</f>
        <v>0</v>
      </c>
      <c r="Z15" s="59">
        <f>U15*门客升级!U15</f>
        <v>0</v>
      </c>
      <c r="AA15" s="59">
        <f>V15*门客升级!V15</f>
        <v>0</v>
      </c>
      <c r="AB15" s="59">
        <f>W15*门客升级!W15</f>
        <v>0</v>
      </c>
      <c r="AC15" s="59">
        <f>X15*门客升级!X15</f>
        <v>8.4480000000000022</v>
      </c>
      <c r="AD15" s="59">
        <f>Y15*门客升级!Y15</f>
        <v>0</v>
      </c>
      <c r="AE15" s="109">
        <f>INDEX(门客实力!L$5:L$7,基础信息!S20)</f>
        <v>100</v>
      </c>
      <c r="AF15" s="109">
        <f>INDEX(门客实力!M$5:M$7,基础信息!T20)</f>
        <v>1000</v>
      </c>
      <c r="AG15" s="109">
        <f>INDEX(门客实力!N$5:N$7,基础信息!U20)</f>
        <v>2000</v>
      </c>
      <c r="AH15" s="109">
        <f>INDEX(门客实力!O$5:O$7,基础信息!V20)</f>
        <v>3000</v>
      </c>
      <c r="AI15" s="109">
        <f>INDEX(门客实力!P$5:P$7,基础信息!W20)</f>
        <v>7000</v>
      </c>
    </row>
    <row r="16" spans="2:35" x14ac:dyDescent="0.15">
      <c r="C16" s="6"/>
      <c r="D16" s="55"/>
      <c r="E16" s="55"/>
      <c r="F16" s="55"/>
      <c r="G16" s="55"/>
      <c r="H16" s="55"/>
      <c r="K16" s="66">
        <v>12</v>
      </c>
      <c r="L16" s="60">
        <f>基础信息!D21</f>
        <v>62</v>
      </c>
      <c r="M16" s="61">
        <f>基础信息!E21</f>
        <v>3431.3522956038646</v>
      </c>
      <c r="N16" s="61">
        <f>基础信息!F21</f>
        <v>117.44125295293078</v>
      </c>
      <c r="O16" s="77">
        <f>MAX(基础信息!$G21*基础信息!I21*基础信息!N21*INDEX(D$32:D$34,基础信息!S21),O15)</f>
        <v>0</v>
      </c>
      <c r="P16" s="77">
        <f>MAX(基础信息!$G21*基础信息!J21*基础信息!O21*INDEX(E$32:E$34,基础信息!T21),P15)</f>
        <v>0</v>
      </c>
      <c r="Q16" s="77">
        <f>MAX(基础信息!$G21*基础信息!K21*基础信息!P21*INDEX(F$32:F$34,基础信息!U21),Q15)</f>
        <v>27000</v>
      </c>
      <c r="R16" s="77">
        <f>MAX(基础信息!$G21*基础信息!L21*基础信息!Q21*INDEX(G$32:G$34,基础信息!V21),R15)</f>
        <v>96000</v>
      </c>
      <c r="S16" s="77">
        <f>MAX(基础信息!$G21*基础信息!M21*基础信息!R21*INDEX(H$32:H$34,基础信息!W21),S15)</f>
        <v>0</v>
      </c>
      <c r="T16" s="77">
        <f t="shared" si="0"/>
        <v>123000</v>
      </c>
      <c r="U16" s="73">
        <f>基础信息!N21*INDEX(D$8:D$10,基础信息!S21)*基础信息!I21</f>
        <v>0</v>
      </c>
      <c r="V16" s="73">
        <f>基础信息!O21*INDEX(E$8:E$10,基础信息!T21)*基础信息!J21</f>
        <v>0</v>
      </c>
      <c r="W16" s="73">
        <f>基础信息!P21*INDEX(F$8:F$10,基础信息!U21)*基础信息!K21</f>
        <v>0</v>
      </c>
      <c r="X16" s="73">
        <f>基础信息!Q21*INDEX(G$8:G$10,基础信息!V21)*基础信息!L21</f>
        <v>0.12</v>
      </c>
      <c r="Y16" s="73">
        <f>基础信息!R21*INDEX(H$8:H$10,基础信息!W21)*基础信息!M21</f>
        <v>0</v>
      </c>
      <c r="Z16" s="59">
        <f>U16*门客升级!U16</f>
        <v>0</v>
      </c>
      <c r="AA16" s="59">
        <f>V16*门客升级!V16</f>
        <v>0</v>
      </c>
      <c r="AB16" s="59">
        <f>W16*门客升级!W16</f>
        <v>0</v>
      </c>
      <c r="AC16" s="59">
        <f>X16*门客升级!X16</f>
        <v>10.367999999999999</v>
      </c>
      <c r="AD16" s="59">
        <f>Y16*门客升级!Y16</f>
        <v>0</v>
      </c>
      <c r="AE16" s="109">
        <f>INDEX(门客实力!L$5:L$7,基础信息!S21)</f>
        <v>100</v>
      </c>
      <c r="AF16" s="109">
        <f>INDEX(门客实力!M$5:M$7,基础信息!T21)</f>
        <v>1000</v>
      </c>
      <c r="AG16" s="109">
        <f>INDEX(门客实力!N$5:N$7,基础信息!U21)</f>
        <v>2000</v>
      </c>
      <c r="AH16" s="109">
        <f>INDEX(门客实力!O$5:O$7,基础信息!V21)</f>
        <v>3000</v>
      </c>
      <c r="AI16" s="109">
        <f>INDEX(门客实力!P$5:P$7,基础信息!W21)</f>
        <v>7000</v>
      </c>
    </row>
    <row r="17" spans="2:35" x14ac:dyDescent="0.15">
      <c r="K17" s="66">
        <v>13</v>
      </c>
      <c r="L17" s="60">
        <f>基础信息!D22</f>
        <v>67</v>
      </c>
      <c r="M17" s="61">
        <f>基础信息!E22</f>
        <v>7133.5498113340191</v>
      </c>
      <c r="N17" s="61">
        <f>基础信息!F22</f>
        <v>128.00586023511804</v>
      </c>
      <c r="O17" s="77">
        <f>MAX(基础信息!$G22*基础信息!I22*基础信息!N22*INDEX(D$32:D$34,基础信息!S22),O16)</f>
        <v>0</v>
      </c>
      <c r="P17" s="77">
        <f>MAX(基础信息!$G22*基础信息!J22*基础信息!O22*INDEX(E$32:E$34,基础信息!T22),P16)</f>
        <v>0</v>
      </c>
      <c r="Q17" s="77">
        <f>MAX(基础信息!$G22*基础信息!K22*基础信息!P22*INDEX(F$32:F$34,基础信息!U22),Q16)</f>
        <v>27000</v>
      </c>
      <c r="R17" s="77">
        <f>MAX(基础信息!$G22*基础信息!L22*基础信息!Q22*INDEX(G$32:G$34,基础信息!V22),R16)</f>
        <v>104000.00000000001</v>
      </c>
      <c r="S17" s="77">
        <f>MAX(基础信息!$G22*基础信息!M22*基础信息!R22*INDEX(H$32:H$34,基础信息!W22),S16)</f>
        <v>0</v>
      </c>
      <c r="T17" s="77">
        <f t="shared" si="0"/>
        <v>131000.00000000001</v>
      </c>
      <c r="U17" s="73">
        <f>基础信息!N22*INDEX(D$8:D$10,基础信息!S22)*基础信息!I22</f>
        <v>0</v>
      </c>
      <c r="V17" s="73">
        <f>基础信息!O22*INDEX(E$8:E$10,基础信息!T22)*基础信息!J22</f>
        <v>0</v>
      </c>
      <c r="W17" s="73">
        <f>基础信息!P22*INDEX(F$8:F$10,基础信息!U22)*基础信息!K22</f>
        <v>0</v>
      </c>
      <c r="X17" s="73">
        <f>基础信息!Q22*INDEX(G$8:G$10,基础信息!V22)*基础信息!L22</f>
        <v>0.12000000000000002</v>
      </c>
      <c r="Y17" s="73">
        <f>基础信息!R22*INDEX(H$8:H$10,基础信息!W22)*基础信息!M22</f>
        <v>0</v>
      </c>
      <c r="Z17" s="59">
        <f>U17*门客升级!U17</f>
        <v>0</v>
      </c>
      <c r="AA17" s="59">
        <f>V17*门客升级!V17</f>
        <v>0</v>
      </c>
      <c r="AB17" s="59">
        <f>W17*门客升级!W17</f>
        <v>0</v>
      </c>
      <c r="AC17" s="59">
        <f>X17*门客升级!X17</f>
        <v>7.4880000000000022</v>
      </c>
      <c r="AD17" s="59">
        <f>Y17*门客升级!Y17</f>
        <v>0</v>
      </c>
      <c r="AE17" s="109">
        <f>INDEX(门客实力!L$5:L$7,基础信息!S22)</f>
        <v>100</v>
      </c>
      <c r="AF17" s="109">
        <f>INDEX(门客实力!M$5:M$7,基础信息!T22)</f>
        <v>1000</v>
      </c>
      <c r="AG17" s="109">
        <f>INDEX(门客实力!N$5:N$7,基础信息!U22)</f>
        <v>2000</v>
      </c>
      <c r="AH17" s="109">
        <f>INDEX(门客实力!O$5:O$7,基础信息!V22)</f>
        <v>3000</v>
      </c>
      <c r="AI17" s="109">
        <f>INDEX(门客实力!P$5:P$7,基础信息!W22)</f>
        <v>7000</v>
      </c>
    </row>
    <row r="18" spans="2:35" x14ac:dyDescent="0.15">
      <c r="K18" s="66">
        <v>14</v>
      </c>
      <c r="L18" s="60">
        <f>基础信息!D23</f>
        <v>72</v>
      </c>
      <c r="M18" s="61">
        <f>基础信息!E23</f>
        <v>14808.205062920617</v>
      </c>
      <c r="N18" s="61">
        <f>基础信息!F23</f>
        <v>138.53345528648683</v>
      </c>
      <c r="O18" s="77">
        <f>MAX(基础信息!$G23*基础信息!I23*基础信息!N23*INDEX(D$32:D$34,基础信息!S23),O17)</f>
        <v>0</v>
      </c>
      <c r="P18" s="77">
        <f>MAX(基础信息!$G23*基础信息!J23*基础信息!O23*INDEX(E$32:E$34,基础信息!T23),P17)</f>
        <v>0</v>
      </c>
      <c r="Q18" s="77">
        <f>MAX(基础信息!$G23*基础信息!K23*基础信息!P23*INDEX(F$32:F$34,基础信息!U23),Q17)</f>
        <v>27000</v>
      </c>
      <c r="R18" s="77">
        <f>MAX(基础信息!$G23*基础信息!L23*基础信息!Q23*INDEX(G$32:G$34,基础信息!V23),R17)</f>
        <v>224000.00000000003</v>
      </c>
      <c r="S18" s="77">
        <f>MAX(基础信息!$G23*基础信息!M23*基础信息!R23*INDEX(H$32:H$34,基础信息!W23),S17)</f>
        <v>0</v>
      </c>
      <c r="T18" s="77">
        <f t="shared" si="0"/>
        <v>251000.00000000003</v>
      </c>
      <c r="U18" s="73">
        <f>基础信息!N23*INDEX(D$8:D$10,基础信息!S23)*基础信息!I23</f>
        <v>0</v>
      </c>
      <c r="V18" s="73">
        <f>基础信息!O23*INDEX(E$8:E$10,基础信息!T23)*基础信息!J23</f>
        <v>0</v>
      </c>
      <c r="W18" s="73">
        <f>基础信息!P23*INDEX(F$8:F$10,基础信息!U23)*基础信息!K23</f>
        <v>0</v>
      </c>
      <c r="X18" s="73">
        <f>基础信息!Q23*INDEX(G$8:G$10,基础信息!V23)*基础信息!L23</f>
        <v>0.16000000000000003</v>
      </c>
      <c r="Y18" s="73">
        <f>基础信息!R23*INDEX(H$8:H$10,基础信息!W23)*基础信息!M23</f>
        <v>0</v>
      </c>
      <c r="Z18" s="59">
        <f>U18*门客升级!U18</f>
        <v>0</v>
      </c>
      <c r="AA18" s="59">
        <f>V18*门客升级!V18</f>
        <v>0</v>
      </c>
      <c r="AB18" s="59">
        <f>W18*门客升级!W18</f>
        <v>0</v>
      </c>
      <c r="AC18" s="59">
        <f>X18*门客升级!X18</f>
        <v>5.3760000000000012</v>
      </c>
      <c r="AD18" s="59">
        <f>Y18*门客升级!Y18</f>
        <v>0</v>
      </c>
      <c r="AE18" s="109">
        <f>INDEX(门客实力!L$5:L$7,基础信息!S23)</f>
        <v>100</v>
      </c>
      <c r="AF18" s="109">
        <f>INDEX(门客实力!M$5:M$7,基础信息!T23)</f>
        <v>1000</v>
      </c>
      <c r="AG18" s="109">
        <f>INDEX(门客实力!N$5:N$7,基础信息!U23)</f>
        <v>2000</v>
      </c>
      <c r="AH18" s="109">
        <f>INDEX(门客实力!O$5:O$7,基础信息!V23)</f>
        <v>5000</v>
      </c>
      <c r="AI18" s="109">
        <f>INDEX(门客实力!P$5:P$7,基础信息!W23)</f>
        <v>10000</v>
      </c>
    </row>
    <row r="19" spans="2:35" x14ac:dyDescent="0.15">
      <c r="C19" s="6" t="s">
        <v>175</v>
      </c>
      <c r="D19" s="67" t="s">
        <v>8</v>
      </c>
      <c r="E19" s="67" t="s">
        <v>9</v>
      </c>
      <c r="F19" s="67" t="s">
        <v>10</v>
      </c>
      <c r="G19" s="67" t="s">
        <v>11</v>
      </c>
      <c r="H19" s="67" t="s">
        <v>12</v>
      </c>
      <c r="K19" s="66">
        <v>15</v>
      </c>
      <c r="L19" s="60">
        <f>基础信息!D24</f>
        <v>77</v>
      </c>
      <c r="M19" s="61">
        <f>基础信息!E24</f>
        <v>30698.011006346387</v>
      </c>
      <c r="N19" s="61">
        <f>基础信息!F24</f>
        <v>149.05713970651243</v>
      </c>
      <c r="O19" s="77">
        <f>MAX(基础信息!$G24*基础信息!I24*基础信息!N24*INDEX(D$32:D$34,基础信息!S24),O18)</f>
        <v>0</v>
      </c>
      <c r="P19" s="77">
        <f>MAX(基础信息!$G24*基础信息!J24*基础信息!O24*INDEX(E$32:E$34,基础信息!T24),P18)</f>
        <v>0</v>
      </c>
      <c r="Q19" s="77">
        <f>MAX(基础信息!$G24*基础信息!K24*基础信息!P24*INDEX(F$32:F$34,基础信息!U24),Q18)</f>
        <v>27000</v>
      </c>
      <c r="R19" s="77">
        <f>MAX(基础信息!$G24*基础信息!L24*基础信息!Q24*INDEX(G$32:G$34,基础信息!V24),R18)</f>
        <v>224000.00000000003</v>
      </c>
      <c r="S19" s="77">
        <f>MAX(基础信息!$G24*基础信息!M24*基础信息!R24*INDEX(H$32:H$34,基础信息!W24),S18)</f>
        <v>0</v>
      </c>
      <c r="T19" s="77">
        <f t="shared" si="0"/>
        <v>251000.00000000003</v>
      </c>
      <c r="U19" s="73">
        <f>基础信息!N24*INDEX(D$8:D$10,基础信息!S24)*基础信息!I24</f>
        <v>0</v>
      </c>
      <c r="V19" s="73">
        <f>基础信息!O24*INDEX(E$8:E$10,基础信息!T24)*基础信息!J24</f>
        <v>0</v>
      </c>
      <c r="W19" s="73">
        <f>基础信息!P24*INDEX(F$8:F$10,基础信息!U24)*基础信息!K24</f>
        <v>0</v>
      </c>
      <c r="X19" s="73">
        <f>基础信息!Q24*INDEX(G$8:G$10,基础信息!V24)*基础信息!L24</f>
        <v>0</v>
      </c>
      <c r="Y19" s="73">
        <f>基础信息!R24*INDEX(H$8:H$10,基础信息!W24)*基础信息!M24</f>
        <v>0</v>
      </c>
      <c r="Z19" s="59">
        <f>U19*门客升级!U19</f>
        <v>0</v>
      </c>
      <c r="AA19" s="59">
        <f>V19*门客升级!V19</f>
        <v>0</v>
      </c>
      <c r="AB19" s="59">
        <f>W19*门客升级!W19</f>
        <v>0</v>
      </c>
      <c r="AC19" s="59">
        <f>X19*门客升级!X19</f>
        <v>0</v>
      </c>
      <c r="AD19" s="59">
        <f>Y19*门客升级!Y19</f>
        <v>0</v>
      </c>
      <c r="AE19" s="109">
        <f>INDEX(门客实力!L$5:L$7,基础信息!S24)</f>
        <v>100</v>
      </c>
      <c r="AF19" s="109">
        <f>INDEX(门客实力!M$5:M$7,基础信息!T24)</f>
        <v>1000</v>
      </c>
      <c r="AG19" s="109">
        <f>INDEX(门客实力!N$5:N$7,基础信息!U24)</f>
        <v>2000</v>
      </c>
      <c r="AH19" s="109">
        <f>INDEX(门客实力!O$5:O$7,基础信息!V24)</f>
        <v>5000</v>
      </c>
      <c r="AI19" s="109">
        <f>INDEX(门客实力!P$5:P$7,基础信息!W24)</f>
        <v>10000</v>
      </c>
    </row>
    <row r="20" spans="2:35" x14ac:dyDescent="0.15">
      <c r="C20" s="6">
        <v>1</v>
      </c>
      <c r="D20" s="67"/>
      <c r="E20" s="67">
        <v>2</v>
      </c>
      <c r="F20" s="67">
        <v>2</v>
      </c>
      <c r="G20" s="67">
        <v>2</v>
      </c>
      <c r="H20" s="67">
        <v>2</v>
      </c>
      <c r="K20" s="66">
        <v>16</v>
      </c>
      <c r="L20" s="60">
        <f>基础信息!D25</f>
        <v>80</v>
      </c>
      <c r="M20" s="61">
        <f>基础信息!E25</f>
        <v>47512.875</v>
      </c>
      <c r="N20" s="61">
        <f>基础信息!F25</f>
        <v>155.35264798579232</v>
      </c>
      <c r="O20" s="77">
        <f>MAX(基础信息!$G25*基础信息!I25*基础信息!N25*INDEX(D$32:D$34,基础信息!S25),O19)</f>
        <v>0</v>
      </c>
      <c r="P20" s="77">
        <f>MAX(基础信息!$G25*基础信息!J25*基础信息!O25*INDEX(E$32:E$34,基础信息!T25),P19)</f>
        <v>0</v>
      </c>
      <c r="Q20" s="77">
        <f>MAX(基础信息!$G25*基础信息!K25*基础信息!P25*INDEX(F$32:F$34,基础信息!U25),Q19)</f>
        <v>27000</v>
      </c>
      <c r="R20" s="77">
        <f>MAX(基础信息!$G25*基础信息!L25*基础信息!Q25*INDEX(G$32:G$34,基础信息!V25),R19)</f>
        <v>224000.00000000003</v>
      </c>
      <c r="S20" s="77">
        <f>MAX(基础信息!$G25*基础信息!M25*基础信息!R25*INDEX(H$32:H$34,基础信息!W25),S19)</f>
        <v>800000</v>
      </c>
      <c r="T20" s="77">
        <f t="shared" si="0"/>
        <v>1051000</v>
      </c>
      <c r="U20" s="73">
        <f>基础信息!N25*INDEX(D$8:D$10,基础信息!S25)*基础信息!I25</f>
        <v>0</v>
      </c>
      <c r="V20" s="73">
        <f>基础信息!O25*INDEX(E$8:E$10,基础信息!T25)*基础信息!J25</f>
        <v>0</v>
      </c>
      <c r="W20" s="73">
        <f>基础信息!P25*INDEX(F$8:F$10,基础信息!U25)*基础信息!K25</f>
        <v>0</v>
      </c>
      <c r="X20" s="73">
        <f>基础信息!Q25*INDEX(G$8:G$10,基础信息!V25)*基础信息!L25</f>
        <v>0</v>
      </c>
      <c r="Y20" s="73">
        <f>基础信息!R25*INDEX(H$8:H$10,基础信息!W25)*基础信息!M25</f>
        <v>0.2</v>
      </c>
      <c r="Z20" s="59">
        <f>U20*门客升级!U20</f>
        <v>0</v>
      </c>
      <c r="AA20" s="59">
        <f>V20*门客升级!V20</f>
        <v>0</v>
      </c>
      <c r="AB20" s="59">
        <f>W20*门客升级!W20</f>
        <v>0</v>
      </c>
      <c r="AC20" s="59">
        <f>X20*门客升级!X20</f>
        <v>0</v>
      </c>
      <c r="AD20" s="59">
        <f>Y20*门客升级!Y20</f>
        <v>48</v>
      </c>
      <c r="AE20" s="109">
        <f>INDEX(门客实力!L$5:L$7,基础信息!S25)</f>
        <v>100</v>
      </c>
      <c r="AF20" s="109">
        <f>INDEX(门客实力!M$5:M$7,基础信息!T25)</f>
        <v>1000</v>
      </c>
      <c r="AG20" s="109">
        <f>INDEX(门客实力!N$5:N$7,基础信息!U25)</f>
        <v>2000</v>
      </c>
      <c r="AH20" s="109">
        <f>INDEX(门客实力!O$5:O$7,基础信息!V25)</f>
        <v>5000</v>
      </c>
      <c r="AI20" s="109">
        <f>INDEX(门客实力!P$5:P$7,基础信息!W25)</f>
        <v>10000</v>
      </c>
    </row>
    <row r="21" spans="2:35" x14ac:dyDescent="0.15">
      <c r="C21" s="6">
        <v>2</v>
      </c>
      <c r="D21" s="67"/>
      <c r="E21" s="67"/>
      <c r="F21" s="67"/>
      <c r="G21" s="67">
        <v>4</v>
      </c>
      <c r="H21" s="67">
        <v>4</v>
      </c>
      <c r="K21" s="66"/>
      <c r="L21" s="66"/>
      <c r="M21" s="65"/>
      <c r="N21" s="65"/>
    </row>
    <row r="22" spans="2:35" x14ac:dyDescent="0.15">
      <c r="B22" s="72"/>
      <c r="C22" s="6" t="s">
        <v>176</v>
      </c>
      <c r="D22" s="71" t="s">
        <v>8</v>
      </c>
      <c r="E22" s="71" t="s">
        <v>9</v>
      </c>
      <c r="F22" s="71" t="s">
        <v>10</v>
      </c>
      <c r="G22" s="71" t="s">
        <v>11</v>
      </c>
      <c r="H22" s="71" t="s">
        <v>12</v>
      </c>
      <c r="I22" s="72"/>
      <c r="K22" s="66"/>
      <c r="L22" s="66"/>
      <c r="M22" s="65"/>
      <c r="N22" s="65"/>
    </row>
    <row r="23" spans="2:35" x14ac:dyDescent="0.15">
      <c r="B23" s="72"/>
      <c r="C23" s="6">
        <v>0</v>
      </c>
      <c r="D23" s="71">
        <v>0</v>
      </c>
      <c r="E23" s="71">
        <v>0</v>
      </c>
      <c r="F23" s="71">
        <v>0</v>
      </c>
      <c r="G23" s="71">
        <v>0</v>
      </c>
      <c r="H23" s="71">
        <v>0</v>
      </c>
      <c r="I23" s="72"/>
      <c r="K23" s="66" t="s">
        <v>1</v>
      </c>
      <c r="L23" s="66"/>
      <c r="M23" s="65"/>
      <c r="N23" s="65"/>
      <c r="O23" s="126" t="s">
        <v>164</v>
      </c>
      <c r="P23" s="126"/>
      <c r="Q23" s="126"/>
      <c r="R23" s="126"/>
      <c r="S23" s="126"/>
      <c r="U23" s="126" t="s">
        <v>157</v>
      </c>
      <c r="V23" s="126"/>
      <c r="W23" s="126"/>
      <c r="X23" s="126"/>
      <c r="Y23" s="126"/>
      <c r="Z23" s="123" t="s">
        <v>159</v>
      </c>
      <c r="AA23" s="123"/>
      <c r="AB23" s="123"/>
      <c r="AC23" s="123"/>
      <c r="AD23" s="123"/>
      <c r="AE23" s="121" t="s">
        <v>302</v>
      </c>
      <c r="AF23" s="121"/>
      <c r="AG23" s="121"/>
      <c r="AH23" s="121"/>
      <c r="AI23" s="121"/>
    </row>
    <row r="24" spans="2:35" x14ac:dyDescent="0.15">
      <c r="B24" s="72"/>
      <c r="C24" s="6">
        <v>1</v>
      </c>
      <c r="D24" s="71">
        <f>SUM(D$20:D20)</f>
        <v>0</v>
      </c>
      <c r="E24" s="71">
        <f>SUM(E$20:E20)</f>
        <v>2</v>
      </c>
      <c r="F24" s="71">
        <f>SUM(F$20:F20)</f>
        <v>2</v>
      </c>
      <c r="G24" s="71">
        <f>SUM(G$20:G20)</f>
        <v>2</v>
      </c>
      <c r="H24" s="71">
        <f>SUM(H$20:H20)</f>
        <v>2</v>
      </c>
      <c r="I24" s="72"/>
      <c r="K24" s="66" t="s">
        <v>21</v>
      </c>
      <c r="L24" s="66" t="s">
        <v>121</v>
      </c>
      <c r="M24" s="65" t="s">
        <v>122</v>
      </c>
      <c r="N24" s="65" t="s">
        <v>103</v>
      </c>
      <c r="O24" s="74" t="s">
        <v>104</v>
      </c>
      <c r="P24" s="74" t="s">
        <v>105</v>
      </c>
      <c r="Q24" s="74" t="s">
        <v>106</v>
      </c>
      <c r="R24" s="74" t="s">
        <v>107</v>
      </c>
      <c r="S24" s="74" t="s">
        <v>108</v>
      </c>
      <c r="T24" s="74" t="s">
        <v>171</v>
      </c>
      <c r="U24" s="73" t="s">
        <v>104</v>
      </c>
      <c r="V24" s="73" t="s">
        <v>105</v>
      </c>
      <c r="W24" s="73" t="s">
        <v>106</v>
      </c>
      <c r="X24" s="73" t="s">
        <v>107</v>
      </c>
      <c r="Y24" s="73" t="s">
        <v>108</v>
      </c>
      <c r="Z24" s="59" t="s">
        <v>104</v>
      </c>
      <c r="AA24" s="59" t="s">
        <v>105</v>
      </c>
      <c r="AB24" s="59" t="s">
        <v>106</v>
      </c>
      <c r="AC24" s="59" t="s">
        <v>107</v>
      </c>
      <c r="AD24" s="59" t="s">
        <v>108</v>
      </c>
      <c r="AE24" s="110" t="s">
        <v>104</v>
      </c>
      <c r="AF24" s="110" t="s">
        <v>105</v>
      </c>
      <c r="AG24" s="110" t="s">
        <v>106</v>
      </c>
      <c r="AH24" s="110" t="s">
        <v>107</v>
      </c>
      <c r="AI24" s="110" t="s">
        <v>108</v>
      </c>
    </row>
    <row r="25" spans="2:35" x14ac:dyDescent="0.15">
      <c r="C25" s="6">
        <v>2</v>
      </c>
      <c r="D25" s="71">
        <f>SUM(D$20:D21)</f>
        <v>0</v>
      </c>
      <c r="E25" s="71">
        <f>SUM(E$20:E21)</f>
        <v>2</v>
      </c>
      <c r="F25" s="71">
        <f>SUM(F$20:F21)</f>
        <v>2</v>
      </c>
      <c r="G25" s="71">
        <f>SUM(G$20:G21)</f>
        <v>6</v>
      </c>
      <c r="H25" s="71">
        <f>SUM(H$20:H21)</f>
        <v>6</v>
      </c>
      <c r="K25" s="66">
        <v>1</v>
      </c>
      <c r="L25" s="60">
        <f>基础信息!D30</f>
        <v>16</v>
      </c>
      <c r="M25" s="61">
        <f>基础信息!E30</f>
        <v>2.0310175363141174</v>
      </c>
      <c r="N25" s="61">
        <f>基础信息!F30</f>
        <v>17.420973982667814</v>
      </c>
      <c r="O25" s="77">
        <f>MAX(基础信息!$G30*基础信息!I30*基础信息!N30*INDEX(D$32:D$34,基础信息!S30),O24)</f>
        <v>0</v>
      </c>
      <c r="P25" s="77">
        <f>MAX(基础信息!$G30*基础信息!J30*基础信息!O30*INDEX(E$32:E$34,基础信息!T30),P24)</f>
        <v>0</v>
      </c>
      <c r="Q25" s="77">
        <f>MAX(基础信息!$G30*基础信息!K30*基础信息!P30*INDEX(F$32:F$34,基础信息!U30),Q24)</f>
        <v>0</v>
      </c>
      <c r="R25" s="77">
        <f>MAX(基础信息!$G30*基础信息!L30*基础信息!Q30*INDEX(G$32:G$34,基础信息!V30),R24)</f>
        <v>0</v>
      </c>
      <c r="S25" s="77">
        <f>MAX(基础信息!$G30*基础信息!M30*基础信息!R30*INDEX(H$32:H$34,基础信息!W30),S24)</f>
        <v>0</v>
      </c>
      <c r="T25" s="77">
        <f>SUM(O25:S25)</f>
        <v>0</v>
      </c>
      <c r="U25" s="73">
        <f>基础信息!N30*INDEX(D$8:D$10,基础信息!S30)</f>
        <v>0</v>
      </c>
      <c r="V25" s="73">
        <f>基础信息!O30*INDEX(E$8:E$10,基础信息!T30)</f>
        <v>0</v>
      </c>
      <c r="W25" s="73">
        <f>基础信息!P30*INDEX(F$8:F$10,基础信息!U30)</f>
        <v>0</v>
      </c>
      <c r="X25" s="73">
        <f>基础信息!Q30*INDEX(G$8:G$10,基础信息!V30)</f>
        <v>0</v>
      </c>
      <c r="Y25" s="73">
        <f>基础信息!R30*INDEX(H$8:H$10,基础信息!W30)</f>
        <v>0</v>
      </c>
      <c r="Z25" s="59">
        <f>U25*门客升级!U25</f>
        <v>0</v>
      </c>
      <c r="AA25" s="59">
        <f>V25*门客升级!V25</f>
        <v>0</v>
      </c>
      <c r="AB25" s="59">
        <f>W25*门客升级!W25</f>
        <v>0</v>
      </c>
      <c r="AC25" s="59">
        <f>X25*门客升级!X25</f>
        <v>0</v>
      </c>
      <c r="AD25" s="59">
        <f>Y25*门客升级!Y25</f>
        <v>0</v>
      </c>
      <c r="AE25" s="109">
        <f>INDEX(门客实力!L$5:L$7,基础信息!S30)</f>
        <v>100</v>
      </c>
      <c r="AF25" s="109">
        <f>INDEX(门客实力!M$5:M$7,基础信息!T30)</f>
        <v>500</v>
      </c>
      <c r="AG25" s="109">
        <f>INDEX(门客实力!N$5:N$7,基础信息!U30)</f>
        <v>1000</v>
      </c>
      <c r="AH25" s="109">
        <f>INDEX(门客实力!O$5:O$7,基础信息!V30)</f>
        <v>2000</v>
      </c>
      <c r="AI25" s="109">
        <f>INDEX(门客实力!P$5:P$7,基础信息!W30)</f>
        <v>5000</v>
      </c>
    </row>
    <row r="26" spans="2:35" x14ac:dyDescent="0.15">
      <c r="C26" s="68"/>
      <c r="D26" s="68"/>
      <c r="E26" s="68"/>
      <c r="F26" s="68"/>
      <c r="G26" s="68"/>
      <c r="H26" s="68"/>
      <c r="J26" s="68"/>
      <c r="K26" s="66">
        <v>2</v>
      </c>
      <c r="L26" s="60">
        <f>基础信息!D31</f>
        <v>19.5</v>
      </c>
      <c r="M26" s="61">
        <f>基础信息!E31</f>
        <v>3.8583180257323662</v>
      </c>
      <c r="N26" s="61">
        <f>基础信息!F31</f>
        <v>24.411235857114818</v>
      </c>
      <c r="O26" s="77">
        <f>MAX(基础信息!$G31*基础信息!I31*基础信息!N31*INDEX(D$32:D$34,基础信息!S31),O25)</f>
        <v>0</v>
      </c>
      <c r="P26" s="77">
        <f>MAX(基础信息!$G31*基础信息!J31*基础信息!O31*INDEX(E$32:E$34,基础信息!T31),P25)</f>
        <v>0</v>
      </c>
      <c r="Q26" s="77">
        <f>MAX(基础信息!$G31*基础信息!K31*基础信息!P31*INDEX(F$32:F$34,基础信息!U31),Q25)</f>
        <v>0</v>
      </c>
      <c r="R26" s="77">
        <f>MAX(基础信息!$G31*基础信息!L31*基础信息!Q31*INDEX(G$32:G$34,基础信息!V31),R25)</f>
        <v>0</v>
      </c>
      <c r="S26" s="77">
        <f>MAX(基础信息!$G31*基础信息!M31*基础信息!R31*INDEX(H$32:H$34,基础信息!W31),S25)</f>
        <v>0</v>
      </c>
      <c r="T26" s="77">
        <f t="shared" ref="T26:T40" si="6">SUM(O26:S26)</f>
        <v>0</v>
      </c>
      <c r="U26" s="73">
        <f>基础信息!N31*INDEX(D$8:D$10,基础信息!S31)</f>
        <v>0</v>
      </c>
      <c r="V26" s="73">
        <f>基础信息!O31*INDEX(E$8:E$10,基础信息!T31)</f>
        <v>0</v>
      </c>
      <c r="W26" s="73">
        <f>基础信息!P31*INDEX(F$8:F$10,基础信息!U31)</f>
        <v>0</v>
      </c>
      <c r="X26" s="73">
        <f>基础信息!Q31*INDEX(G$8:G$10,基础信息!V31)</f>
        <v>0</v>
      </c>
      <c r="Y26" s="73">
        <f>基础信息!R31*INDEX(H$8:H$10,基础信息!W31)</f>
        <v>0</v>
      </c>
      <c r="Z26" s="59">
        <f>U26*门客升级!U26</f>
        <v>0</v>
      </c>
      <c r="AA26" s="59">
        <f>V26*门客升级!V26</f>
        <v>0</v>
      </c>
      <c r="AB26" s="59">
        <f>W26*门客升级!W26</f>
        <v>0</v>
      </c>
      <c r="AC26" s="59">
        <f>X26*门客升级!X26</f>
        <v>0</v>
      </c>
      <c r="AD26" s="59">
        <f>Y26*门客升级!Y26</f>
        <v>0</v>
      </c>
      <c r="AE26" s="109">
        <f>INDEX(门客实力!L$5:L$7,基础信息!S31)</f>
        <v>100</v>
      </c>
      <c r="AF26" s="109">
        <f>INDEX(门客实力!M$5:M$7,基础信息!T31)</f>
        <v>500</v>
      </c>
      <c r="AG26" s="109">
        <f>INDEX(门客实力!N$5:N$7,基础信息!U31)</f>
        <v>1000</v>
      </c>
      <c r="AH26" s="109">
        <f>INDEX(门客实力!O$5:O$7,基础信息!V31)</f>
        <v>2000</v>
      </c>
      <c r="AI26" s="109">
        <f>INDEX(门客实力!P$5:P$7,基础信息!W31)</f>
        <v>5000</v>
      </c>
    </row>
    <row r="27" spans="2:35" x14ac:dyDescent="0.15">
      <c r="B27" s="72"/>
      <c r="C27" s="72"/>
      <c r="D27" s="72"/>
      <c r="E27" s="72"/>
      <c r="F27" s="72"/>
      <c r="G27" s="72"/>
      <c r="H27" s="72"/>
      <c r="I27" s="72"/>
      <c r="K27" s="66">
        <v>3</v>
      </c>
      <c r="L27" s="60">
        <f>基础信息!D32</f>
        <v>23.5</v>
      </c>
      <c r="M27" s="61">
        <f>基础信息!E32</f>
        <v>7.7240111017275384</v>
      </c>
      <c r="N27" s="61">
        <f>基础信息!F32</f>
        <v>33.019343244153319</v>
      </c>
      <c r="O27" s="77">
        <f>MAX(基础信息!$G32*基础信息!I32*基础信息!N32*INDEX(D$32:D$34,基础信息!S32),O26)</f>
        <v>0</v>
      </c>
      <c r="P27" s="77">
        <f>MAX(基础信息!$G32*基础信息!J32*基础信息!O32*INDEX(E$32:E$34,基础信息!T32),P26)</f>
        <v>0</v>
      </c>
      <c r="Q27" s="77">
        <f>MAX(基础信息!$G32*基础信息!K32*基础信息!P32*INDEX(F$32:F$34,基础信息!U32),Q26)</f>
        <v>0</v>
      </c>
      <c r="R27" s="77">
        <f>MAX(基础信息!$G32*基础信息!L32*基础信息!Q32*INDEX(G$32:G$34,基础信息!V32),R26)</f>
        <v>0</v>
      </c>
      <c r="S27" s="77">
        <f>MAX(基础信息!$G32*基础信息!M32*基础信息!R32*INDEX(H$32:H$34,基础信息!W32),S26)</f>
        <v>0</v>
      </c>
      <c r="T27" s="77">
        <f t="shared" si="6"/>
        <v>0</v>
      </c>
      <c r="U27" s="73">
        <f>基础信息!N32*INDEX(D$8:D$10,基础信息!S32)</f>
        <v>0</v>
      </c>
      <c r="V27" s="73">
        <f>基础信息!O32*INDEX(E$8:E$10,基础信息!T32)</f>
        <v>0</v>
      </c>
      <c r="W27" s="73">
        <f>基础信息!P32*INDEX(F$8:F$10,基础信息!U32)</f>
        <v>0</v>
      </c>
      <c r="X27" s="73">
        <f>基础信息!Q32*INDEX(G$8:G$10,基础信息!V32)</f>
        <v>0</v>
      </c>
      <c r="Y27" s="73">
        <f>基础信息!R32*INDEX(H$8:H$10,基础信息!W32)</f>
        <v>0</v>
      </c>
      <c r="Z27" s="59">
        <f>U27*门客升级!U27</f>
        <v>0</v>
      </c>
      <c r="AA27" s="59">
        <f>V27*门客升级!V27</f>
        <v>0</v>
      </c>
      <c r="AB27" s="59">
        <f>W27*门客升级!W27</f>
        <v>0</v>
      </c>
      <c r="AC27" s="59">
        <f>X27*门客升级!X27</f>
        <v>0</v>
      </c>
      <c r="AD27" s="59">
        <f>Y27*门客升级!Y27</f>
        <v>0</v>
      </c>
      <c r="AE27" s="109">
        <f>INDEX(门客实力!L$5:L$7,基础信息!S32)</f>
        <v>100</v>
      </c>
      <c r="AF27" s="109">
        <f>INDEX(门客实力!M$5:M$7,基础信息!T32)</f>
        <v>500</v>
      </c>
      <c r="AG27" s="109">
        <f>INDEX(门客实力!N$5:N$7,基础信息!U32)</f>
        <v>1000</v>
      </c>
      <c r="AH27" s="109">
        <f>INDEX(门客实力!O$5:O$7,基础信息!V32)</f>
        <v>2000</v>
      </c>
      <c r="AI27" s="109">
        <f>INDEX(门客实力!P$5:P$7,基础信息!W32)</f>
        <v>5000</v>
      </c>
    </row>
    <row r="28" spans="2:35" x14ac:dyDescent="0.15">
      <c r="C28" s="6"/>
      <c r="D28" s="67" t="s">
        <v>8</v>
      </c>
      <c r="E28" s="67" t="s">
        <v>9</v>
      </c>
      <c r="F28" s="67" t="s">
        <v>10</v>
      </c>
      <c r="G28" s="67" t="s">
        <v>11</v>
      </c>
      <c r="H28" s="67" t="s">
        <v>12</v>
      </c>
      <c r="K28" s="66">
        <v>4</v>
      </c>
      <c r="L28" s="60">
        <f>基础信息!D33</f>
        <v>27.5</v>
      </c>
      <c r="M28" s="61">
        <f>基础信息!E33</f>
        <v>15.096178510388308</v>
      </c>
      <c r="N28" s="61">
        <f>基础信息!F33</f>
        <v>41.92278306907852</v>
      </c>
      <c r="O28" s="77">
        <f>MAX(基础信息!$G33*基础信息!I33*基础信息!N33*INDEX(D$32:D$34,基础信息!S33),O27)</f>
        <v>0</v>
      </c>
      <c r="P28" s="77">
        <f>MAX(基础信息!$G33*基础信息!J33*基础信息!O33*INDEX(E$32:E$34,基础信息!T33),P27)</f>
        <v>0</v>
      </c>
      <c r="Q28" s="77">
        <f>MAX(基础信息!$G33*基础信息!K33*基础信息!P33*INDEX(F$32:F$34,基础信息!U33),Q27)</f>
        <v>0</v>
      </c>
      <c r="R28" s="77">
        <f>MAX(基础信息!$G33*基础信息!L33*基础信息!Q33*INDEX(G$32:G$34,基础信息!V33),R27)</f>
        <v>0</v>
      </c>
      <c r="S28" s="77">
        <f>MAX(基础信息!$G33*基础信息!M33*基础信息!R33*INDEX(H$32:H$34,基础信息!W33),S27)</f>
        <v>0</v>
      </c>
      <c r="T28" s="77">
        <f t="shared" si="6"/>
        <v>0</v>
      </c>
      <c r="U28" s="73">
        <f>基础信息!N33*INDEX(D$8:D$10,基础信息!S33)</f>
        <v>0</v>
      </c>
      <c r="V28" s="73">
        <f>基础信息!O33*INDEX(E$8:E$10,基础信息!T33)</f>
        <v>0</v>
      </c>
      <c r="W28" s="73">
        <f>基础信息!P33*INDEX(F$8:F$10,基础信息!U33)</f>
        <v>0</v>
      </c>
      <c r="X28" s="73">
        <f>基础信息!Q33*INDEX(G$8:G$10,基础信息!V33)</f>
        <v>0</v>
      </c>
      <c r="Y28" s="73">
        <f>基础信息!R33*INDEX(H$8:H$10,基础信息!W33)</f>
        <v>0</v>
      </c>
      <c r="Z28" s="59">
        <f>U28*门客升级!U28</f>
        <v>0</v>
      </c>
      <c r="AA28" s="59">
        <f>V28*门客升级!V28</f>
        <v>0</v>
      </c>
      <c r="AB28" s="59">
        <f>W28*门客升级!W28</f>
        <v>0</v>
      </c>
      <c r="AC28" s="59">
        <f>X28*门客升级!X28</f>
        <v>0</v>
      </c>
      <c r="AD28" s="59">
        <f>Y28*门客升级!Y28</f>
        <v>0</v>
      </c>
      <c r="AE28" s="109">
        <f>INDEX(门客实力!L$5:L$7,基础信息!S33)</f>
        <v>100</v>
      </c>
      <c r="AF28" s="109">
        <f>INDEX(门客实力!M$5:M$7,基础信息!T33)</f>
        <v>700</v>
      </c>
      <c r="AG28" s="109">
        <f>INDEX(门客实力!N$5:N$7,基础信息!U33)</f>
        <v>1000</v>
      </c>
      <c r="AH28" s="109">
        <f>INDEX(门客实力!O$5:O$7,基础信息!V33)</f>
        <v>2000</v>
      </c>
      <c r="AI28" s="109">
        <f>INDEX(门客实力!P$5:P$7,基础信息!W33)</f>
        <v>5000</v>
      </c>
    </row>
    <row r="29" spans="2:35" x14ac:dyDescent="0.15">
      <c r="B29" s="72"/>
      <c r="C29" s="6" t="s">
        <v>172</v>
      </c>
      <c r="D29" s="71">
        <v>1</v>
      </c>
      <c r="E29" s="71">
        <v>2</v>
      </c>
      <c r="F29" s="71">
        <v>3</v>
      </c>
      <c r="G29" s="71">
        <v>5</v>
      </c>
      <c r="H29" s="71">
        <v>10</v>
      </c>
      <c r="I29" s="72"/>
      <c r="K29" s="66">
        <v>5</v>
      </c>
      <c r="L29" s="60">
        <f>基础信息!D34</f>
        <v>31.5</v>
      </c>
      <c r="M29" s="61">
        <f>基础信息!E34</f>
        <v>29.031391010864539</v>
      </c>
      <c r="N29" s="61">
        <f>基础信息!F34</f>
        <v>51.047922371312225</v>
      </c>
      <c r="O29" s="77">
        <f>MAX(基础信息!$G34*基础信息!I34*基础信息!N34*INDEX(D$32:D$34,基础信息!S34),O28)</f>
        <v>0</v>
      </c>
      <c r="P29" s="77">
        <f>MAX(基础信息!$G34*基础信息!J34*基础信息!O34*INDEX(E$32:E$34,基础信息!T34),P28)</f>
        <v>0</v>
      </c>
      <c r="Q29" s="77">
        <f>MAX(基础信息!$G34*基础信息!K34*基础信息!P34*INDEX(F$32:F$34,基础信息!U34),Q28)</f>
        <v>0</v>
      </c>
      <c r="R29" s="77">
        <f>MAX(基础信息!$G34*基础信息!L34*基础信息!Q34*INDEX(G$32:G$34,基础信息!V34),R28)</f>
        <v>0</v>
      </c>
      <c r="S29" s="77">
        <f>MAX(基础信息!$G34*基础信息!M34*基础信息!R34*INDEX(H$32:H$34,基础信息!W34),S28)</f>
        <v>0</v>
      </c>
      <c r="T29" s="77">
        <f t="shared" si="6"/>
        <v>0</v>
      </c>
      <c r="U29" s="73">
        <f>基础信息!N34*INDEX(D$8:D$10,基础信息!S34)</f>
        <v>0</v>
      </c>
      <c r="V29" s="73">
        <f>基础信息!O34*INDEX(E$8:E$10,基础信息!T34)</f>
        <v>0.4</v>
      </c>
      <c r="W29" s="73">
        <f>基础信息!P34*INDEX(F$8:F$10,基础信息!U34)</f>
        <v>0.05</v>
      </c>
      <c r="X29" s="73">
        <f>基础信息!Q34*INDEX(G$8:G$10,基础信息!V34)</f>
        <v>0</v>
      </c>
      <c r="Y29" s="73">
        <f>基础信息!R34*INDEX(H$8:H$10,基础信息!W34)</f>
        <v>0</v>
      </c>
      <c r="Z29" s="59">
        <f>U29*门客升级!U29</f>
        <v>0</v>
      </c>
      <c r="AA29" s="59">
        <f>V29*门客升级!V29</f>
        <v>0</v>
      </c>
      <c r="AB29" s="59">
        <f>W29*门客升级!W29</f>
        <v>1.75</v>
      </c>
      <c r="AC29" s="59">
        <f>X29*门客升级!X29</f>
        <v>0</v>
      </c>
      <c r="AD29" s="59">
        <f>Y29*门客升级!Y29</f>
        <v>0</v>
      </c>
      <c r="AE29" s="109">
        <f>INDEX(门客实力!L$5:L$7,基础信息!S34)</f>
        <v>100</v>
      </c>
      <c r="AF29" s="109">
        <f>INDEX(门客实力!M$5:M$7,基础信息!T34)</f>
        <v>1000</v>
      </c>
      <c r="AG29" s="109">
        <f>INDEX(门客实力!N$5:N$7,基础信息!U34)</f>
        <v>1000</v>
      </c>
      <c r="AH29" s="109">
        <f>INDEX(门客实力!O$5:O$7,基础信息!V34)</f>
        <v>2000</v>
      </c>
      <c r="AI29" s="109">
        <f>INDEX(门客实力!P$5:P$7,基础信息!W34)</f>
        <v>5000</v>
      </c>
    </row>
    <row r="30" spans="2:35" x14ac:dyDescent="0.15">
      <c r="C30" s="6" t="s">
        <v>167</v>
      </c>
      <c r="D30" s="71">
        <f>门客升级!D8*D29</f>
        <v>100</v>
      </c>
      <c r="E30" s="71">
        <f>门客升级!E8*E29</f>
        <v>400</v>
      </c>
      <c r="F30" s="71">
        <f>门客升级!F8*F29</f>
        <v>1200</v>
      </c>
      <c r="G30" s="71">
        <f>门客升级!G8*G29</f>
        <v>4000</v>
      </c>
      <c r="H30" s="71">
        <f>门客升级!H8*H29</f>
        <v>10000</v>
      </c>
      <c r="K30" s="66">
        <v>6</v>
      </c>
      <c r="L30" s="60">
        <f>基础信息!D35</f>
        <v>35.5</v>
      </c>
      <c r="M30" s="61">
        <f>基础信息!E35</f>
        <v>54.898744666803331</v>
      </c>
      <c r="N30" s="61">
        <f>基础信息!F35</f>
        <v>60.077170204921828</v>
      </c>
      <c r="O30" s="77">
        <f>MAX(基础信息!$G35*基础信息!I35*基础信息!N35*INDEX(D$32:D$34,基础信息!S35),O29)</f>
        <v>0</v>
      </c>
      <c r="P30" s="77">
        <f>MAX(基础信息!$G35*基础信息!J35*基础信息!O35*INDEX(E$32:E$34,基础信息!T35),P29)</f>
        <v>0</v>
      </c>
      <c r="Q30" s="77">
        <f>MAX(基础信息!$G35*基础信息!K35*基础信息!P35*INDEX(F$32:F$34,基础信息!U35),Q29)</f>
        <v>0</v>
      </c>
      <c r="R30" s="77">
        <f>MAX(基础信息!$G35*基础信息!L35*基础信息!Q35*INDEX(G$32:G$34,基础信息!V35),R29)</f>
        <v>0</v>
      </c>
      <c r="S30" s="77">
        <f>MAX(基础信息!$G35*基础信息!M35*基础信息!R35*INDEX(H$32:H$34,基础信息!W35),S29)</f>
        <v>0</v>
      </c>
      <c r="T30" s="77">
        <f t="shared" si="6"/>
        <v>0</v>
      </c>
      <c r="U30" s="73">
        <f>基础信息!N35*INDEX(D$8:D$10,基础信息!S35)</f>
        <v>0</v>
      </c>
      <c r="V30" s="73">
        <f>基础信息!O35*INDEX(E$8:E$10,基础信息!T35)</f>
        <v>0.4</v>
      </c>
      <c r="W30" s="73">
        <f>基础信息!P35*INDEX(F$8:F$10,基础信息!U35)</f>
        <v>0.1</v>
      </c>
      <c r="X30" s="73">
        <f>基础信息!Q35*INDEX(G$8:G$10,基础信息!V35)</f>
        <v>0</v>
      </c>
      <c r="Y30" s="73">
        <f>基础信息!R35*INDEX(H$8:H$10,基础信息!W35)</f>
        <v>0</v>
      </c>
      <c r="Z30" s="59">
        <f>U30*门客升级!U30</f>
        <v>0</v>
      </c>
      <c r="AA30" s="59">
        <f>V30*门客升级!V30</f>
        <v>0</v>
      </c>
      <c r="AB30" s="59">
        <f>W30*门客升级!W30</f>
        <v>3.42</v>
      </c>
      <c r="AC30" s="59">
        <f>X30*门客升级!X30</f>
        <v>0</v>
      </c>
      <c r="AD30" s="59">
        <f>Y30*门客升级!Y30</f>
        <v>0</v>
      </c>
      <c r="AE30" s="109">
        <f>INDEX(门客实力!L$5:L$7,基础信息!S35)</f>
        <v>100</v>
      </c>
      <c r="AF30" s="109">
        <f>INDEX(门客实力!M$5:M$7,基础信息!T35)</f>
        <v>1000</v>
      </c>
      <c r="AG30" s="109">
        <f>INDEX(门客实力!N$5:N$7,基础信息!U35)</f>
        <v>1000</v>
      </c>
      <c r="AH30" s="109">
        <f>INDEX(门客实力!O$5:O$7,基础信息!V35)</f>
        <v>2000</v>
      </c>
      <c r="AI30" s="109">
        <f>INDEX(门客实力!P$5:P$7,基础信息!W35)</f>
        <v>5000</v>
      </c>
    </row>
    <row r="31" spans="2:35" x14ac:dyDescent="0.15">
      <c r="C31" s="6"/>
      <c r="D31" s="71"/>
      <c r="E31" s="71"/>
      <c r="F31" s="71"/>
      <c r="G31" s="71"/>
      <c r="H31" s="71"/>
      <c r="I31" s="68"/>
      <c r="K31" s="66">
        <v>7</v>
      </c>
      <c r="L31" s="60">
        <f>基础信息!D36</f>
        <v>39.5</v>
      </c>
      <c r="M31" s="61">
        <f>基础信息!E36</f>
        <v>99.697076394392013</v>
      </c>
      <c r="N31" s="61">
        <f>基础信息!F36</f>
        <v>68.578677703814634</v>
      </c>
      <c r="O31" s="77">
        <f>MAX(基础信息!$G36*基础信息!I36*基础信息!N36*INDEX(D$32:D$34,基础信息!S36),O30)</f>
        <v>0</v>
      </c>
      <c r="P31" s="77">
        <f>MAX(基础信息!$G36*基础信息!J36*基础信息!O36*INDEX(E$32:E$34,基础信息!T36),P30)</f>
        <v>0</v>
      </c>
      <c r="Q31" s="77">
        <f>MAX(基础信息!$G36*基础信息!K36*基础信息!P36*INDEX(F$32:F$34,基础信息!U36),Q30)</f>
        <v>14000</v>
      </c>
      <c r="R31" s="77">
        <f>MAX(基础信息!$G36*基础信息!L36*基础信息!Q36*INDEX(G$32:G$34,基础信息!V36),R30)</f>
        <v>0</v>
      </c>
      <c r="S31" s="77">
        <f>MAX(基础信息!$G36*基础信息!M36*基础信息!R36*INDEX(H$32:H$34,基础信息!W36),S30)</f>
        <v>0</v>
      </c>
      <c r="T31" s="77">
        <f t="shared" si="6"/>
        <v>14000</v>
      </c>
      <c r="U31" s="73">
        <f>基础信息!N36*INDEX(D$8:D$10,基础信息!S36)</f>
        <v>0</v>
      </c>
      <c r="V31" s="73">
        <f>基础信息!O36*INDEX(E$8:E$10,基础信息!T36)</f>
        <v>0.4</v>
      </c>
      <c r="W31" s="73">
        <f>基础信息!P36*INDEX(F$8:F$10,基础信息!U36)</f>
        <v>0.2</v>
      </c>
      <c r="X31" s="73">
        <f>基础信息!Q36*INDEX(G$8:G$10,基础信息!V36)</f>
        <v>0</v>
      </c>
      <c r="Y31" s="73">
        <f>基础信息!R36*INDEX(H$8:H$10,基础信息!W36)</f>
        <v>0</v>
      </c>
      <c r="Z31" s="59">
        <f>U31*门客升级!U31</f>
        <v>0</v>
      </c>
      <c r="AA31" s="59">
        <f>V31*门客升级!V31</f>
        <v>0</v>
      </c>
      <c r="AB31" s="59">
        <f>W31*门客升级!W31</f>
        <v>5.7399999999999993</v>
      </c>
      <c r="AC31" s="59">
        <f>X31*门客升级!X31</f>
        <v>0</v>
      </c>
      <c r="AD31" s="59">
        <f>Y31*门客升级!Y31</f>
        <v>0</v>
      </c>
      <c r="AE31" s="109">
        <f>INDEX(门客实力!L$5:L$7,基础信息!S36)</f>
        <v>100</v>
      </c>
      <c r="AF31" s="109">
        <f>INDEX(门客实力!M$5:M$7,基础信息!T36)</f>
        <v>1000</v>
      </c>
      <c r="AG31" s="109">
        <f>INDEX(门客实力!N$5:N$7,基础信息!U36)</f>
        <v>1500</v>
      </c>
      <c r="AH31" s="109">
        <f>INDEX(门客实力!O$5:O$7,基础信息!V36)</f>
        <v>2000</v>
      </c>
      <c r="AI31" s="109">
        <f>INDEX(门客实力!P$5:P$7,基础信息!W36)</f>
        <v>5000</v>
      </c>
    </row>
    <row r="32" spans="2:35" x14ac:dyDescent="0.15">
      <c r="C32" s="6" t="s">
        <v>168</v>
      </c>
      <c r="D32" s="71">
        <v>0</v>
      </c>
      <c r="E32" s="71">
        <v>0</v>
      </c>
      <c r="F32" s="71">
        <v>0</v>
      </c>
      <c r="G32" s="71">
        <v>0</v>
      </c>
      <c r="H32" s="71">
        <v>0</v>
      </c>
      <c r="K32" s="66">
        <v>8</v>
      </c>
      <c r="L32" s="60">
        <f>基础信息!D37</f>
        <v>43.5</v>
      </c>
      <c r="M32" s="61">
        <f>基础信息!E37</f>
        <v>180.54643493461919</v>
      </c>
      <c r="N32" s="61">
        <f>基础信息!F37</f>
        <v>77.110082613456697</v>
      </c>
      <c r="O32" s="77">
        <f>MAX(基础信息!$G37*基础信息!I37*基础信息!N37*INDEX(D$32:D$34,基础信息!S37),O31)</f>
        <v>0</v>
      </c>
      <c r="P32" s="77">
        <f>MAX(基础信息!$G37*基础信息!J37*基础信息!O37*INDEX(E$32:E$34,基础信息!T37),P31)</f>
        <v>0</v>
      </c>
      <c r="Q32" s="77">
        <f>MAX(基础信息!$G37*基础信息!K37*基础信息!P37*INDEX(F$32:F$34,基础信息!U37),Q31)</f>
        <v>14000</v>
      </c>
      <c r="R32" s="77">
        <f>MAX(基础信息!$G37*基础信息!L37*基础信息!Q37*INDEX(G$32:G$34,基础信息!V37),R31)</f>
        <v>0</v>
      </c>
      <c r="S32" s="77">
        <f>MAX(基础信息!$G37*基础信息!M37*基础信息!R37*INDEX(H$32:H$34,基础信息!W37),S31)</f>
        <v>0</v>
      </c>
      <c r="T32" s="77">
        <f t="shared" si="6"/>
        <v>14000</v>
      </c>
      <c r="U32" s="73">
        <f>基础信息!N37*INDEX(D$8:D$10,基础信息!S37)</f>
        <v>0</v>
      </c>
      <c r="V32" s="73">
        <f>基础信息!O37*INDEX(E$8:E$10,基础信息!T37)</f>
        <v>0.4</v>
      </c>
      <c r="W32" s="73">
        <f>基础信息!P37*INDEX(F$8:F$10,基础信息!U37)</f>
        <v>0.2</v>
      </c>
      <c r="X32" s="73">
        <f>基础信息!Q37*INDEX(G$8:G$10,基础信息!V37)</f>
        <v>0</v>
      </c>
      <c r="Y32" s="73">
        <f>基础信息!R37*INDEX(H$8:H$10,基础信息!W37)</f>
        <v>0</v>
      </c>
      <c r="Z32" s="59">
        <f>U32*门客升级!U32</f>
        <v>0</v>
      </c>
      <c r="AA32" s="59">
        <f>V32*门客升级!V32</f>
        <v>0</v>
      </c>
      <c r="AB32" s="59">
        <f>W32*门客升级!W32</f>
        <v>3.5200000000000005</v>
      </c>
      <c r="AC32" s="59">
        <f>X32*门客升级!X32</f>
        <v>0</v>
      </c>
      <c r="AD32" s="59">
        <f>Y32*门客升级!Y32</f>
        <v>0</v>
      </c>
      <c r="AE32" s="109">
        <f>INDEX(门客实力!L$5:L$7,基础信息!S37)</f>
        <v>100</v>
      </c>
      <c r="AF32" s="109">
        <f>INDEX(门客实力!M$5:M$7,基础信息!T37)</f>
        <v>1000</v>
      </c>
      <c r="AG32" s="109">
        <f>INDEX(门客实力!N$5:N$7,基础信息!U37)</f>
        <v>1500</v>
      </c>
      <c r="AH32" s="109">
        <f>INDEX(门客实力!O$5:O$7,基础信息!V37)</f>
        <v>2000</v>
      </c>
      <c r="AI32" s="109">
        <f>INDEX(门客实力!P$5:P$7,基础信息!W37)</f>
        <v>5000</v>
      </c>
    </row>
    <row r="33" spans="3:35" x14ac:dyDescent="0.15">
      <c r="C33" s="6" t="s">
        <v>169</v>
      </c>
      <c r="D33" s="71">
        <f t="shared" ref="D33:H34" si="7">1/D6*D$30</f>
        <v>333.33333333333337</v>
      </c>
      <c r="E33" s="71">
        <f t="shared" si="7"/>
        <v>1333.3333333333335</v>
      </c>
      <c r="F33" s="71">
        <f t="shared" si="7"/>
        <v>4000</v>
      </c>
      <c r="G33" s="71">
        <f t="shared" si="7"/>
        <v>13333.333333333334</v>
      </c>
      <c r="H33" s="71">
        <f t="shared" si="7"/>
        <v>33333.333333333336</v>
      </c>
      <c r="K33" s="66">
        <v>9</v>
      </c>
      <c r="L33" s="60">
        <f>基础信息!D38</f>
        <v>47.5</v>
      </c>
      <c r="M33" s="61">
        <f>基础信息!E38</f>
        <v>326.26831861477285</v>
      </c>
      <c r="N33" s="61">
        <f>基础信息!F38</f>
        <v>85.652928267499789</v>
      </c>
      <c r="O33" s="77">
        <f>MAX(基础信息!$G38*基础信息!I38*基础信息!N38*INDEX(D$32:D$34,基础信息!S38),O32)</f>
        <v>0</v>
      </c>
      <c r="P33" s="77">
        <f>MAX(基础信息!$G38*基础信息!J38*基础信息!O38*INDEX(E$32:E$34,基础信息!T38),P32)</f>
        <v>0</v>
      </c>
      <c r="Q33" s="77">
        <f>MAX(基础信息!$G38*基础信息!K38*基础信息!P38*INDEX(F$32:F$34,基础信息!U38),Q32)</f>
        <v>14000</v>
      </c>
      <c r="R33" s="77">
        <f>MAX(基础信息!$G38*基础信息!L38*基础信息!Q38*INDEX(G$32:G$34,基础信息!V38),R32)</f>
        <v>0</v>
      </c>
      <c r="S33" s="77">
        <f>MAX(基础信息!$G38*基础信息!M38*基础信息!R38*INDEX(H$32:H$34,基础信息!W38),S32)</f>
        <v>0</v>
      </c>
      <c r="T33" s="77">
        <f t="shared" si="6"/>
        <v>14000</v>
      </c>
      <c r="U33" s="73">
        <f>基础信息!N38*INDEX(D$8:D$10,基础信息!S38)</f>
        <v>0</v>
      </c>
      <c r="V33" s="73">
        <f>基础信息!O38*INDEX(E$8:E$10,基础信息!T38)</f>
        <v>0.4</v>
      </c>
      <c r="W33" s="73">
        <f>基础信息!P38*INDEX(F$8:F$10,基础信息!U38)</f>
        <v>0.4</v>
      </c>
      <c r="X33" s="73">
        <f>基础信息!Q38*INDEX(G$8:G$10,基础信息!V38)</f>
        <v>0</v>
      </c>
      <c r="Y33" s="73">
        <f>基础信息!R38*INDEX(H$8:H$10,基础信息!W38)</f>
        <v>0</v>
      </c>
      <c r="Z33" s="59">
        <f>U33*门客升级!U33</f>
        <v>0</v>
      </c>
      <c r="AA33" s="59">
        <f>V33*门客升级!V33</f>
        <v>0</v>
      </c>
      <c r="AB33" s="59">
        <f>W33*门客升级!W33</f>
        <v>0</v>
      </c>
      <c r="AC33" s="59">
        <f>X33*门客升级!X33</f>
        <v>0</v>
      </c>
      <c r="AD33" s="59">
        <f>Y33*门客升级!Y33</f>
        <v>0</v>
      </c>
      <c r="AE33" s="109">
        <f>INDEX(门客实力!L$5:L$7,基础信息!S38)</f>
        <v>100</v>
      </c>
      <c r="AF33" s="109">
        <f>INDEX(门客实力!M$5:M$7,基础信息!T38)</f>
        <v>1000</v>
      </c>
      <c r="AG33" s="109">
        <f>INDEX(门客实力!N$5:N$7,基础信息!U38)</f>
        <v>2000</v>
      </c>
      <c r="AH33" s="109">
        <f>INDEX(门客实力!O$5:O$7,基础信息!V38)</f>
        <v>2000</v>
      </c>
      <c r="AI33" s="109">
        <f>INDEX(门客实力!P$5:P$7,基础信息!W38)</f>
        <v>5000</v>
      </c>
    </row>
    <row r="34" spans="3:35" x14ac:dyDescent="0.15">
      <c r="C34" s="6" t="s">
        <v>170</v>
      </c>
      <c r="D34" s="71">
        <f t="shared" si="7"/>
        <v>1000</v>
      </c>
      <c r="E34" s="71">
        <f t="shared" si="7"/>
        <v>4000</v>
      </c>
      <c r="F34" s="71">
        <f t="shared" si="7"/>
        <v>12000</v>
      </c>
      <c r="G34" s="71">
        <f t="shared" si="7"/>
        <v>40000</v>
      </c>
      <c r="H34" s="71">
        <f t="shared" si="7"/>
        <v>100000</v>
      </c>
      <c r="K34" s="66">
        <v>10</v>
      </c>
      <c r="L34" s="60">
        <f>基础信息!D39</f>
        <v>52</v>
      </c>
      <c r="M34" s="61">
        <f>基础信息!E39</f>
        <v>631.88241509551563</v>
      </c>
      <c r="N34" s="61">
        <f>基础信息!F39</f>
        <v>95.320056465518832</v>
      </c>
      <c r="O34" s="77">
        <f>MAX(基础信息!$G39*基础信息!I39*基础信息!N39*INDEX(D$32:D$34,基础信息!S39),O33)</f>
        <v>0</v>
      </c>
      <c r="P34" s="77">
        <f>MAX(基础信息!$G39*基础信息!J39*基础信息!O39*INDEX(E$32:E$34,基础信息!T39),P33)</f>
        <v>0</v>
      </c>
      <c r="Q34" s="77">
        <f>MAX(基础信息!$G39*基础信息!K39*基础信息!P39*INDEX(F$32:F$34,基础信息!U39),Q33)</f>
        <v>14000</v>
      </c>
      <c r="R34" s="77">
        <f>MAX(基础信息!$G39*基础信息!L39*基础信息!Q39*INDEX(G$32:G$34,基础信息!V39),R33)</f>
        <v>53333.333333333336</v>
      </c>
      <c r="S34" s="77">
        <f>MAX(基础信息!$G39*基础信息!M39*基础信息!R39*INDEX(H$32:H$34,基础信息!W39),S33)</f>
        <v>0</v>
      </c>
      <c r="T34" s="77">
        <f t="shared" si="6"/>
        <v>67333.333333333343</v>
      </c>
      <c r="U34" s="73">
        <f>基础信息!N39*INDEX(D$8:D$10,基础信息!S39)</f>
        <v>0</v>
      </c>
      <c r="V34" s="73">
        <f>基础信息!O39*INDEX(E$8:E$10,基础信息!T39)</f>
        <v>0.4</v>
      </c>
      <c r="W34" s="73">
        <f>基础信息!P39*INDEX(F$8:F$10,基础信息!U39)</f>
        <v>0.4</v>
      </c>
      <c r="X34" s="73">
        <f>基础信息!Q39*INDEX(G$8:G$10,基础信息!V39)</f>
        <v>0.1</v>
      </c>
      <c r="Y34" s="73">
        <f>基础信息!R39*INDEX(H$8:H$10,基础信息!W39)</f>
        <v>0</v>
      </c>
      <c r="Z34" s="59">
        <f>U34*门客升级!U34</f>
        <v>0</v>
      </c>
      <c r="AA34" s="59">
        <f>V34*门客升级!V34</f>
        <v>0</v>
      </c>
      <c r="AB34" s="59">
        <f>W34*门客升级!W34</f>
        <v>0</v>
      </c>
      <c r="AC34" s="59">
        <f>X34*门客升级!X34</f>
        <v>9.6000000000000014</v>
      </c>
      <c r="AD34" s="59">
        <f>Y34*门客升级!Y34</f>
        <v>0</v>
      </c>
      <c r="AE34" s="109">
        <f>INDEX(门客实力!L$5:L$7,基础信息!S39)</f>
        <v>100</v>
      </c>
      <c r="AF34" s="109">
        <f>INDEX(门客实力!M$5:M$7,基础信息!T39)</f>
        <v>1000</v>
      </c>
      <c r="AG34" s="109">
        <f>INDEX(门客实力!N$5:N$7,基础信息!U39)</f>
        <v>2000</v>
      </c>
      <c r="AH34" s="109">
        <f>INDEX(门客实力!O$5:O$7,基础信息!V39)</f>
        <v>3000</v>
      </c>
      <c r="AI34" s="109">
        <f>INDEX(门客实力!P$5:P$7,基础信息!W39)</f>
        <v>7000</v>
      </c>
    </row>
    <row r="35" spans="3:35" x14ac:dyDescent="0.15">
      <c r="K35" s="66">
        <v>11</v>
      </c>
      <c r="L35" s="60">
        <f>基础信息!D40</f>
        <v>57</v>
      </c>
      <c r="M35" s="61">
        <f>基础信息!E40</f>
        <v>1318.2598742162893</v>
      </c>
      <c r="N35" s="61">
        <f>基础信息!F40</f>
        <v>105.93060744042049</v>
      </c>
      <c r="O35" s="77">
        <f>MAX(基础信息!$G40*基础信息!I40*基础信息!N40*INDEX(D$32:D$34,基础信息!S40),O34)</f>
        <v>0</v>
      </c>
      <c r="P35" s="77">
        <f>MAX(基础信息!$G40*基础信息!J40*基础信息!O40*INDEX(E$32:E$34,基础信息!T40),P34)</f>
        <v>0</v>
      </c>
      <c r="Q35" s="77">
        <f>MAX(基础信息!$G40*基础信息!K40*基础信息!P40*INDEX(F$32:F$34,基础信息!U40),Q34)</f>
        <v>14000</v>
      </c>
      <c r="R35" s="77">
        <f>MAX(基础信息!$G40*基础信息!L40*基础信息!Q40*INDEX(G$32:G$34,基础信息!V40),R34)</f>
        <v>88000</v>
      </c>
      <c r="S35" s="77">
        <f>MAX(基础信息!$G40*基础信息!M40*基础信息!R40*INDEX(H$32:H$34,基础信息!W40),S34)</f>
        <v>0</v>
      </c>
      <c r="T35" s="77">
        <f t="shared" si="6"/>
        <v>102000</v>
      </c>
      <c r="U35" s="73">
        <f>基础信息!N40*INDEX(D$8:D$10,基础信息!S40)</f>
        <v>0</v>
      </c>
      <c r="V35" s="73">
        <f>基础信息!O40*INDEX(E$8:E$10,基础信息!T40)</f>
        <v>0.4</v>
      </c>
      <c r="W35" s="73">
        <f>基础信息!P40*INDEX(F$8:F$10,基础信息!U40)</f>
        <v>0.4</v>
      </c>
      <c r="X35" s="73">
        <f>基础信息!Q40*INDEX(G$8:G$10,基础信息!V40)</f>
        <v>0.2</v>
      </c>
      <c r="Y35" s="73">
        <f>基础信息!R40*INDEX(H$8:H$10,基础信息!W40)</f>
        <v>0</v>
      </c>
      <c r="Z35" s="59">
        <f>U35*门客升级!U35</f>
        <v>0</v>
      </c>
      <c r="AA35" s="59">
        <f>V35*门客升级!V35</f>
        <v>0</v>
      </c>
      <c r="AB35" s="59">
        <f>W35*门客升级!W35</f>
        <v>0</v>
      </c>
      <c r="AC35" s="59">
        <f>X35*门客升级!X35</f>
        <v>15.839999999999998</v>
      </c>
      <c r="AD35" s="59">
        <f>Y35*门客升级!Y35</f>
        <v>0</v>
      </c>
      <c r="AE35" s="109">
        <f>INDEX(门客实力!L$5:L$7,基础信息!S40)</f>
        <v>100</v>
      </c>
      <c r="AF35" s="109">
        <f>INDEX(门客实力!M$5:M$7,基础信息!T40)</f>
        <v>1000</v>
      </c>
      <c r="AG35" s="109">
        <f>INDEX(门客实力!N$5:N$7,基础信息!U40)</f>
        <v>2000</v>
      </c>
      <c r="AH35" s="109">
        <f>INDEX(门客实力!O$5:O$7,基础信息!V40)</f>
        <v>3000</v>
      </c>
      <c r="AI35" s="109">
        <f>INDEX(门客实力!P$5:P$7,基础信息!W40)</f>
        <v>7000</v>
      </c>
    </row>
    <row r="36" spans="3:35" x14ac:dyDescent="0.15">
      <c r="K36" s="66">
        <v>12</v>
      </c>
      <c r="L36" s="60">
        <f>基础信息!D41</f>
        <v>62</v>
      </c>
      <c r="M36" s="61">
        <f>基础信息!E41</f>
        <v>2745.081836483092</v>
      </c>
      <c r="N36" s="61">
        <f>基础信息!F41</f>
        <v>116.57008716694446</v>
      </c>
      <c r="O36" s="77">
        <f>MAX(基础信息!$G41*基础信息!I41*基础信息!N41*INDEX(D$32:D$34,基础信息!S41),O35)</f>
        <v>0</v>
      </c>
      <c r="P36" s="77">
        <f>MAX(基础信息!$G41*基础信息!J41*基础信息!O41*INDEX(E$32:E$34,基础信息!T41),P35)</f>
        <v>0</v>
      </c>
      <c r="Q36" s="77">
        <f>MAX(基础信息!$G41*基础信息!K41*基础信息!P41*INDEX(F$32:F$34,基础信息!U41),Q35)</f>
        <v>14000</v>
      </c>
      <c r="R36" s="77">
        <f>MAX(基础信息!$G41*基础信息!L41*基础信息!Q41*INDEX(G$32:G$34,基础信息!V41),R35)</f>
        <v>96000.000000000015</v>
      </c>
      <c r="S36" s="77">
        <f>MAX(基础信息!$G41*基础信息!M41*基础信息!R41*INDEX(H$32:H$34,基础信息!W41),S35)</f>
        <v>0</v>
      </c>
      <c r="T36" s="77">
        <f t="shared" si="6"/>
        <v>110000.00000000001</v>
      </c>
      <c r="U36" s="73">
        <f>基础信息!N41*INDEX(D$8:D$10,基础信息!S41)</f>
        <v>0</v>
      </c>
      <c r="V36" s="73">
        <f>基础信息!O41*INDEX(E$8:E$10,基础信息!T41)</f>
        <v>0.4</v>
      </c>
      <c r="W36" s="73">
        <f>基础信息!P41*INDEX(F$8:F$10,基础信息!U41)</f>
        <v>0.4</v>
      </c>
      <c r="X36" s="73">
        <f>基础信息!Q41*INDEX(G$8:G$10,基础信息!V41)</f>
        <v>0.30000000000000004</v>
      </c>
      <c r="Y36" s="73">
        <f>基础信息!R41*INDEX(H$8:H$10,基础信息!W41)</f>
        <v>0</v>
      </c>
      <c r="Z36" s="59">
        <f>U36*门客升级!U36</f>
        <v>0</v>
      </c>
      <c r="AA36" s="59">
        <f>V36*门客升级!V36</f>
        <v>0</v>
      </c>
      <c r="AB36" s="59">
        <f>W36*门客升级!W36</f>
        <v>0</v>
      </c>
      <c r="AC36" s="59">
        <f>X36*门客升级!X36</f>
        <v>17.280000000000005</v>
      </c>
      <c r="AD36" s="59">
        <f>Y36*门客升级!Y36</f>
        <v>0</v>
      </c>
      <c r="AE36" s="109">
        <f>INDEX(门客实力!L$5:L$7,基础信息!S41)</f>
        <v>100</v>
      </c>
      <c r="AF36" s="109">
        <f>INDEX(门客实力!M$5:M$7,基础信息!T41)</f>
        <v>1000</v>
      </c>
      <c r="AG36" s="109">
        <f>INDEX(门客实力!N$5:N$7,基础信息!U41)</f>
        <v>2000</v>
      </c>
      <c r="AH36" s="109">
        <f>INDEX(门客实力!O$5:O$7,基础信息!V41)</f>
        <v>3000</v>
      </c>
      <c r="AI36" s="109">
        <f>INDEX(门客实力!P$5:P$7,基础信息!W41)</f>
        <v>7000</v>
      </c>
    </row>
    <row r="37" spans="3:35" x14ac:dyDescent="0.15">
      <c r="K37" s="66">
        <v>13</v>
      </c>
      <c r="L37" s="60">
        <f>基础信息!D42</f>
        <v>67</v>
      </c>
      <c r="M37" s="61">
        <f>基础信息!E42</f>
        <v>5706.8398490672153</v>
      </c>
      <c r="N37" s="61">
        <f>基础信息!F42</f>
        <v>127.12838978012395</v>
      </c>
      <c r="O37" s="77">
        <f>MAX(基础信息!$G42*基础信息!I42*基础信息!N42*INDEX(D$32:D$34,基础信息!S42),O36)</f>
        <v>0</v>
      </c>
      <c r="P37" s="77">
        <f>MAX(基础信息!$G42*基础信息!J42*基础信息!O42*INDEX(E$32:E$34,基础信息!T42),P36)</f>
        <v>0</v>
      </c>
      <c r="Q37" s="77">
        <f>MAX(基础信息!$G42*基础信息!K42*基础信息!P42*INDEX(F$32:F$34,基础信息!U42),Q36)</f>
        <v>14000</v>
      </c>
      <c r="R37" s="77">
        <f>MAX(基础信息!$G42*基础信息!L42*基础信息!Q42*INDEX(G$32:G$34,基础信息!V42),R36)</f>
        <v>96000.000000000015</v>
      </c>
      <c r="S37" s="77">
        <f>MAX(基础信息!$G42*基础信息!M42*基础信息!R42*INDEX(H$32:H$34,基础信息!W42),S36)</f>
        <v>0</v>
      </c>
      <c r="T37" s="77">
        <f t="shared" si="6"/>
        <v>110000.00000000001</v>
      </c>
      <c r="U37" s="73">
        <f>基础信息!N42*INDEX(D$8:D$10,基础信息!S42)</f>
        <v>0</v>
      </c>
      <c r="V37" s="73">
        <f>基础信息!O42*INDEX(E$8:E$10,基础信息!T42)</f>
        <v>0.4</v>
      </c>
      <c r="W37" s="73">
        <f>基础信息!P42*INDEX(F$8:F$10,基础信息!U42)</f>
        <v>0.4</v>
      </c>
      <c r="X37" s="73">
        <f>基础信息!Q42*INDEX(G$8:G$10,基础信息!V42)</f>
        <v>0.4</v>
      </c>
      <c r="Y37" s="73">
        <f>基础信息!R42*INDEX(H$8:H$10,基础信息!W42)</f>
        <v>0</v>
      </c>
      <c r="Z37" s="59">
        <f>U37*门客升级!U37</f>
        <v>0</v>
      </c>
      <c r="AA37" s="59">
        <f>V37*门客升级!V37</f>
        <v>0</v>
      </c>
      <c r="AB37" s="59">
        <f>W37*门客升级!W37</f>
        <v>0</v>
      </c>
      <c r="AC37" s="59">
        <f>X37*门客升级!X37</f>
        <v>12.480000000000002</v>
      </c>
      <c r="AD37" s="59">
        <f>Y37*门客升级!Y37</f>
        <v>0</v>
      </c>
      <c r="AE37" s="109">
        <f>INDEX(门客实力!L$5:L$7,基础信息!S42)</f>
        <v>100</v>
      </c>
      <c r="AF37" s="109">
        <f>INDEX(门客实力!M$5:M$7,基础信息!T42)</f>
        <v>1000</v>
      </c>
      <c r="AG37" s="109">
        <f>INDEX(门客实力!N$5:N$7,基础信息!U42)</f>
        <v>2000</v>
      </c>
      <c r="AH37" s="109">
        <f>INDEX(门客实力!O$5:O$7,基础信息!V42)</f>
        <v>3000</v>
      </c>
      <c r="AI37" s="109">
        <f>INDEX(门客实力!P$5:P$7,基础信息!W42)</f>
        <v>7000</v>
      </c>
    </row>
    <row r="38" spans="3:35" x14ac:dyDescent="0.15">
      <c r="K38" s="66">
        <v>14</v>
      </c>
      <c r="L38" s="60">
        <f>基础信息!D43</f>
        <v>72</v>
      </c>
      <c r="M38" s="61">
        <f>基础信息!E43</f>
        <v>11846.564050336494</v>
      </c>
      <c r="N38" s="61">
        <f>基础信息!F43</f>
        <v>137.70627422196659</v>
      </c>
      <c r="O38" s="77">
        <f>MAX(基础信息!$G43*基础信息!I43*基础信息!N43*INDEX(D$32:D$34,基础信息!S43),O37)</f>
        <v>0</v>
      </c>
      <c r="P38" s="77">
        <f>MAX(基础信息!$G43*基础信息!J43*基础信息!O43*INDEX(E$32:E$34,基础信息!T43),P37)</f>
        <v>0</v>
      </c>
      <c r="Q38" s="77">
        <f>MAX(基础信息!$G43*基础信息!K43*基础信息!P43*INDEX(F$32:F$34,基础信息!U43),Q37)</f>
        <v>14000</v>
      </c>
      <c r="R38" s="77">
        <f>MAX(基础信息!$G43*基础信息!L43*基础信息!Q43*INDEX(G$32:G$34,基础信息!V43),R37)</f>
        <v>96000.000000000015</v>
      </c>
      <c r="S38" s="77">
        <f>MAX(基础信息!$G43*基础信息!M43*基础信息!R43*INDEX(H$32:H$34,基础信息!W43),S37)</f>
        <v>0</v>
      </c>
      <c r="T38" s="77">
        <f t="shared" si="6"/>
        <v>110000.00000000001</v>
      </c>
      <c r="U38" s="73">
        <f>基础信息!N43*INDEX(D$8:D$10,基础信息!S43)</f>
        <v>0</v>
      </c>
      <c r="V38" s="73">
        <f>基础信息!O43*INDEX(E$8:E$10,基础信息!T43)</f>
        <v>0.4</v>
      </c>
      <c r="W38" s="73">
        <f>基础信息!P43*INDEX(F$8:F$10,基础信息!U43)</f>
        <v>0.4</v>
      </c>
      <c r="X38" s="73">
        <f>基础信息!Q43*INDEX(G$8:G$10,基础信息!V43)</f>
        <v>0.8</v>
      </c>
      <c r="Y38" s="73">
        <f>基础信息!R43*INDEX(H$8:H$10,基础信息!W43)</f>
        <v>0</v>
      </c>
      <c r="Z38" s="59">
        <f>U38*门客升级!U38</f>
        <v>0</v>
      </c>
      <c r="AA38" s="59">
        <f>V38*门客升级!V38</f>
        <v>0</v>
      </c>
      <c r="AB38" s="59">
        <f>W38*门客升级!W38</f>
        <v>0</v>
      </c>
      <c r="AC38" s="59">
        <f>X38*门客升级!X38</f>
        <v>0</v>
      </c>
      <c r="AD38" s="59">
        <f>Y38*门客升级!Y38</f>
        <v>0</v>
      </c>
      <c r="AE38" s="109">
        <f>INDEX(门客实力!L$5:L$7,基础信息!S43)</f>
        <v>100</v>
      </c>
      <c r="AF38" s="109">
        <f>INDEX(门客实力!M$5:M$7,基础信息!T43)</f>
        <v>1000</v>
      </c>
      <c r="AG38" s="109">
        <f>INDEX(门客实力!N$5:N$7,基础信息!U43)</f>
        <v>2000</v>
      </c>
      <c r="AH38" s="109">
        <f>INDEX(门客实力!O$5:O$7,基础信息!V43)</f>
        <v>5000</v>
      </c>
      <c r="AI38" s="109">
        <f>INDEX(门客实力!P$5:P$7,基础信息!W43)</f>
        <v>10000</v>
      </c>
    </row>
    <row r="39" spans="3:35" x14ac:dyDescent="0.15">
      <c r="K39" s="66">
        <v>15</v>
      </c>
      <c r="L39" s="60">
        <f>基础信息!D44</f>
        <v>77</v>
      </c>
      <c r="M39" s="61">
        <f>基础信息!E44</f>
        <v>24558.40880507711</v>
      </c>
      <c r="N39" s="61">
        <f>基础信息!F44</f>
        <v>148.27357279823164</v>
      </c>
      <c r="O39" s="77">
        <f>MAX(基础信息!$G44*基础信息!I44*基础信息!N44*INDEX(D$32:D$34,基础信息!S44),O38)</f>
        <v>0</v>
      </c>
      <c r="P39" s="77">
        <f>MAX(基础信息!$G44*基础信息!J44*基础信息!O44*INDEX(E$32:E$34,基础信息!T44),P38)</f>
        <v>0</v>
      </c>
      <c r="Q39" s="77">
        <f>MAX(基础信息!$G44*基础信息!K44*基础信息!P44*INDEX(F$32:F$34,基础信息!U44),Q38)</f>
        <v>14000</v>
      </c>
      <c r="R39" s="77">
        <f>MAX(基础信息!$G44*基础信息!L44*基础信息!Q44*INDEX(G$32:G$34,基础信息!V44),R38)</f>
        <v>96000.000000000015</v>
      </c>
      <c r="S39" s="77">
        <f>MAX(基础信息!$G44*基础信息!M44*基础信息!R44*INDEX(H$32:H$34,基础信息!W44),S38)</f>
        <v>750000</v>
      </c>
      <c r="T39" s="77">
        <f t="shared" si="6"/>
        <v>860000</v>
      </c>
      <c r="U39" s="73">
        <f>基础信息!N44*INDEX(D$8:D$10,基础信息!S44)</f>
        <v>0</v>
      </c>
      <c r="V39" s="73">
        <f>基础信息!O44*INDEX(E$8:E$10,基础信息!T44)</f>
        <v>0.4</v>
      </c>
      <c r="W39" s="73">
        <f>基础信息!P44*INDEX(F$8:F$10,基础信息!U44)</f>
        <v>0.4</v>
      </c>
      <c r="X39" s="73">
        <f>基础信息!Q44*INDEX(G$8:G$10,基础信息!V44)</f>
        <v>0.8</v>
      </c>
      <c r="Y39" s="73">
        <f>基础信息!R44*INDEX(H$8:H$10,基础信息!W44)</f>
        <v>0.2</v>
      </c>
      <c r="Z39" s="59">
        <f>U39*门客升级!U39</f>
        <v>0</v>
      </c>
      <c r="AA39" s="59">
        <f>V39*门客升级!V39</f>
        <v>0</v>
      </c>
      <c r="AB39" s="59">
        <f>W39*门客升级!W39</f>
        <v>0</v>
      </c>
      <c r="AC39" s="59">
        <f>X39*门客升级!X39</f>
        <v>0</v>
      </c>
      <c r="AD39" s="59">
        <f>Y39*门客升级!Y39</f>
        <v>45</v>
      </c>
      <c r="AE39" s="109">
        <f>INDEX(门客实力!L$5:L$7,基础信息!S44)</f>
        <v>100</v>
      </c>
      <c r="AF39" s="109">
        <f>INDEX(门客实力!M$5:M$7,基础信息!T44)</f>
        <v>1000</v>
      </c>
      <c r="AG39" s="109">
        <f>INDEX(门客实力!N$5:N$7,基础信息!U44)</f>
        <v>2000</v>
      </c>
      <c r="AH39" s="109">
        <f>INDEX(门客实力!O$5:O$7,基础信息!V44)</f>
        <v>5000</v>
      </c>
      <c r="AI39" s="109">
        <f>INDEX(门客实力!P$5:P$7,基础信息!W44)</f>
        <v>10000</v>
      </c>
    </row>
    <row r="40" spans="3:35" x14ac:dyDescent="0.15">
      <c r="K40" s="66">
        <v>16</v>
      </c>
      <c r="L40" s="60">
        <f>基础信息!D45</f>
        <v>80</v>
      </c>
      <c r="M40" s="61">
        <f>基础信息!E45</f>
        <v>38010.300000000003</v>
      </c>
      <c r="N40" s="61">
        <f>基础信息!F45</f>
        <v>154.14666602127767</v>
      </c>
      <c r="O40" s="77">
        <f>MAX(基础信息!$G45*基础信息!I45*基础信息!N45*INDEX(D$32:D$34,基础信息!S45),O39)</f>
        <v>0</v>
      </c>
      <c r="P40" s="77">
        <f>MAX(基础信息!$G45*基础信息!J45*基础信息!O45*INDEX(E$32:E$34,基础信息!T45),P39)</f>
        <v>0</v>
      </c>
      <c r="Q40" s="77">
        <f>MAX(基础信息!$G45*基础信息!K45*基础信息!P45*INDEX(F$32:F$34,基础信息!U45),Q39)</f>
        <v>14000</v>
      </c>
      <c r="R40" s="77">
        <f>MAX(基础信息!$G45*基础信息!L45*基础信息!Q45*INDEX(G$32:G$34,基础信息!V45),R39)</f>
        <v>96000.000000000015</v>
      </c>
      <c r="S40" s="77">
        <f>MAX(基础信息!$G45*基础信息!M45*基础信息!R45*INDEX(H$32:H$34,基础信息!W45),S39)</f>
        <v>1600000</v>
      </c>
      <c r="T40" s="77">
        <f t="shared" si="6"/>
        <v>1710000</v>
      </c>
      <c r="U40" s="73">
        <f>基础信息!N45*INDEX(D$8:D$10,基础信息!S45)</f>
        <v>0</v>
      </c>
      <c r="V40" s="73">
        <f>基础信息!O45*INDEX(E$8:E$10,基础信息!T45)</f>
        <v>0.4</v>
      </c>
      <c r="W40" s="73">
        <f>基础信息!P45*INDEX(F$8:F$10,基础信息!U45)</f>
        <v>0.4</v>
      </c>
      <c r="X40" s="73">
        <f>基础信息!Q45*INDEX(G$8:G$10,基础信息!V45)</f>
        <v>0.8</v>
      </c>
      <c r="Y40" s="73">
        <f>基础信息!R45*INDEX(H$8:H$10,基础信息!W45)</f>
        <v>0.4</v>
      </c>
      <c r="Z40" s="59">
        <f>U40*门客升级!U40</f>
        <v>0</v>
      </c>
      <c r="AA40" s="59">
        <f>V40*门客升级!V40</f>
        <v>0</v>
      </c>
      <c r="AB40" s="59">
        <f>W40*门客升级!W40</f>
        <v>0</v>
      </c>
      <c r="AC40" s="59">
        <f>X40*门客升级!X40</f>
        <v>0</v>
      </c>
      <c r="AD40" s="59">
        <f>Y40*门客升级!Y40</f>
        <v>96</v>
      </c>
      <c r="AE40" s="109">
        <f>INDEX(门客实力!L$5:L$7,基础信息!S45)</f>
        <v>100</v>
      </c>
      <c r="AF40" s="109">
        <f>INDEX(门客实力!M$5:M$7,基础信息!T45)</f>
        <v>1000</v>
      </c>
      <c r="AG40" s="109">
        <f>INDEX(门客实力!N$5:N$7,基础信息!U45)</f>
        <v>2000</v>
      </c>
      <c r="AH40" s="109">
        <f>INDEX(门客实力!O$5:O$7,基础信息!V45)</f>
        <v>5000</v>
      </c>
      <c r="AI40" s="109">
        <f>INDEX(门客实力!P$5:P$7,基础信息!W45)</f>
        <v>10000</v>
      </c>
    </row>
    <row r="41" spans="3:35" x14ac:dyDescent="0.15">
      <c r="K41" s="66"/>
      <c r="L41" s="66"/>
      <c r="M41" s="65"/>
      <c r="N41" s="65"/>
    </row>
    <row r="42" spans="3:35" x14ac:dyDescent="0.15">
      <c r="K42" s="66"/>
      <c r="L42" s="66"/>
      <c r="M42" s="65"/>
      <c r="N42" s="65"/>
    </row>
    <row r="43" spans="3:35" x14ac:dyDescent="0.15">
      <c r="K43" s="66" t="s">
        <v>2</v>
      </c>
      <c r="L43" s="66"/>
      <c r="M43" s="65"/>
      <c r="N43" s="65"/>
      <c r="O43" s="126" t="s">
        <v>164</v>
      </c>
      <c r="P43" s="126"/>
      <c r="Q43" s="126"/>
      <c r="R43" s="126"/>
      <c r="S43" s="126"/>
      <c r="U43" s="126" t="s">
        <v>157</v>
      </c>
      <c r="V43" s="126"/>
      <c r="W43" s="126"/>
      <c r="X43" s="126"/>
      <c r="Y43" s="126"/>
      <c r="Z43" s="123" t="s">
        <v>159</v>
      </c>
      <c r="AA43" s="123"/>
      <c r="AB43" s="123"/>
      <c r="AC43" s="123"/>
      <c r="AD43" s="123"/>
      <c r="AE43" s="121" t="s">
        <v>302</v>
      </c>
      <c r="AF43" s="121"/>
      <c r="AG43" s="121"/>
      <c r="AH43" s="121"/>
      <c r="AI43" s="121"/>
    </row>
    <row r="44" spans="3:35" x14ac:dyDescent="0.15">
      <c r="K44" s="66" t="s">
        <v>21</v>
      </c>
      <c r="L44" s="66" t="s">
        <v>121</v>
      </c>
      <c r="M44" s="65" t="s">
        <v>122</v>
      </c>
      <c r="N44" s="65" t="s">
        <v>103</v>
      </c>
      <c r="O44" s="74" t="s">
        <v>104</v>
      </c>
      <c r="P44" s="74" t="s">
        <v>105</v>
      </c>
      <c r="Q44" s="74" t="s">
        <v>106</v>
      </c>
      <c r="R44" s="74" t="s">
        <v>107</v>
      </c>
      <c r="S44" s="74" t="s">
        <v>108</v>
      </c>
      <c r="T44" s="74" t="s">
        <v>171</v>
      </c>
      <c r="U44" s="73" t="s">
        <v>104</v>
      </c>
      <c r="V44" s="73" t="s">
        <v>105</v>
      </c>
      <c r="W44" s="73" t="s">
        <v>106</v>
      </c>
      <c r="X44" s="73" t="s">
        <v>107</v>
      </c>
      <c r="Y44" s="73" t="s">
        <v>108</v>
      </c>
      <c r="Z44" s="59" t="s">
        <v>104</v>
      </c>
      <c r="AA44" s="59" t="s">
        <v>105</v>
      </c>
      <c r="AB44" s="59" t="s">
        <v>106</v>
      </c>
      <c r="AC44" s="59" t="s">
        <v>107</v>
      </c>
      <c r="AD44" s="59" t="s">
        <v>108</v>
      </c>
      <c r="AE44" s="110" t="s">
        <v>104</v>
      </c>
      <c r="AF44" s="110" t="s">
        <v>105</v>
      </c>
      <c r="AG44" s="110" t="s">
        <v>106</v>
      </c>
      <c r="AH44" s="110" t="s">
        <v>107</v>
      </c>
      <c r="AI44" s="110" t="s">
        <v>108</v>
      </c>
    </row>
    <row r="45" spans="3:35" x14ac:dyDescent="0.15">
      <c r="K45" s="66">
        <v>1</v>
      </c>
      <c r="L45" s="60">
        <f>基础信息!D50</f>
        <v>16</v>
      </c>
      <c r="M45" s="61">
        <f>基础信息!E50</f>
        <v>1.5232631522355879</v>
      </c>
      <c r="N45" s="61">
        <f>基础信息!F50</f>
        <v>16.55360159735687</v>
      </c>
      <c r="O45" s="77">
        <f>MAX(基础信息!$G50*基础信息!I50*基础信息!N50*INDEX(D$32:D$34,基础信息!S50),O44)</f>
        <v>0</v>
      </c>
      <c r="P45" s="77">
        <f>MAX(基础信息!$G50*基础信息!J50*基础信息!O50*INDEX(E$32:E$34,基础信息!T50),P44)</f>
        <v>0</v>
      </c>
      <c r="Q45" s="77">
        <f>MAX(基础信息!$G50*基础信息!K50*基础信息!P50*INDEX(F$32:F$34,基础信息!U50),Q44)</f>
        <v>0</v>
      </c>
      <c r="R45" s="77">
        <f>MAX(基础信息!$G50*基础信息!L50*基础信息!Q50*INDEX(G$32:G$34,基础信息!V50),R44)</f>
        <v>0</v>
      </c>
      <c r="S45" s="77">
        <f>MAX(基础信息!$G50*基础信息!M50*基础信息!R50*INDEX(H$32:H$34,基础信息!W50),S44)</f>
        <v>0</v>
      </c>
      <c r="T45" s="77">
        <f>SUM(O45:S45)</f>
        <v>0</v>
      </c>
      <c r="U45" s="73">
        <f>基础信息!N50*INDEX(D$8:D$10,基础信息!S50)</f>
        <v>0</v>
      </c>
      <c r="V45" s="73">
        <f>基础信息!O50*INDEX(E$8:E$10,基础信息!T50)</f>
        <v>0</v>
      </c>
      <c r="W45" s="73">
        <f>基础信息!P50*INDEX(F$8:F$10,基础信息!U50)</f>
        <v>0</v>
      </c>
      <c r="X45" s="73">
        <f>基础信息!Q50*INDEX(G$8:G$10,基础信息!V50)</f>
        <v>0</v>
      </c>
      <c r="Y45" s="73">
        <f>基础信息!R50*INDEX(H$8:H$10,基础信息!W50)</f>
        <v>0</v>
      </c>
      <c r="Z45" s="59">
        <f>U45*门客升级!U45</f>
        <v>0</v>
      </c>
      <c r="AA45" s="59">
        <f>V45*门客升级!V45</f>
        <v>0</v>
      </c>
      <c r="AB45" s="59">
        <f>W45*门客升级!W45</f>
        <v>0</v>
      </c>
      <c r="AC45" s="59">
        <f>X45*门客升级!X45</f>
        <v>0</v>
      </c>
      <c r="AD45" s="59">
        <f>Y45*门客升级!Y45</f>
        <v>0</v>
      </c>
      <c r="AE45" s="109">
        <f>INDEX(门客实力!L$5:L$7,基础信息!S50)</f>
        <v>100</v>
      </c>
      <c r="AF45" s="109">
        <f>INDEX(门客实力!M$5:M$7,基础信息!T50)</f>
        <v>500</v>
      </c>
      <c r="AG45" s="109">
        <f>INDEX(门客实力!N$5:N$7,基础信息!U50)</f>
        <v>1000</v>
      </c>
      <c r="AH45" s="109">
        <f>INDEX(门客实力!O$5:O$7,基础信息!V50)</f>
        <v>2000</v>
      </c>
      <c r="AI45" s="109">
        <f>INDEX(门客实力!P$5:P$7,基础信息!W50)</f>
        <v>5000</v>
      </c>
    </row>
    <row r="46" spans="3:35" x14ac:dyDescent="0.15">
      <c r="K46" s="66">
        <v>2</v>
      </c>
      <c r="L46" s="60">
        <f>基础信息!D51</f>
        <v>19.5</v>
      </c>
      <c r="M46" s="61">
        <f>基础信息!E51</f>
        <v>2.8937385192992746</v>
      </c>
      <c r="N46" s="61">
        <f>基础信息!F51</f>
        <v>23.331269805933818</v>
      </c>
      <c r="O46" s="77">
        <f>MAX(基础信息!$G51*基础信息!I51*基础信息!N51*INDEX(D$32:D$34,基础信息!S51),O45)</f>
        <v>0</v>
      </c>
      <c r="P46" s="77">
        <f>MAX(基础信息!$G51*基础信息!J51*基础信息!O51*INDEX(E$32:E$34,基础信息!T51),P45)</f>
        <v>0</v>
      </c>
      <c r="Q46" s="77">
        <f>MAX(基础信息!$G51*基础信息!K51*基础信息!P51*INDEX(F$32:F$34,基础信息!U51),Q45)</f>
        <v>0</v>
      </c>
      <c r="R46" s="77">
        <f>MAX(基础信息!$G51*基础信息!L51*基础信息!Q51*INDEX(G$32:G$34,基础信息!V51),R45)</f>
        <v>0</v>
      </c>
      <c r="S46" s="77">
        <f>MAX(基础信息!$G51*基础信息!M51*基础信息!R51*INDEX(H$32:H$34,基础信息!W51),S45)</f>
        <v>0</v>
      </c>
      <c r="T46" s="77">
        <f t="shared" ref="T46:T60" si="8">SUM(O46:S46)</f>
        <v>0</v>
      </c>
      <c r="U46" s="73">
        <f>基础信息!N51*INDEX(D$8:D$10,基础信息!S51)</f>
        <v>0</v>
      </c>
      <c r="V46" s="73">
        <f>基础信息!O51*INDEX(E$8:E$10,基础信息!T51)</f>
        <v>0.1</v>
      </c>
      <c r="W46" s="73">
        <f>基础信息!P51*INDEX(F$8:F$10,基础信息!U51)</f>
        <v>0</v>
      </c>
      <c r="X46" s="73">
        <f>基础信息!Q51*INDEX(G$8:G$10,基础信息!V51)</f>
        <v>0</v>
      </c>
      <c r="Y46" s="73">
        <f>基础信息!R51*INDEX(H$8:H$10,基础信息!W51)</f>
        <v>0</v>
      </c>
      <c r="Z46" s="59">
        <f>U46*门客升级!U46</f>
        <v>0</v>
      </c>
      <c r="AA46" s="59">
        <f>V46*门客升级!V46</f>
        <v>0.42000000000000004</v>
      </c>
      <c r="AB46" s="59">
        <f>W46*门客升级!W46</f>
        <v>0</v>
      </c>
      <c r="AC46" s="59">
        <f>X46*门客升级!X46</f>
        <v>0</v>
      </c>
      <c r="AD46" s="59">
        <f>Y46*门客升级!Y46</f>
        <v>0</v>
      </c>
      <c r="AE46" s="109">
        <f>INDEX(门客实力!L$5:L$7,基础信息!S51)</f>
        <v>100</v>
      </c>
      <c r="AF46" s="109">
        <f>INDEX(门客实力!M$5:M$7,基础信息!T51)</f>
        <v>500</v>
      </c>
      <c r="AG46" s="109">
        <f>INDEX(门客实力!N$5:N$7,基础信息!U51)</f>
        <v>1000</v>
      </c>
      <c r="AH46" s="109">
        <f>INDEX(门客实力!O$5:O$7,基础信息!V51)</f>
        <v>2000</v>
      </c>
      <c r="AI46" s="109">
        <f>INDEX(门客实力!P$5:P$7,基础信息!W51)</f>
        <v>5000</v>
      </c>
    </row>
    <row r="47" spans="3:35" x14ac:dyDescent="0.15">
      <c r="K47" s="66">
        <v>3</v>
      </c>
      <c r="L47" s="60">
        <f>基础信息!D52</f>
        <v>23.5</v>
      </c>
      <c r="M47" s="61">
        <f>基础信息!E52</f>
        <v>5.793008326295654</v>
      </c>
      <c r="N47" s="61">
        <f>基础信息!F52</f>
        <v>31.744234316265171</v>
      </c>
      <c r="O47" s="77">
        <f>MAX(基础信息!$G52*基础信息!I52*基础信息!N52*INDEX(D$32:D$34,基础信息!S52),O46)</f>
        <v>0</v>
      </c>
      <c r="P47" s="77">
        <f>MAX(基础信息!$G52*基础信息!J52*基础信息!O52*INDEX(E$32:E$34,基础信息!T52),P46)</f>
        <v>0</v>
      </c>
      <c r="Q47" s="77">
        <f>MAX(基础信息!$G52*基础信息!K52*基础信息!P52*INDEX(F$32:F$34,基础信息!U52),Q46)</f>
        <v>0</v>
      </c>
      <c r="R47" s="77">
        <f>MAX(基础信息!$G52*基础信息!L52*基础信息!Q52*INDEX(G$32:G$34,基础信息!V52),R46)</f>
        <v>0</v>
      </c>
      <c r="S47" s="77">
        <f>MAX(基础信息!$G52*基础信息!M52*基础信息!R52*INDEX(H$32:H$34,基础信息!W52),S46)</f>
        <v>0</v>
      </c>
      <c r="T47" s="77">
        <f t="shared" si="8"/>
        <v>0</v>
      </c>
      <c r="U47" s="73">
        <f>基础信息!N52*INDEX(D$8:D$10,基础信息!S52)</f>
        <v>0</v>
      </c>
      <c r="V47" s="73">
        <f>基础信息!O52*INDEX(E$8:E$10,基础信息!T52)</f>
        <v>0.1</v>
      </c>
      <c r="W47" s="73">
        <f>基础信息!P52*INDEX(F$8:F$10,基础信息!U52)</f>
        <v>0</v>
      </c>
      <c r="X47" s="73">
        <f>基础信息!Q52*INDEX(G$8:G$10,基础信息!V52)</f>
        <v>0</v>
      </c>
      <c r="Y47" s="73">
        <f>基础信息!R52*INDEX(H$8:H$10,基础信息!W52)</f>
        <v>0</v>
      </c>
      <c r="Z47" s="59">
        <f>U47*门客升级!U47</f>
        <v>0</v>
      </c>
      <c r="AA47" s="59">
        <f>V47*门客升级!V47</f>
        <v>0</v>
      </c>
      <c r="AB47" s="59">
        <f>W47*门客升级!W47</f>
        <v>0</v>
      </c>
      <c r="AC47" s="59">
        <f>X47*门客升级!X47</f>
        <v>0</v>
      </c>
      <c r="AD47" s="59">
        <f>Y47*门客升级!Y47</f>
        <v>0</v>
      </c>
      <c r="AE47" s="109">
        <f>INDEX(门客实力!L$5:L$7,基础信息!S52)</f>
        <v>100</v>
      </c>
      <c r="AF47" s="109">
        <f>INDEX(门客实力!M$5:M$7,基础信息!T52)</f>
        <v>500</v>
      </c>
      <c r="AG47" s="109">
        <f>INDEX(门客实力!N$5:N$7,基础信息!U52)</f>
        <v>1000</v>
      </c>
      <c r="AH47" s="109">
        <f>INDEX(门客实力!O$5:O$7,基础信息!V52)</f>
        <v>2000</v>
      </c>
      <c r="AI47" s="109">
        <f>INDEX(门客实力!P$5:P$7,基础信息!W52)</f>
        <v>5000</v>
      </c>
    </row>
    <row r="48" spans="3:35" x14ac:dyDescent="0.15">
      <c r="K48" s="66">
        <v>4</v>
      </c>
      <c r="L48" s="60">
        <f>基础信息!D53</f>
        <v>27.5</v>
      </c>
      <c r="M48" s="61">
        <f>基础信息!E53</f>
        <v>11.322133882791231</v>
      </c>
      <c r="N48" s="61">
        <f>基础信息!F53</f>
        <v>40.643027415884688</v>
      </c>
      <c r="O48" s="77">
        <f>MAX(基础信息!$G53*基础信息!I53*基础信息!N53*INDEX(D$32:D$34,基础信息!S53),O47)</f>
        <v>0</v>
      </c>
      <c r="P48" s="77">
        <f>MAX(基础信息!$G53*基础信息!J53*基础信息!O53*INDEX(E$32:E$34,基础信息!T53),P47)</f>
        <v>0</v>
      </c>
      <c r="Q48" s="77">
        <f>MAX(基础信息!$G53*基础信息!K53*基础信息!P53*INDEX(F$32:F$34,基础信息!U53),Q47)</f>
        <v>0</v>
      </c>
      <c r="R48" s="77">
        <f>MAX(基础信息!$G53*基础信息!L53*基础信息!Q53*INDEX(G$32:G$34,基础信息!V53),R47)</f>
        <v>0</v>
      </c>
      <c r="S48" s="77">
        <f>MAX(基础信息!$G53*基础信息!M53*基础信息!R53*INDEX(H$32:H$34,基础信息!W53),S47)</f>
        <v>0</v>
      </c>
      <c r="T48" s="77">
        <f t="shared" si="8"/>
        <v>0</v>
      </c>
      <c r="U48" s="73">
        <f>基础信息!N53*INDEX(D$8:D$10,基础信息!S53)</f>
        <v>0</v>
      </c>
      <c r="V48" s="73">
        <f>基础信息!O53*INDEX(E$8:E$10,基础信息!T53)</f>
        <v>0.2</v>
      </c>
      <c r="W48" s="73">
        <f>基础信息!P53*INDEX(F$8:F$10,基础信息!U53)</f>
        <v>0.1</v>
      </c>
      <c r="X48" s="73">
        <f>基础信息!Q53*INDEX(G$8:G$10,基础信息!V53)</f>
        <v>0</v>
      </c>
      <c r="Y48" s="73">
        <f>基础信息!R53*INDEX(H$8:H$10,基础信息!W53)</f>
        <v>0</v>
      </c>
      <c r="Z48" s="59">
        <f>U48*门客升级!U48</f>
        <v>0</v>
      </c>
      <c r="AA48" s="59">
        <f>V48*门客升级!V48</f>
        <v>0</v>
      </c>
      <c r="AB48" s="59">
        <f>W48*门客升级!W48</f>
        <v>2.5600000000000005</v>
      </c>
      <c r="AC48" s="59">
        <f>X48*门客升级!X48</f>
        <v>0</v>
      </c>
      <c r="AD48" s="59">
        <f>Y48*门客升级!Y48</f>
        <v>0</v>
      </c>
      <c r="AE48" s="109">
        <f>INDEX(门客实力!L$5:L$7,基础信息!S53)</f>
        <v>100</v>
      </c>
      <c r="AF48" s="109">
        <f>INDEX(门客实力!M$5:M$7,基础信息!T53)</f>
        <v>700</v>
      </c>
      <c r="AG48" s="109">
        <f>INDEX(门客实力!N$5:N$7,基础信息!U53)</f>
        <v>1000</v>
      </c>
      <c r="AH48" s="109">
        <f>INDEX(门客实力!O$5:O$7,基础信息!V53)</f>
        <v>2000</v>
      </c>
      <c r="AI48" s="109">
        <f>INDEX(门客实力!P$5:P$7,基础信息!W53)</f>
        <v>5000</v>
      </c>
    </row>
    <row r="49" spans="11:35" x14ac:dyDescent="0.15">
      <c r="K49" s="66">
        <v>5</v>
      </c>
      <c r="L49" s="60">
        <f>基础信息!D54</f>
        <v>31.5</v>
      </c>
      <c r="M49" s="61">
        <f>基础信息!E54</f>
        <v>21.773543258148401</v>
      </c>
      <c r="N49" s="61">
        <f>基础信息!F54</f>
        <v>49.709437467755208</v>
      </c>
      <c r="O49" s="77">
        <f>MAX(基础信息!$G54*基础信息!I54*基础信息!N54*INDEX(D$32:D$34,基础信息!S54),O48)</f>
        <v>0</v>
      </c>
      <c r="P49" s="77">
        <f>MAX(基础信息!$G54*基础信息!J54*基础信息!O54*INDEX(E$32:E$34,基础信息!T54),P48)</f>
        <v>0</v>
      </c>
      <c r="Q49" s="77">
        <f>MAX(基础信息!$G54*基础信息!K54*基础信息!P54*INDEX(F$32:F$34,基础信息!U54),Q48)</f>
        <v>0</v>
      </c>
      <c r="R49" s="77">
        <f>MAX(基础信息!$G54*基础信息!L54*基础信息!Q54*INDEX(G$32:G$34,基础信息!V54),R48)</f>
        <v>0</v>
      </c>
      <c r="S49" s="77">
        <f>MAX(基础信息!$G54*基础信息!M54*基础信息!R54*INDEX(H$32:H$34,基础信息!W54),S48)</f>
        <v>0</v>
      </c>
      <c r="T49" s="77">
        <f t="shared" si="8"/>
        <v>0</v>
      </c>
      <c r="U49" s="73">
        <f>基础信息!N54*INDEX(D$8:D$10,基础信息!S54)</f>
        <v>0</v>
      </c>
      <c r="V49" s="73">
        <f>基础信息!O54*INDEX(E$8:E$10,基础信息!T54)</f>
        <v>0.4</v>
      </c>
      <c r="W49" s="73">
        <f>基础信息!P54*INDEX(F$8:F$10,基础信息!U54)</f>
        <v>0.1</v>
      </c>
      <c r="X49" s="73">
        <f>基础信息!Q54*INDEX(G$8:G$10,基础信息!V54)</f>
        <v>0</v>
      </c>
      <c r="Y49" s="73">
        <f>基础信息!R54*INDEX(H$8:H$10,基础信息!W54)</f>
        <v>0</v>
      </c>
      <c r="Z49" s="59">
        <f>U49*门客升级!U49</f>
        <v>0</v>
      </c>
      <c r="AA49" s="59">
        <f>V49*门客升级!V49</f>
        <v>0</v>
      </c>
      <c r="AB49" s="59">
        <f>W49*门客升级!W49</f>
        <v>2.625</v>
      </c>
      <c r="AC49" s="59">
        <f>X49*门客升级!X49</f>
        <v>0</v>
      </c>
      <c r="AD49" s="59">
        <f>Y49*门客升级!Y49</f>
        <v>0</v>
      </c>
      <c r="AE49" s="109">
        <f>INDEX(门客实力!L$5:L$7,基础信息!S54)</f>
        <v>100</v>
      </c>
      <c r="AF49" s="109">
        <f>INDEX(门客实力!M$5:M$7,基础信息!T54)</f>
        <v>1000</v>
      </c>
      <c r="AG49" s="109">
        <f>INDEX(门客实力!N$5:N$7,基础信息!U54)</f>
        <v>1000</v>
      </c>
      <c r="AH49" s="109">
        <f>INDEX(门客实力!O$5:O$7,基础信息!V54)</f>
        <v>2000</v>
      </c>
      <c r="AI49" s="109">
        <f>INDEX(门客实力!P$5:P$7,基础信息!W54)</f>
        <v>5000</v>
      </c>
    </row>
    <row r="50" spans="11:35" x14ac:dyDescent="0.15">
      <c r="K50" s="66">
        <v>6</v>
      </c>
      <c r="L50" s="60">
        <f>基础信息!D55</f>
        <v>35.5</v>
      </c>
      <c r="M50" s="61">
        <f>基础信息!E55</f>
        <v>41.174058500102497</v>
      </c>
      <c r="N50" s="61">
        <f>基础信息!F55</f>
        <v>58.803150706157098</v>
      </c>
      <c r="O50" s="77">
        <f>MAX(基础信息!$G55*基础信息!I55*基础信息!N55*INDEX(D$32:D$34,基础信息!S55),O49)</f>
        <v>0</v>
      </c>
      <c r="P50" s="77">
        <f>MAX(基础信息!$G55*基础信息!J55*基础信息!O55*INDEX(E$32:E$34,基础信息!T55),P49)</f>
        <v>0</v>
      </c>
      <c r="Q50" s="77">
        <f>MAX(基础信息!$G55*基础信息!K55*基础信息!P55*INDEX(F$32:F$34,基础信息!U55),Q49)</f>
        <v>0</v>
      </c>
      <c r="R50" s="77">
        <f>MAX(基础信息!$G55*基础信息!L55*基础信息!Q55*INDEX(G$32:G$34,基础信息!V55),R49)</f>
        <v>0</v>
      </c>
      <c r="S50" s="77">
        <f>MAX(基础信息!$G55*基础信息!M55*基础信息!R55*INDEX(H$32:H$34,基础信息!W55),S49)</f>
        <v>0</v>
      </c>
      <c r="T50" s="77">
        <f t="shared" si="8"/>
        <v>0</v>
      </c>
      <c r="U50" s="73">
        <f>基础信息!N55*INDEX(D$8:D$10,基础信息!S55)</f>
        <v>0</v>
      </c>
      <c r="V50" s="73">
        <f>基础信息!O55*INDEX(E$8:E$10,基础信息!T55)</f>
        <v>0.4</v>
      </c>
      <c r="W50" s="73">
        <f>基础信息!P55*INDEX(F$8:F$10,基础信息!U55)</f>
        <v>0.1</v>
      </c>
      <c r="X50" s="73">
        <f>基础信息!Q55*INDEX(G$8:G$10,基础信息!V55)</f>
        <v>0</v>
      </c>
      <c r="Y50" s="73">
        <f>基础信息!R55*INDEX(H$8:H$10,基础信息!W55)</f>
        <v>0</v>
      </c>
      <c r="Z50" s="59">
        <f>U50*门客升级!U50</f>
        <v>0</v>
      </c>
      <c r="AA50" s="59">
        <f>V50*门客升级!V50</f>
        <v>0</v>
      </c>
      <c r="AB50" s="59">
        <f>W50*门客升级!W50</f>
        <v>2.2799999999999998</v>
      </c>
      <c r="AC50" s="59">
        <f>X50*门客升级!X50</f>
        <v>0</v>
      </c>
      <c r="AD50" s="59">
        <f>Y50*门客升级!Y50</f>
        <v>0</v>
      </c>
      <c r="AE50" s="109">
        <f>INDEX(门客实力!L$5:L$7,基础信息!S55)</f>
        <v>100</v>
      </c>
      <c r="AF50" s="109">
        <f>INDEX(门客实力!M$5:M$7,基础信息!T55)</f>
        <v>1000</v>
      </c>
      <c r="AG50" s="109">
        <f>INDEX(门客实力!N$5:N$7,基础信息!U55)</f>
        <v>1000</v>
      </c>
      <c r="AH50" s="109">
        <f>INDEX(门客实力!O$5:O$7,基础信息!V55)</f>
        <v>2000</v>
      </c>
      <c r="AI50" s="109">
        <f>INDEX(门客实力!P$5:P$7,基础信息!W55)</f>
        <v>5000</v>
      </c>
    </row>
    <row r="51" spans="11:35" x14ac:dyDescent="0.15">
      <c r="K51" s="66">
        <v>7</v>
      </c>
      <c r="L51" s="60">
        <f>基础信息!D56</f>
        <v>39.5</v>
      </c>
      <c r="M51" s="61">
        <f>基础信息!E56</f>
        <v>74.77280729579401</v>
      </c>
      <c r="N51" s="61">
        <f>基础信息!F56</f>
        <v>67.298489171654538</v>
      </c>
      <c r="O51" s="77">
        <f>MAX(基础信息!$G56*基础信息!I56*基础信息!N56*INDEX(D$32:D$34,基础信息!S56),O50)</f>
        <v>0</v>
      </c>
      <c r="P51" s="77">
        <f>MAX(基础信息!$G56*基础信息!J56*基础信息!O56*INDEX(E$32:E$34,基础信息!T56),P50)</f>
        <v>0</v>
      </c>
      <c r="Q51" s="77">
        <f>MAX(基础信息!$G56*基础信息!K56*基础信息!P56*INDEX(F$32:F$34,基础信息!U56),Q50)</f>
        <v>7000</v>
      </c>
      <c r="R51" s="77">
        <f>MAX(基础信息!$G56*基础信息!L56*基础信息!Q56*INDEX(G$32:G$34,基础信息!V56),R50)</f>
        <v>0</v>
      </c>
      <c r="S51" s="77">
        <f>MAX(基础信息!$G56*基础信息!M56*基础信息!R56*INDEX(H$32:H$34,基础信息!W56),S50)</f>
        <v>0</v>
      </c>
      <c r="T51" s="77">
        <f t="shared" si="8"/>
        <v>7000</v>
      </c>
      <c r="U51" s="73">
        <f>基础信息!N56*INDEX(D$8:D$10,基础信息!S56)</f>
        <v>0</v>
      </c>
      <c r="V51" s="73">
        <f>基础信息!O56*INDEX(E$8:E$10,基础信息!T56)</f>
        <v>0.4</v>
      </c>
      <c r="W51" s="73">
        <f>基础信息!P56*INDEX(F$8:F$10,基础信息!U56)</f>
        <v>0.2</v>
      </c>
      <c r="X51" s="73">
        <f>基础信息!Q56*INDEX(G$8:G$10,基础信息!V56)</f>
        <v>0</v>
      </c>
      <c r="Y51" s="73">
        <f>基础信息!R56*INDEX(H$8:H$10,基础信息!W56)</f>
        <v>0</v>
      </c>
      <c r="Z51" s="59">
        <f>U51*门客升级!U51</f>
        <v>0</v>
      </c>
      <c r="AA51" s="59">
        <f>V51*门客升级!V51</f>
        <v>0</v>
      </c>
      <c r="AB51" s="59">
        <f>W51*门客升级!W51</f>
        <v>2.8699999999999997</v>
      </c>
      <c r="AC51" s="59">
        <f>X51*门客升级!X51</f>
        <v>0</v>
      </c>
      <c r="AD51" s="59">
        <f>Y51*门客升级!Y51</f>
        <v>0</v>
      </c>
      <c r="AE51" s="109">
        <f>INDEX(门客实力!L$5:L$7,基础信息!S56)</f>
        <v>100</v>
      </c>
      <c r="AF51" s="109">
        <f>INDEX(门客实力!M$5:M$7,基础信息!T56)</f>
        <v>1000</v>
      </c>
      <c r="AG51" s="109">
        <f>INDEX(门客实力!N$5:N$7,基础信息!U56)</f>
        <v>1500</v>
      </c>
      <c r="AH51" s="109">
        <f>INDEX(门客实力!O$5:O$7,基础信息!V56)</f>
        <v>2000</v>
      </c>
      <c r="AI51" s="109">
        <f>INDEX(门客实力!P$5:P$7,基础信息!W56)</f>
        <v>5000</v>
      </c>
    </row>
    <row r="52" spans="11:35" x14ac:dyDescent="0.15">
      <c r="K52" s="66">
        <v>8</v>
      </c>
      <c r="L52" s="60">
        <f>基础信息!D57</f>
        <v>43.5</v>
      </c>
      <c r="M52" s="61">
        <f>基础信息!E57</f>
        <v>135.40982620096435</v>
      </c>
      <c r="N52" s="61">
        <f>基础信息!F57</f>
        <v>75.878784655965617</v>
      </c>
      <c r="O52" s="77">
        <f>MAX(基础信息!$G57*基础信息!I57*基础信息!N57*INDEX(D$32:D$34,基础信息!S57),O51)</f>
        <v>0</v>
      </c>
      <c r="P52" s="77">
        <f>MAX(基础信息!$G57*基础信息!J57*基础信息!O57*INDEX(E$32:E$34,基础信息!T57),P51)</f>
        <v>0</v>
      </c>
      <c r="Q52" s="77">
        <f>MAX(基础信息!$G57*基础信息!K57*基础信息!P57*INDEX(F$32:F$34,基础信息!U57),Q51)</f>
        <v>7000</v>
      </c>
      <c r="R52" s="77">
        <f>MAX(基础信息!$G57*基础信息!L57*基础信息!Q57*INDEX(G$32:G$34,基础信息!V57),R51)</f>
        <v>0</v>
      </c>
      <c r="S52" s="77">
        <f>MAX(基础信息!$G57*基础信息!M57*基础信息!R57*INDEX(H$32:H$34,基础信息!W57),S51)</f>
        <v>0</v>
      </c>
      <c r="T52" s="77">
        <f t="shared" si="8"/>
        <v>7000</v>
      </c>
      <c r="U52" s="73">
        <f>基础信息!N57*INDEX(D$8:D$10,基础信息!S57)</f>
        <v>0</v>
      </c>
      <c r="V52" s="73">
        <f>基础信息!O57*INDEX(E$8:E$10,基础信息!T57)</f>
        <v>0.4</v>
      </c>
      <c r="W52" s="73">
        <f>基础信息!P57*INDEX(F$8:F$10,基础信息!U57)</f>
        <v>0.2</v>
      </c>
      <c r="X52" s="73">
        <f>基础信息!Q57*INDEX(G$8:G$10,基础信息!V57)</f>
        <v>0</v>
      </c>
      <c r="Y52" s="73">
        <f>基础信息!R57*INDEX(H$8:H$10,基础信息!W57)</f>
        <v>0</v>
      </c>
      <c r="Z52" s="59">
        <f>U52*门客升级!U52</f>
        <v>0</v>
      </c>
      <c r="AA52" s="59">
        <f>V52*门客升级!V52</f>
        <v>0</v>
      </c>
      <c r="AB52" s="59">
        <f>W52*门客升级!W52</f>
        <v>0</v>
      </c>
      <c r="AC52" s="59">
        <f>X52*门客升级!X52</f>
        <v>0</v>
      </c>
      <c r="AD52" s="59">
        <f>Y52*门客升级!Y52</f>
        <v>0</v>
      </c>
      <c r="AE52" s="109">
        <f>INDEX(门客实力!L$5:L$7,基础信息!S57)</f>
        <v>100</v>
      </c>
      <c r="AF52" s="109">
        <f>INDEX(门客实力!M$5:M$7,基础信息!T57)</f>
        <v>1000</v>
      </c>
      <c r="AG52" s="109">
        <f>INDEX(门客实力!N$5:N$7,基础信息!U57)</f>
        <v>1500</v>
      </c>
      <c r="AH52" s="109">
        <f>INDEX(门客实力!O$5:O$7,基础信息!V57)</f>
        <v>2000</v>
      </c>
      <c r="AI52" s="109">
        <f>INDEX(门客实力!P$5:P$7,基础信息!W57)</f>
        <v>5000</v>
      </c>
    </row>
    <row r="53" spans="11:35" x14ac:dyDescent="0.15">
      <c r="K53" s="66">
        <v>9</v>
      </c>
      <c r="L53" s="60">
        <f>基础信息!D58</f>
        <v>47.5</v>
      </c>
      <c r="M53" s="61">
        <f>基础信息!E58</f>
        <v>244.70123896107964</v>
      </c>
      <c r="N53" s="61">
        <f>基础信息!F58</f>
        <v>84.446314672957783</v>
      </c>
      <c r="O53" s="77">
        <f>MAX(基础信息!$G58*基础信息!I58*基础信息!N58*INDEX(D$32:D$34,基础信息!S58),O52)</f>
        <v>0</v>
      </c>
      <c r="P53" s="77">
        <f>MAX(基础信息!$G58*基础信息!J58*基础信息!O58*INDEX(E$32:E$34,基础信息!T58),P52)</f>
        <v>0</v>
      </c>
      <c r="Q53" s="77">
        <f>MAX(基础信息!$G58*基础信息!K58*基础信息!P58*INDEX(F$32:F$34,基础信息!U58),Q52)</f>
        <v>7000</v>
      </c>
      <c r="R53" s="77">
        <f>MAX(基础信息!$G58*基础信息!L58*基础信息!Q58*INDEX(G$32:G$34,基础信息!V58),R52)</f>
        <v>0</v>
      </c>
      <c r="S53" s="77">
        <f>MAX(基础信息!$G58*基础信息!M58*基础信息!R58*INDEX(H$32:H$34,基础信息!W58),S52)</f>
        <v>0</v>
      </c>
      <c r="T53" s="77">
        <f t="shared" si="8"/>
        <v>7000</v>
      </c>
      <c r="U53" s="73">
        <f>基础信息!N58*INDEX(D$8:D$10,基础信息!S58)</f>
        <v>0</v>
      </c>
      <c r="V53" s="73">
        <f>基础信息!O58*INDEX(E$8:E$10,基础信息!T58)</f>
        <v>0.4</v>
      </c>
      <c r="W53" s="73">
        <f>基础信息!P58*INDEX(F$8:F$10,基础信息!U58)</f>
        <v>0.4</v>
      </c>
      <c r="X53" s="73">
        <f>基础信息!Q58*INDEX(G$8:G$10,基础信息!V58)</f>
        <v>0.05</v>
      </c>
      <c r="Y53" s="73">
        <f>基础信息!R58*INDEX(H$8:H$10,基础信息!W58)</f>
        <v>0</v>
      </c>
      <c r="Z53" s="59">
        <f>U53*门客升级!U53</f>
        <v>0</v>
      </c>
      <c r="AA53" s="59">
        <f>V53*门客升级!V53</f>
        <v>0</v>
      </c>
      <c r="AB53" s="59">
        <f>W53*门客升级!W53</f>
        <v>0</v>
      </c>
      <c r="AC53" s="59">
        <f>X53*门客升级!X53</f>
        <v>4.1040000000000001</v>
      </c>
      <c r="AD53" s="59">
        <f>Y53*门客升级!Y53</f>
        <v>0</v>
      </c>
      <c r="AE53" s="109">
        <f>INDEX(门客实力!L$5:L$7,基础信息!S58)</f>
        <v>100</v>
      </c>
      <c r="AF53" s="109">
        <f>INDEX(门客实力!M$5:M$7,基础信息!T58)</f>
        <v>1000</v>
      </c>
      <c r="AG53" s="109">
        <f>INDEX(门客实力!N$5:N$7,基础信息!U58)</f>
        <v>2000</v>
      </c>
      <c r="AH53" s="109">
        <f>INDEX(门客实力!O$5:O$7,基础信息!V58)</f>
        <v>2000</v>
      </c>
      <c r="AI53" s="109">
        <f>INDEX(门客实力!P$5:P$7,基础信息!W58)</f>
        <v>5000</v>
      </c>
    </row>
    <row r="54" spans="11:35" x14ac:dyDescent="0.15">
      <c r="K54" s="66">
        <v>10</v>
      </c>
      <c r="L54" s="60">
        <f>基础信息!D59</f>
        <v>52</v>
      </c>
      <c r="M54" s="61">
        <f>基础信息!E59</f>
        <v>473.91181132163672</v>
      </c>
      <c r="N54" s="61">
        <f>基础信息!F59</f>
        <v>94.309081972684396</v>
      </c>
      <c r="O54" s="77">
        <f>MAX(基础信息!$G59*基础信息!I59*基础信息!N59*INDEX(D$32:D$34,基础信息!S59),O53)</f>
        <v>0</v>
      </c>
      <c r="P54" s="77">
        <f>MAX(基础信息!$G59*基础信息!J59*基础信息!O59*INDEX(E$32:E$34,基础信息!T59),P53)</f>
        <v>0</v>
      </c>
      <c r="Q54" s="77">
        <f>MAX(基础信息!$G59*基础信息!K59*基础信息!P59*INDEX(F$32:F$34,基础信息!U59),Q53)</f>
        <v>7000</v>
      </c>
      <c r="R54" s="77">
        <f>MAX(基础信息!$G59*基础信息!L59*基础信息!Q59*INDEX(G$32:G$34,基础信息!V59),R53)</f>
        <v>80000</v>
      </c>
      <c r="S54" s="77">
        <f>MAX(基础信息!$G59*基础信息!M59*基础信息!R59*INDEX(H$32:H$34,基础信息!W59),S53)</f>
        <v>0</v>
      </c>
      <c r="T54" s="77">
        <f t="shared" si="8"/>
        <v>87000</v>
      </c>
      <c r="U54" s="73">
        <f>基础信息!N59*INDEX(D$8:D$10,基础信息!S59)</f>
        <v>0</v>
      </c>
      <c r="V54" s="73">
        <f>基础信息!O59*INDEX(E$8:E$10,基础信息!T59)</f>
        <v>0.4</v>
      </c>
      <c r="W54" s="73">
        <f>基础信息!P59*INDEX(F$8:F$10,基础信息!U59)</f>
        <v>0.4</v>
      </c>
      <c r="X54" s="73">
        <f>基础信息!Q59*INDEX(G$8:G$10,基础信息!V59)</f>
        <v>0.2</v>
      </c>
      <c r="Y54" s="73">
        <f>基础信息!R59*INDEX(H$8:H$10,基础信息!W59)</f>
        <v>0</v>
      </c>
      <c r="Z54" s="59">
        <f>U54*门客升级!U54</f>
        <v>0</v>
      </c>
      <c r="AA54" s="59">
        <f>V54*门客升级!V54</f>
        <v>0</v>
      </c>
      <c r="AB54" s="59">
        <f>W54*门客升级!W54</f>
        <v>0</v>
      </c>
      <c r="AC54" s="59">
        <f>X54*门客升级!X54</f>
        <v>14.4</v>
      </c>
      <c r="AD54" s="59">
        <f>Y54*门客升级!Y54</f>
        <v>0</v>
      </c>
      <c r="AE54" s="109">
        <f>INDEX(门客实力!L$5:L$7,基础信息!S59)</f>
        <v>100</v>
      </c>
      <c r="AF54" s="109">
        <f>INDEX(门客实力!M$5:M$7,基础信息!T59)</f>
        <v>1000</v>
      </c>
      <c r="AG54" s="109">
        <f>INDEX(门客实力!N$5:N$7,基础信息!U59)</f>
        <v>2000</v>
      </c>
      <c r="AH54" s="109">
        <f>INDEX(门客实力!O$5:O$7,基础信息!V59)</f>
        <v>3000</v>
      </c>
      <c r="AI54" s="109">
        <f>INDEX(门客实力!P$5:P$7,基础信息!W59)</f>
        <v>7000</v>
      </c>
    </row>
    <row r="55" spans="11:35" x14ac:dyDescent="0.15">
      <c r="K55" s="66">
        <v>11</v>
      </c>
      <c r="L55" s="60">
        <f>基础信息!D60</f>
        <v>57</v>
      </c>
      <c r="M55" s="61">
        <f>基础信息!E60</f>
        <v>988.69490566221691</v>
      </c>
      <c r="N55" s="61">
        <f>基础信息!F60</f>
        <v>104.93378702762401</v>
      </c>
      <c r="O55" s="77">
        <f>MAX(基础信息!$G60*基础信息!I60*基础信息!N60*INDEX(D$32:D$34,基础信息!S60),O54)</f>
        <v>0</v>
      </c>
      <c r="P55" s="77">
        <f>MAX(基础信息!$G60*基础信息!J60*基础信息!O60*INDEX(E$32:E$34,基础信息!T60),P54)</f>
        <v>0</v>
      </c>
      <c r="Q55" s="77">
        <f>MAX(基础信息!$G60*基础信息!K60*基础信息!P60*INDEX(F$32:F$34,基础信息!U60),Q54)</f>
        <v>7000</v>
      </c>
      <c r="R55" s="77">
        <f>MAX(基础信息!$G60*基础信息!L60*基础信息!Q60*INDEX(G$32:G$34,基础信息!V60),R54)</f>
        <v>88000.000000000015</v>
      </c>
      <c r="S55" s="77">
        <f>MAX(基础信息!$G60*基础信息!M60*基础信息!R60*INDEX(H$32:H$34,基础信息!W60),S54)</f>
        <v>0</v>
      </c>
      <c r="T55" s="77">
        <f t="shared" si="8"/>
        <v>95000.000000000015</v>
      </c>
      <c r="U55" s="73">
        <f>基础信息!N60*INDEX(D$8:D$10,基础信息!S60)</f>
        <v>0</v>
      </c>
      <c r="V55" s="73">
        <f>基础信息!O60*INDEX(E$8:E$10,基础信息!T60)</f>
        <v>0.4</v>
      </c>
      <c r="W55" s="73">
        <f>基础信息!P60*INDEX(F$8:F$10,基础信息!U60)</f>
        <v>0.4</v>
      </c>
      <c r="X55" s="73">
        <f>基础信息!Q60*INDEX(G$8:G$10,基础信息!V60)</f>
        <v>0.30000000000000004</v>
      </c>
      <c r="Y55" s="73">
        <f>基础信息!R60*INDEX(H$8:H$10,基础信息!W60)</f>
        <v>0</v>
      </c>
      <c r="Z55" s="59">
        <f>U55*门客升级!U55</f>
        <v>0</v>
      </c>
      <c r="AA55" s="59">
        <f>V55*门客升级!V55</f>
        <v>0</v>
      </c>
      <c r="AB55" s="59">
        <f>W55*门客升级!W55</f>
        <v>0</v>
      </c>
      <c r="AC55" s="59">
        <f>X55*门客升级!X55</f>
        <v>15.840000000000003</v>
      </c>
      <c r="AD55" s="59">
        <f>Y55*门客升级!Y55</f>
        <v>0</v>
      </c>
      <c r="AE55" s="109">
        <f>INDEX(门客实力!L$5:L$7,基础信息!S60)</f>
        <v>100</v>
      </c>
      <c r="AF55" s="109">
        <f>INDEX(门客实力!M$5:M$7,基础信息!T60)</f>
        <v>1000</v>
      </c>
      <c r="AG55" s="109">
        <f>INDEX(门客实力!N$5:N$7,基础信息!U60)</f>
        <v>2000</v>
      </c>
      <c r="AH55" s="109">
        <f>INDEX(门客实力!O$5:O$7,基础信息!V60)</f>
        <v>3000</v>
      </c>
      <c r="AI55" s="109">
        <f>INDEX(门客实力!P$5:P$7,基础信息!W60)</f>
        <v>7000</v>
      </c>
    </row>
    <row r="56" spans="11:35" x14ac:dyDescent="0.15">
      <c r="K56" s="66">
        <v>12</v>
      </c>
      <c r="L56" s="60">
        <f>基础信息!D61</f>
        <v>62</v>
      </c>
      <c r="M56" s="61">
        <f>基础信息!E61</f>
        <v>2058.8113773623186</v>
      </c>
      <c r="N56" s="61">
        <f>基础信息!F61</f>
        <v>115.63935175516689</v>
      </c>
      <c r="O56" s="77">
        <f>MAX(基础信息!$G61*基础信息!I61*基础信息!N61*INDEX(D$32:D$34,基础信息!S61),O55)</f>
        <v>0</v>
      </c>
      <c r="P56" s="77">
        <f>MAX(基础信息!$G61*基础信息!J61*基础信息!O61*INDEX(E$32:E$34,基础信息!T61),P55)</f>
        <v>0</v>
      </c>
      <c r="Q56" s="77">
        <f>MAX(基础信息!$G61*基础信息!K61*基础信息!P61*INDEX(F$32:F$34,基础信息!U61),Q55)</f>
        <v>7000</v>
      </c>
      <c r="R56" s="77">
        <f>MAX(基础信息!$G61*基础信息!L61*基础信息!Q61*INDEX(G$32:G$34,基础信息!V61),R55)</f>
        <v>88000.000000000015</v>
      </c>
      <c r="S56" s="77">
        <f>MAX(基础信息!$G61*基础信息!M61*基础信息!R61*INDEX(H$32:H$34,基础信息!W61),S55)</f>
        <v>0</v>
      </c>
      <c r="T56" s="77">
        <f t="shared" si="8"/>
        <v>95000.000000000015</v>
      </c>
      <c r="U56" s="73">
        <f>基础信息!N61*INDEX(D$8:D$10,基础信息!S61)</f>
        <v>0</v>
      </c>
      <c r="V56" s="73">
        <f>基础信息!O61*INDEX(E$8:E$10,基础信息!T61)</f>
        <v>0.4</v>
      </c>
      <c r="W56" s="73">
        <f>基础信息!P61*INDEX(F$8:F$10,基础信息!U61)</f>
        <v>0.4</v>
      </c>
      <c r="X56" s="73">
        <f>基础信息!Q61*INDEX(G$8:G$10,基础信息!V61)</f>
        <v>0.4</v>
      </c>
      <c r="Y56" s="73">
        <f>基础信息!R61*INDEX(H$8:H$10,基础信息!W61)</f>
        <v>0</v>
      </c>
      <c r="Z56" s="59">
        <f>U56*门客升级!U56</f>
        <v>0</v>
      </c>
      <c r="AA56" s="59">
        <f>V56*门客升级!V56</f>
        <v>0</v>
      </c>
      <c r="AB56" s="59">
        <f>W56*门客升级!W56</f>
        <v>0</v>
      </c>
      <c r="AC56" s="59">
        <f>X56*门客升级!X56</f>
        <v>11.520000000000003</v>
      </c>
      <c r="AD56" s="59">
        <f>Y56*门客升级!Y56</f>
        <v>0</v>
      </c>
      <c r="AE56" s="109">
        <f>INDEX(门客实力!L$5:L$7,基础信息!S61)</f>
        <v>100</v>
      </c>
      <c r="AF56" s="109">
        <f>INDEX(门客实力!M$5:M$7,基础信息!T61)</f>
        <v>1000</v>
      </c>
      <c r="AG56" s="109">
        <f>INDEX(门客实力!N$5:N$7,基础信息!U61)</f>
        <v>2000</v>
      </c>
      <c r="AH56" s="109">
        <f>INDEX(门客实力!O$5:O$7,基础信息!V61)</f>
        <v>3000</v>
      </c>
      <c r="AI56" s="109">
        <f>INDEX(门客实力!P$5:P$7,基础信息!W61)</f>
        <v>7000</v>
      </c>
    </row>
    <row r="57" spans="11:35" x14ac:dyDescent="0.15">
      <c r="K57" s="66">
        <v>13</v>
      </c>
      <c r="L57" s="60">
        <f>基础信息!D62</f>
        <v>67</v>
      </c>
      <c r="M57" s="61">
        <f>基础信息!E62</f>
        <v>4280.1298868004114</v>
      </c>
      <c r="N57" s="61">
        <f>基础信息!F62</f>
        <v>126.19151638854794</v>
      </c>
      <c r="O57" s="77">
        <f>MAX(基础信息!$G62*基础信息!I62*基础信息!N62*INDEX(D$32:D$34,基础信息!S62),O56)</f>
        <v>0</v>
      </c>
      <c r="P57" s="77">
        <f>MAX(基础信息!$G62*基础信息!J62*基础信息!O62*INDEX(E$32:E$34,基础信息!T62),P56)</f>
        <v>0</v>
      </c>
      <c r="Q57" s="77">
        <f>MAX(基础信息!$G62*基础信息!K62*基础信息!P62*INDEX(F$32:F$34,基础信息!U62),Q56)</f>
        <v>7000</v>
      </c>
      <c r="R57" s="77">
        <f>MAX(基础信息!$G62*基础信息!L62*基础信息!Q62*INDEX(G$32:G$34,基础信息!V62),R56)</f>
        <v>88000.000000000015</v>
      </c>
      <c r="S57" s="77">
        <f>MAX(基础信息!$G62*基础信息!M62*基础信息!R62*INDEX(H$32:H$34,基础信息!W62),S56)</f>
        <v>0</v>
      </c>
      <c r="T57" s="77">
        <f t="shared" si="8"/>
        <v>95000.000000000015</v>
      </c>
      <c r="U57" s="73">
        <f>基础信息!N62*INDEX(D$8:D$10,基础信息!S62)</f>
        <v>0</v>
      </c>
      <c r="V57" s="73">
        <f>基础信息!O62*INDEX(E$8:E$10,基础信息!T62)</f>
        <v>0.4</v>
      </c>
      <c r="W57" s="73">
        <f>基础信息!P62*INDEX(F$8:F$10,基础信息!U62)</f>
        <v>0.4</v>
      </c>
      <c r="X57" s="73">
        <f>基础信息!Q62*INDEX(G$8:G$10,基础信息!V62)</f>
        <v>0.4</v>
      </c>
      <c r="Y57" s="73">
        <f>基础信息!R62*INDEX(H$8:H$10,基础信息!W62)</f>
        <v>0</v>
      </c>
      <c r="Z57" s="59">
        <f>U57*门客升级!U57</f>
        <v>0</v>
      </c>
      <c r="AA57" s="59">
        <f>V57*门客升级!V57</f>
        <v>0</v>
      </c>
      <c r="AB57" s="59">
        <f>W57*门客升级!W57</f>
        <v>0</v>
      </c>
      <c r="AC57" s="59">
        <f>X57*门客升级!X57</f>
        <v>0</v>
      </c>
      <c r="AD57" s="59">
        <f>Y57*门客升级!Y57</f>
        <v>0</v>
      </c>
      <c r="AE57" s="109">
        <f>INDEX(门客实力!L$5:L$7,基础信息!S62)</f>
        <v>100</v>
      </c>
      <c r="AF57" s="109">
        <f>INDEX(门客实力!M$5:M$7,基础信息!T62)</f>
        <v>1000</v>
      </c>
      <c r="AG57" s="109">
        <f>INDEX(门客实力!N$5:N$7,基础信息!U62)</f>
        <v>2000</v>
      </c>
      <c r="AH57" s="109">
        <f>INDEX(门客实力!O$5:O$7,基础信息!V62)</f>
        <v>3000</v>
      </c>
      <c r="AI57" s="109">
        <f>INDEX(门客实力!P$5:P$7,基础信息!W62)</f>
        <v>7000</v>
      </c>
    </row>
    <row r="58" spans="11:35" x14ac:dyDescent="0.15">
      <c r="K58" s="66">
        <v>14</v>
      </c>
      <c r="L58" s="60">
        <f>基础信息!D63</f>
        <v>72</v>
      </c>
      <c r="M58" s="61">
        <f>基础信息!E63</f>
        <v>8884.9230377523691</v>
      </c>
      <c r="N58" s="61">
        <f>基础信息!F63</f>
        <v>136.8190741194654</v>
      </c>
      <c r="O58" s="77">
        <f>MAX(基础信息!$G63*基础信息!I63*基础信息!N63*INDEX(D$32:D$34,基础信息!S63),O57)</f>
        <v>0</v>
      </c>
      <c r="P58" s="77">
        <f>MAX(基础信息!$G63*基础信息!J63*基础信息!O63*INDEX(E$32:E$34,基础信息!T63),P57)</f>
        <v>0</v>
      </c>
      <c r="Q58" s="77">
        <f>MAX(基础信息!$G63*基础信息!K63*基础信息!P63*INDEX(F$32:F$34,基础信息!U63),Q57)</f>
        <v>7000</v>
      </c>
      <c r="R58" s="77">
        <f>MAX(基础信息!$G63*基础信息!L63*基础信息!Q63*INDEX(G$32:G$34,基础信息!V63),R57)</f>
        <v>88000.000000000015</v>
      </c>
      <c r="S58" s="77">
        <f>MAX(基础信息!$G63*基础信息!M63*基础信息!R63*INDEX(H$32:H$34,基础信息!W63),S57)</f>
        <v>700000</v>
      </c>
      <c r="T58" s="77">
        <f t="shared" si="8"/>
        <v>795000</v>
      </c>
      <c r="U58" s="73">
        <f>基础信息!N63*INDEX(D$8:D$10,基础信息!S63)</f>
        <v>0</v>
      </c>
      <c r="V58" s="73">
        <f>基础信息!O63*INDEX(E$8:E$10,基础信息!T63)</f>
        <v>0.4</v>
      </c>
      <c r="W58" s="73">
        <f>基础信息!P63*INDEX(F$8:F$10,基础信息!U63)</f>
        <v>0.4</v>
      </c>
      <c r="X58" s="73">
        <f>基础信息!Q63*INDEX(G$8:G$10,基础信息!V63)</f>
        <v>0.8</v>
      </c>
      <c r="Y58" s="73">
        <f>基础信息!R63*INDEX(H$8:H$10,基础信息!W63)</f>
        <v>0.2</v>
      </c>
      <c r="Z58" s="59">
        <f>U58*门客升级!U58</f>
        <v>0</v>
      </c>
      <c r="AA58" s="59">
        <f>V58*门客升级!V58</f>
        <v>0</v>
      </c>
      <c r="AB58" s="59">
        <f>W58*门客升级!W58</f>
        <v>0</v>
      </c>
      <c r="AC58" s="59">
        <f>X58*门客升级!X58</f>
        <v>0</v>
      </c>
      <c r="AD58" s="59">
        <f>Y58*门客升级!Y58</f>
        <v>42</v>
      </c>
      <c r="AE58" s="109">
        <f>INDEX(门客实力!L$5:L$7,基础信息!S63)</f>
        <v>100</v>
      </c>
      <c r="AF58" s="109">
        <f>INDEX(门客实力!M$5:M$7,基础信息!T63)</f>
        <v>1000</v>
      </c>
      <c r="AG58" s="109">
        <f>INDEX(门客实力!N$5:N$7,基础信息!U63)</f>
        <v>2000</v>
      </c>
      <c r="AH58" s="109">
        <f>INDEX(门客实力!O$5:O$7,基础信息!V63)</f>
        <v>5000</v>
      </c>
      <c r="AI58" s="109">
        <f>INDEX(门客实力!P$5:P$7,基础信息!W63)</f>
        <v>10000</v>
      </c>
    </row>
    <row r="59" spans="11:35" x14ac:dyDescent="0.15">
      <c r="K59" s="66">
        <v>15</v>
      </c>
      <c r="L59" s="60">
        <f>基础信息!D64</f>
        <v>77</v>
      </c>
      <c r="M59" s="61">
        <f>基础信息!E64</f>
        <v>18418.806603807832</v>
      </c>
      <c r="N59" s="61">
        <f>基础信息!F64</f>
        <v>147.45018844840658</v>
      </c>
      <c r="O59" s="77">
        <f>MAX(基础信息!$G64*基础信息!I64*基础信息!N64*INDEX(D$32:D$34,基础信息!S64),O58)</f>
        <v>0</v>
      </c>
      <c r="P59" s="77">
        <f>MAX(基础信息!$G64*基础信息!J64*基础信息!O64*INDEX(E$32:E$34,基础信息!T64),P58)</f>
        <v>0</v>
      </c>
      <c r="Q59" s="77">
        <f>MAX(基础信息!$G64*基础信息!K64*基础信息!P64*INDEX(F$32:F$34,基础信息!U64),Q58)</f>
        <v>7000</v>
      </c>
      <c r="R59" s="77">
        <f>MAX(基础信息!$G64*基础信息!L64*基础信息!Q64*INDEX(G$32:G$34,基础信息!V64),R58)</f>
        <v>88000.000000000015</v>
      </c>
      <c r="S59" s="77">
        <f>MAX(基础信息!$G64*基础信息!M64*基础信息!R64*INDEX(H$32:H$34,基础信息!W64),S58)</f>
        <v>1500000</v>
      </c>
      <c r="T59" s="77">
        <f t="shared" si="8"/>
        <v>1595000</v>
      </c>
      <c r="U59" s="73">
        <f>基础信息!N64*INDEX(D$8:D$10,基础信息!S64)</f>
        <v>0</v>
      </c>
      <c r="V59" s="73">
        <f>基础信息!O64*INDEX(E$8:E$10,基础信息!T64)</f>
        <v>0.4</v>
      </c>
      <c r="W59" s="73">
        <f>基础信息!P64*INDEX(F$8:F$10,基础信息!U64)</f>
        <v>0.4</v>
      </c>
      <c r="X59" s="73">
        <f>基础信息!Q64*INDEX(G$8:G$10,基础信息!V64)</f>
        <v>0.8</v>
      </c>
      <c r="Y59" s="73">
        <f>基础信息!R64*INDEX(H$8:H$10,基础信息!W64)</f>
        <v>0.4</v>
      </c>
      <c r="Z59" s="59">
        <f>U59*门客升级!U59</f>
        <v>0</v>
      </c>
      <c r="AA59" s="59">
        <f>V59*门客升级!V59</f>
        <v>0</v>
      </c>
      <c r="AB59" s="59">
        <f>W59*门客升级!W59</f>
        <v>0</v>
      </c>
      <c r="AC59" s="59">
        <f>X59*门客升级!X59</f>
        <v>0</v>
      </c>
      <c r="AD59" s="59">
        <f>Y59*门客升级!Y59</f>
        <v>90</v>
      </c>
      <c r="AE59" s="109">
        <f>INDEX(门客实力!L$5:L$7,基础信息!S64)</f>
        <v>100</v>
      </c>
      <c r="AF59" s="109">
        <f>INDEX(门客实力!M$5:M$7,基础信息!T64)</f>
        <v>1000</v>
      </c>
      <c r="AG59" s="109">
        <f>INDEX(门客实力!N$5:N$7,基础信息!U64)</f>
        <v>2000</v>
      </c>
      <c r="AH59" s="109">
        <f>INDEX(门客实力!O$5:O$7,基础信息!V64)</f>
        <v>5000</v>
      </c>
      <c r="AI59" s="109">
        <f>INDEX(门客实力!P$5:P$7,基础信息!W64)</f>
        <v>10000</v>
      </c>
    </row>
    <row r="60" spans="11:35" x14ac:dyDescent="0.15">
      <c r="K60" s="66">
        <v>16</v>
      </c>
      <c r="L60" s="60">
        <f>基础信息!D65</f>
        <v>80</v>
      </c>
      <c r="M60" s="61">
        <f>基础信息!E65</f>
        <v>28507.724999999999</v>
      </c>
      <c r="N60" s="61">
        <f>基础信息!F65</f>
        <v>153.14946182958477</v>
      </c>
      <c r="O60" s="77">
        <f>MAX(基础信息!$G65*基础信息!I65*基础信息!N65*INDEX(D$32:D$34,基础信息!S65),O59)</f>
        <v>0</v>
      </c>
      <c r="P60" s="77">
        <f>MAX(基础信息!$G65*基础信息!J65*基础信息!O65*INDEX(E$32:E$34,基础信息!T65),P59)</f>
        <v>0</v>
      </c>
      <c r="Q60" s="77">
        <f>MAX(基础信息!$G65*基础信息!K65*基础信息!P65*INDEX(F$32:F$34,基础信息!U65),Q59)</f>
        <v>7000</v>
      </c>
      <c r="R60" s="77">
        <f>MAX(基础信息!$G65*基础信息!L65*基础信息!Q65*INDEX(G$32:G$34,基础信息!V65),R59)</f>
        <v>88000.000000000015</v>
      </c>
      <c r="S60" s="77">
        <f>MAX(基础信息!$G65*基础信息!M65*基础信息!R65*INDEX(H$32:H$34,基础信息!W65),S59)</f>
        <v>2400000</v>
      </c>
      <c r="T60" s="77">
        <f t="shared" si="8"/>
        <v>2495000</v>
      </c>
      <c r="U60" s="73">
        <f>基础信息!N65*INDEX(D$8:D$10,基础信息!S65)</f>
        <v>0</v>
      </c>
      <c r="V60" s="73">
        <f>基础信息!O65*INDEX(E$8:E$10,基础信息!T65)</f>
        <v>0.4</v>
      </c>
      <c r="W60" s="73">
        <f>基础信息!P65*INDEX(F$8:F$10,基础信息!U65)</f>
        <v>0.4</v>
      </c>
      <c r="X60" s="73">
        <f>基础信息!Q65*INDEX(G$8:G$10,基础信息!V65)</f>
        <v>0.8</v>
      </c>
      <c r="Y60" s="73">
        <f>基础信息!R65*INDEX(H$8:H$10,基础信息!W65)</f>
        <v>0.60000000000000009</v>
      </c>
      <c r="Z60" s="59">
        <f>U60*门客升级!U60</f>
        <v>0</v>
      </c>
      <c r="AA60" s="59">
        <f>V60*门客升级!V60</f>
        <v>0</v>
      </c>
      <c r="AB60" s="59">
        <f>W60*门客升级!W60</f>
        <v>0</v>
      </c>
      <c r="AC60" s="59">
        <f>X60*门客升级!X60</f>
        <v>0</v>
      </c>
      <c r="AD60" s="59">
        <f>Y60*门客升级!Y60</f>
        <v>144.00000000000003</v>
      </c>
      <c r="AE60" s="109">
        <f>INDEX(门客实力!L$5:L$7,基础信息!S65)</f>
        <v>100</v>
      </c>
      <c r="AF60" s="109">
        <f>INDEX(门客实力!M$5:M$7,基础信息!T65)</f>
        <v>1000</v>
      </c>
      <c r="AG60" s="109">
        <f>INDEX(门客实力!N$5:N$7,基础信息!U65)</f>
        <v>2000</v>
      </c>
      <c r="AH60" s="109">
        <f>INDEX(门客实力!O$5:O$7,基础信息!V65)</f>
        <v>5000</v>
      </c>
      <c r="AI60" s="109">
        <f>INDEX(门客实力!P$5:P$7,基础信息!W65)</f>
        <v>10000</v>
      </c>
    </row>
    <row r="61" spans="11:35" x14ac:dyDescent="0.15">
      <c r="K61" s="66"/>
      <c r="L61" s="66"/>
      <c r="M61" s="65"/>
      <c r="N61" s="65"/>
    </row>
    <row r="62" spans="11:35" x14ac:dyDescent="0.15">
      <c r="K62" s="66"/>
      <c r="L62" s="66"/>
      <c r="M62" s="65"/>
      <c r="N62" s="65"/>
    </row>
    <row r="63" spans="11:35" x14ac:dyDescent="0.15">
      <c r="K63" s="66" t="s">
        <v>3</v>
      </c>
      <c r="L63" s="66"/>
      <c r="M63" s="65"/>
      <c r="N63" s="65"/>
      <c r="O63" s="126" t="s">
        <v>164</v>
      </c>
      <c r="P63" s="126"/>
      <c r="Q63" s="126"/>
      <c r="R63" s="126"/>
      <c r="S63" s="126"/>
      <c r="U63" s="126" t="s">
        <v>157</v>
      </c>
      <c r="V63" s="126"/>
      <c r="W63" s="126"/>
      <c r="X63" s="126"/>
      <c r="Y63" s="126"/>
      <c r="Z63" s="123" t="s">
        <v>159</v>
      </c>
      <c r="AA63" s="123"/>
      <c r="AB63" s="123"/>
      <c r="AC63" s="123"/>
      <c r="AD63" s="123"/>
      <c r="AE63" s="121" t="s">
        <v>302</v>
      </c>
      <c r="AF63" s="121"/>
      <c r="AG63" s="121"/>
      <c r="AH63" s="121"/>
      <c r="AI63" s="121"/>
    </row>
    <row r="64" spans="11:35" x14ac:dyDescent="0.15">
      <c r="K64" s="66" t="s">
        <v>21</v>
      </c>
      <c r="L64" s="66" t="s">
        <v>121</v>
      </c>
      <c r="M64" s="65" t="s">
        <v>122</v>
      </c>
      <c r="N64" s="65" t="s">
        <v>103</v>
      </c>
      <c r="O64" s="74" t="s">
        <v>104</v>
      </c>
      <c r="P64" s="74" t="s">
        <v>105</v>
      </c>
      <c r="Q64" s="74" t="s">
        <v>106</v>
      </c>
      <c r="R64" s="74" t="s">
        <v>107</v>
      </c>
      <c r="S64" s="74" t="s">
        <v>108</v>
      </c>
      <c r="T64" s="74" t="s">
        <v>171</v>
      </c>
      <c r="U64" s="73" t="s">
        <v>104</v>
      </c>
      <c r="V64" s="73" t="s">
        <v>105</v>
      </c>
      <c r="W64" s="73" t="s">
        <v>106</v>
      </c>
      <c r="X64" s="73" t="s">
        <v>107</v>
      </c>
      <c r="Y64" s="73" t="s">
        <v>108</v>
      </c>
      <c r="Z64" s="59" t="s">
        <v>104</v>
      </c>
      <c r="AA64" s="59" t="s">
        <v>105</v>
      </c>
      <c r="AB64" s="59" t="s">
        <v>106</v>
      </c>
      <c r="AC64" s="59" t="s">
        <v>107</v>
      </c>
      <c r="AD64" s="59" t="s">
        <v>108</v>
      </c>
      <c r="AE64" s="110" t="s">
        <v>104</v>
      </c>
      <c r="AF64" s="110" t="s">
        <v>105</v>
      </c>
      <c r="AG64" s="110" t="s">
        <v>106</v>
      </c>
      <c r="AH64" s="110" t="s">
        <v>107</v>
      </c>
      <c r="AI64" s="110" t="s">
        <v>108</v>
      </c>
    </row>
    <row r="65" spans="11:35" x14ac:dyDescent="0.15">
      <c r="K65" s="66">
        <v>1</v>
      </c>
      <c r="L65" s="60">
        <f>基础信息!D70</f>
        <v>16</v>
      </c>
      <c r="M65" s="61">
        <f>基础信息!E70</f>
        <v>1.0155087681570587</v>
      </c>
      <c r="N65" s="61">
        <f>基础信息!F70</f>
        <v>15.589627930182091</v>
      </c>
      <c r="O65" s="77">
        <f>MAX(基础信息!$G70*基础信息!I70*基础信息!N70*INDEX(D$32:D$34,基础信息!S70),O64)</f>
        <v>0</v>
      </c>
      <c r="P65" s="77">
        <f>MAX(基础信息!$G70*基础信息!J70*基础信息!O70*INDEX(E$32:E$34,基础信息!T70),P64)</f>
        <v>0</v>
      </c>
      <c r="Q65" s="77">
        <f>MAX(基础信息!$G70*基础信息!K70*基础信息!P70*INDEX(F$32:F$34,基础信息!U70),Q64)</f>
        <v>0</v>
      </c>
      <c r="R65" s="77">
        <f>MAX(基础信息!$G70*基础信息!L70*基础信息!Q70*INDEX(G$32:G$34,基础信息!V70),R64)</f>
        <v>0</v>
      </c>
      <c r="S65" s="77">
        <f>MAX(基础信息!$G70*基础信息!M70*基础信息!R70*INDEX(H$32:H$34,基础信息!W70),S64)</f>
        <v>0</v>
      </c>
      <c r="T65" s="77">
        <f>SUM(O65:S65)</f>
        <v>0</v>
      </c>
      <c r="U65" s="73">
        <f>基础信息!N70*INDEX(D$8:D$10,基础信息!S70)</f>
        <v>0</v>
      </c>
      <c r="V65" s="73">
        <f>基础信息!O70*INDEX(E$8:E$10,基础信息!T70)</f>
        <v>0</v>
      </c>
      <c r="W65" s="73">
        <f>基础信息!P70*INDEX(F$8:F$10,基础信息!U70)</f>
        <v>0</v>
      </c>
      <c r="X65" s="73">
        <f>基础信息!Q70*INDEX(G$8:G$10,基础信息!V70)</f>
        <v>0</v>
      </c>
      <c r="Y65" s="73">
        <f>基础信息!R70*INDEX(H$8:H$10,基础信息!W70)</f>
        <v>0</v>
      </c>
      <c r="Z65" s="59">
        <f>U65*门客升级!U65</f>
        <v>0</v>
      </c>
      <c r="AA65" s="59">
        <f>V65*门客升级!V65</f>
        <v>0</v>
      </c>
      <c r="AB65" s="59">
        <f>W65*门客升级!W65</f>
        <v>0</v>
      </c>
      <c r="AC65" s="59">
        <f>X65*门客升级!X65</f>
        <v>0</v>
      </c>
      <c r="AD65" s="59">
        <f>Y65*门客升级!Y65</f>
        <v>0</v>
      </c>
      <c r="AE65" s="109">
        <f>INDEX(门客实力!L$5:L$7,基础信息!S70)</f>
        <v>100</v>
      </c>
      <c r="AF65" s="109">
        <f>INDEX(门客实力!M$5:M$7,基础信息!T70)</f>
        <v>500</v>
      </c>
      <c r="AG65" s="109">
        <f>INDEX(门客实力!N$5:N$7,基础信息!U70)</f>
        <v>1000</v>
      </c>
      <c r="AH65" s="109">
        <f>INDEX(门客实力!O$5:O$7,基础信息!V70)</f>
        <v>2000</v>
      </c>
      <c r="AI65" s="109">
        <f>INDEX(门客实力!P$5:P$7,基础信息!W70)</f>
        <v>5000</v>
      </c>
    </row>
    <row r="66" spans="11:35" x14ac:dyDescent="0.15">
      <c r="K66" s="66">
        <v>2</v>
      </c>
      <c r="L66" s="60">
        <f>基础信息!D71</f>
        <v>19.5</v>
      </c>
      <c r="M66" s="61">
        <f>基础信息!E71</f>
        <v>1.9291590128661831</v>
      </c>
      <c r="N66" s="61">
        <f>基础信息!F71</f>
        <v>22.124520244011151</v>
      </c>
      <c r="O66" s="77">
        <f>MAX(基础信息!$G71*基础信息!I71*基础信息!N71*INDEX(D$32:D$34,基础信息!S71),O65)</f>
        <v>0</v>
      </c>
      <c r="P66" s="77">
        <f>MAX(基础信息!$G71*基础信息!J71*基础信息!O71*INDEX(E$32:E$34,基础信息!T71),P65)</f>
        <v>0</v>
      </c>
      <c r="Q66" s="77">
        <f>MAX(基础信息!$G71*基础信息!K71*基础信息!P71*INDEX(F$32:F$34,基础信息!U71),Q65)</f>
        <v>0</v>
      </c>
      <c r="R66" s="77">
        <f>MAX(基础信息!$G71*基础信息!L71*基础信息!Q71*INDEX(G$32:G$34,基础信息!V71),R65)</f>
        <v>0</v>
      </c>
      <c r="S66" s="77">
        <f>MAX(基础信息!$G71*基础信息!M71*基础信息!R71*INDEX(H$32:H$34,基础信息!W71),S65)</f>
        <v>0</v>
      </c>
      <c r="T66" s="77">
        <f t="shared" ref="T66:T80" si="9">SUM(O66:S66)</f>
        <v>0</v>
      </c>
      <c r="U66" s="73">
        <f>基础信息!N71*INDEX(D$8:D$10,基础信息!S71)</f>
        <v>0</v>
      </c>
      <c r="V66" s="73">
        <f>基础信息!O71*INDEX(E$8:E$10,基础信息!T71)</f>
        <v>0</v>
      </c>
      <c r="W66" s="73">
        <f>基础信息!P71*INDEX(F$8:F$10,基础信息!U71)</f>
        <v>0</v>
      </c>
      <c r="X66" s="73">
        <f>基础信息!Q71*INDEX(G$8:G$10,基础信息!V71)</f>
        <v>0</v>
      </c>
      <c r="Y66" s="73">
        <f>基础信息!R71*INDEX(H$8:H$10,基础信息!W71)</f>
        <v>0</v>
      </c>
      <c r="Z66" s="59">
        <f>U66*门客升级!U66</f>
        <v>0</v>
      </c>
      <c r="AA66" s="59">
        <f>V66*门客升级!V66</f>
        <v>0</v>
      </c>
      <c r="AB66" s="59">
        <f>W66*门客升级!W66</f>
        <v>0</v>
      </c>
      <c r="AC66" s="59">
        <f>X66*门客升级!X66</f>
        <v>0</v>
      </c>
      <c r="AD66" s="59">
        <f>Y66*门客升级!Y66</f>
        <v>0</v>
      </c>
      <c r="AE66" s="109">
        <f>INDEX(门客实力!L$5:L$7,基础信息!S71)</f>
        <v>100</v>
      </c>
      <c r="AF66" s="109">
        <f>INDEX(门客实力!M$5:M$7,基础信息!T71)</f>
        <v>500</v>
      </c>
      <c r="AG66" s="109">
        <f>INDEX(门客实力!N$5:N$7,基础信息!U71)</f>
        <v>1000</v>
      </c>
      <c r="AH66" s="109">
        <f>INDEX(门客实力!O$5:O$7,基础信息!V71)</f>
        <v>2000</v>
      </c>
      <c r="AI66" s="109">
        <f>INDEX(门客实力!P$5:P$7,基础信息!W71)</f>
        <v>5000</v>
      </c>
    </row>
    <row r="67" spans="11:35" x14ac:dyDescent="0.15">
      <c r="K67" s="66">
        <v>3</v>
      </c>
      <c r="L67" s="60">
        <f>基础信息!D72</f>
        <v>23.5</v>
      </c>
      <c r="M67" s="61">
        <f>基础信息!E72</f>
        <v>3.8620055508637692</v>
      </c>
      <c r="N67" s="61">
        <f>基础信息!F72</f>
        <v>30.385092920099169</v>
      </c>
      <c r="O67" s="77">
        <f>MAX(基础信息!$G72*基础信息!I72*基础信息!N72*INDEX(D$32:D$34,基础信息!S72),O66)</f>
        <v>0</v>
      </c>
      <c r="P67" s="77">
        <f>MAX(基础信息!$G72*基础信息!J72*基础信息!O72*INDEX(E$32:E$34,基础信息!T72),P66)</f>
        <v>0</v>
      </c>
      <c r="Q67" s="77">
        <f>MAX(基础信息!$G72*基础信息!K72*基础信息!P72*INDEX(F$32:F$34,基础信息!U72),Q66)</f>
        <v>0</v>
      </c>
      <c r="R67" s="77">
        <f>MAX(基础信息!$G72*基础信息!L72*基础信息!Q72*INDEX(G$32:G$34,基础信息!V72),R66)</f>
        <v>0</v>
      </c>
      <c r="S67" s="77">
        <f>MAX(基础信息!$G72*基础信息!M72*基础信息!R72*INDEX(H$32:H$34,基础信息!W72),S66)</f>
        <v>0</v>
      </c>
      <c r="T67" s="77">
        <f t="shared" si="9"/>
        <v>0</v>
      </c>
      <c r="U67" s="73">
        <f>基础信息!N72*INDEX(D$8:D$10,基础信息!S72)</f>
        <v>0</v>
      </c>
      <c r="V67" s="73">
        <f>基础信息!O72*INDEX(E$8:E$10,基础信息!T72)</f>
        <v>0</v>
      </c>
      <c r="W67" s="73">
        <f>基础信息!P72*INDEX(F$8:F$10,基础信息!U72)</f>
        <v>0</v>
      </c>
      <c r="X67" s="73">
        <f>基础信息!Q72*INDEX(G$8:G$10,基础信息!V72)</f>
        <v>0</v>
      </c>
      <c r="Y67" s="73">
        <f>基础信息!R72*INDEX(H$8:H$10,基础信息!W72)</f>
        <v>0</v>
      </c>
      <c r="Z67" s="59">
        <f>U67*门客升级!U67</f>
        <v>0</v>
      </c>
      <c r="AA67" s="59">
        <f>V67*门客升级!V67</f>
        <v>0</v>
      </c>
      <c r="AB67" s="59">
        <f>W67*门客升级!W67</f>
        <v>0</v>
      </c>
      <c r="AC67" s="59">
        <f>X67*门客升级!X67</f>
        <v>0</v>
      </c>
      <c r="AD67" s="59">
        <f>Y67*门客升级!Y67</f>
        <v>0</v>
      </c>
      <c r="AE67" s="109">
        <f>INDEX(门客实力!L$5:L$7,基础信息!S72)</f>
        <v>100</v>
      </c>
      <c r="AF67" s="109">
        <f>INDEX(门客实力!M$5:M$7,基础信息!T72)</f>
        <v>500</v>
      </c>
      <c r="AG67" s="109">
        <f>INDEX(门客实力!N$5:N$7,基础信息!U72)</f>
        <v>1000</v>
      </c>
      <c r="AH67" s="109">
        <f>INDEX(门客实力!O$5:O$7,基础信息!V72)</f>
        <v>2000</v>
      </c>
      <c r="AI67" s="109">
        <f>INDEX(门客实力!P$5:P$7,基础信息!W72)</f>
        <v>5000</v>
      </c>
    </row>
    <row r="68" spans="11:35" x14ac:dyDescent="0.15">
      <c r="K68" s="66">
        <v>4</v>
      </c>
      <c r="L68" s="60">
        <f>基础信息!D73</f>
        <v>27.5</v>
      </c>
      <c r="M68" s="61">
        <f>基础信息!E73</f>
        <v>7.5480892551941539</v>
      </c>
      <c r="N68" s="61">
        <f>基础信息!F73</f>
        <v>39.22082982715331</v>
      </c>
      <c r="O68" s="77">
        <f>MAX(基础信息!$G73*基础信息!I73*基础信息!N73*INDEX(D$32:D$34,基础信息!S73),O67)</f>
        <v>0</v>
      </c>
      <c r="P68" s="77">
        <f>MAX(基础信息!$G73*基础信息!J73*基础信息!O73*INDEX(E$32:E$34,基础信息!T73),P67)</f>
        <v>0</v>
      </c>
      <c r="Q68" s="77">
        <f>MAX(基础信息!$G73*基础信息!K73*基础信息!P73*INDEX(F$32:F$34,基础信息!U73),Q67)</f>
        <v>0</v>
      </c>
      <c r="R68" s="77">
        <f>MAX(基础信息!$G73*基础信息!L73*基础信息!Q73*INDEX(G$32:G$34,基础信息!V73),R67)</f>
        <v>0</v>
      </c>
      <c r="S68" s="77">
        <f>MAX(基础信息!$G73*基础信息!M73*基础信息!R73*INDEX(H$32:H$34,基础信息!W73),S67)</f>
        <v>0</v>
      </c>
      <c r="T68" s="77">
        <f t="shared" si="9"/>
        <v>0</v>
      </c>
      <c r="U68" s="73">
        <f>基础信息!N73*INDEX(D$8:D$10,基础信息!S73)</f>
        <v>0</v>
      </c>
      <c r="V68" s="73">
        <f>基础信息!O73*INDEX(E$8:E$10,基础信息!T73)</f>
        <v>0</v>
      </c>
      <c r="W68" s="73">
        <f>基础信息!P73*INDEX(F$8:F$10,基础信息!U73)</f>
        <v>0</v>
      </c>
      <c r="X68" s="73">
        <f>基础信息!Q73*INDEX(G$8:G$10,基础信息!V73)</f>
        <v>0</v>
      </c>
      <c r="Y68" s="73">
        <f>基础信息!R73*INDEX(H$8:H$10,基础信息!W73)</f>
        <v>0</v>
      </c>
      <c r="Z68" s="59">
        <f>U68*门客升级!U68</f>
        <v>0</v>
      </c>
      <c r="AA68" s="59">
        <f>V68*门客升级!V68</f>
        <v>0</v>
      </c>
      <c r="AB68" s="59">
        <f>W68*门客升级!W68</f>
        <v>0</v>
      </c>
      <c r="AC68" s="59">
        <f>X68*门客升级!X68</f>
        <v>0</v>
      </c>
      <c r="AD68" s="59">
        <f>Y68*门客升级!Y68</f>
        <v>0</v>
      </c>
      <c r="AE68" s="109">
        <f>INDEX(门客实力!L$5:L$7,基础信息!S73)</f>
        <v>100</v>
      </c>
      <c r="AF68" s="109">
        <f>INDEX(门客实力!M$5:M$7,基础信息!T73)</f>
        <v>700</v>
      </c>
      <c r="AG68" s="109">
        <f>INDEX(门客实力!N$5:N$7,基础信息!U73)</f>
        <v>1000</v>
      </c>
      <c r="AH68" s="109">
        <f>INDEX(门客实力!O$5:O$7,基础信息!V73)</f>
        <v>2000</v>
      </c>
      <c r="AI68" s="109">
        <f>INDEX(门客实力!P$5:P$7,基础信息!W73)</f>
        <v>5000</v>
      </c>
    </row>
    <row r="69" spans="11:35" x14ac:dyDescent="0.15">
      <c r="K69" s="66">
        <v>5</v>
      </c>
      <c r="L69" s="60">
        <f>基础信息!D74</f>
        <v>31.5</v>
      </c>
      <c r="M69" s="61">
        <f>基础信息!E74</f>
        <v>14.515695505432269</v>
      </c>
      <c r="N69" s="61">
        <f>基础信息!F74</f>
        <v>48.246535012671018</v>
      </c>
      <c r="O69" s="77">
        <f>MAX(基础信息!$G74*基础信息!I74*基础信息!N74*INDEX(D$32:D$34,基础信息!S74),O68)</f>
        <v>0</v>
      </c>
      <c r="P69" s="77">
        <f>MAX(基础信息!$G74*基础信息!J74*基础信息!O74*INDEX(E$32:E$34,基础信息!T74),P68)</f>
        <v>0</v>
      </c>
      <c r="Q69" s="77">
        <f>MAX(基础信息!$G74*基础信息!K74*基础信息!P74*INDEX(F$32:F$34,基础信息!U74),Q68)</f>
        <v>0</v>
      </c>
      <c r="R69" s="77">
        <f>MAX(基础信息!$G74*基础信息!L74*基础信息!Q74*INDEX(G$32:G$34,基础信息!V74),R68)</f>
        <v>0</v>
      </c>
      <c r="S69" s="77">
        <f>MAX(基础信息!$G74*基础信息!M74*基础信息!R74*INDEX(H$32:H$34,基础信息!W74),S68)</f>
        <v>0</v>
      </c>
      <c r="T69" s="77">
        <f t="shared" si="9"/>
        <v>0</v>
      </c>
      <c r="U69" s="73">
        <f>基础信息!N74*INDEX(D$8:D$10,基础信息!S74)</f>
        <v>0</v>
      </c>
      <c r="V69" s="73">
        <f>基础信息!O74*INDEX(E$8:E$10,基础信息!T74)</f>
        <v>0</v>
      </c>
      <c r="W69" s="73">
        <f>基础信息!P74*INDEX(F$8:F$10,基础信息!U74)</f>
        <v>0</v>
      </c>
      <c r="X69" s="73">
        <f>基础信息!Q74*INDEX(G$8:G$10,基础信息!V74)</f>
        <v>0.05</v>
      </c>
      <c r="Y69" s="73">
        <f>基础信息!R74*INDEX(H$8:H$10,基础信息!W74)</f>
        <v>0</v>
      </c>
      <c r="Z69" s="59">
        <f>U69*门客升级!U69</f>
        <v>0</v>
      </c>
      <c r="AA69" s="59">
        <f>V69*门客升级!V69</f>
        <v>0</v>
      </c>
      <c r="AB69" s="59">
        <f>W69*门客升级!W69</f>
        <v>0</v>
      </c>
      <c r="AC69" s="59">
        <f>X69*门客升级!X69</f>
        <v>2.25</v>
      </c>
      <c r="AD69" s="59">
        <f>Y69*门客升级!Y69</f>
        <v>0</v>
      </c>
      <c r="AE69" s="109">
        <f>INDEX(门客实力!L$5:L$7,基础信息!S74)</f>
        <v>100</v>
      </c>
      <c r="AF69" s="109">
        <f>INDEX(门客实力!M$5:M$7,基础信息!T74)</f>
        <v>1000</v>
      </c>
      <c r="AG69" s="109">
        <f>INDEX(门客实力!N$5:N$7,基础信息!U74)</f>
        <v>1000</v>
      </c>
      <c r="AH69" s="109">
        <f>INDEX(门客实力!O$5:O$7,基础信息!V74)</f>
        <v>2000</v>
      </c>
      <c r="AI69" s="109">
        <f>INDEX(门客实力!P$5:P$7,基础信息!W74)</f>
        <v>5000</v>
      </c>
    </row>
    <row r="70" spans="11:35" x14ac:dyDescent="0.15">
      <c r="K70" s="66">
        <v>6</v>
      </c>
      <c r="L70" s="60">
        <f>基础信息!D75</f>
        <v>35.5</v>
      </c>
      <c r="M70" s="61">
        <f>基础信息!E75</f>
        <v>27.449372333401666</v>
      </c>
      <c r="N70" s="61">
        <f>基础信息!F75</f>
        <v>57.411337115405701</v>
      </c>
      <c r="O70" s="77">
        <f>MAX(基础信息!$G75*基础信息!I75*基础信息!N75*INDEX(D$32:D$34,基础信息!S75),O69)</f>
        <v>0</v>
      </c>
      <c r="P70" s="77">
        <f>MAX(基础信息!$G75*基础信息!J75*基础信息!O75*INDEX(E$32:E$34,基础信息!T75),P69)</f>
        <v>0</v>
      </c>
      <c r="Q70" s="77">
        <f>MAX(基础信息!$G75*基础信息!K75*基础信息!P75*INDEX(F$32:F$34,基础信息!U75),Q69)</f>
        <v>0</v>
      </c>
      <c r="R70" s="77">
        <f>MAX(基础信息!$G75*基础信息!L75*基础信息!Q75*INDEX(G$32:G$34,基础信息!V75),R69)</f>
        <v>0</v>
      </c>
      <c r="S70" s="77">
        <f>MAX(基础信息!$G75*基础信息!M75*基础信息!R75*INDEX(H$32:H$34,基础信息!W75),S69)</f>
        <v>0</v>
      </c>
      <c r="T70" s="77">
        <f t="shared" si="9"/>
        <v>0</v>
      </c>
      <c r="U70" s="73">
        <f>基础信息!N75*INDEX(D$8:D$10,基础信息!S75)</f>
        <v>0</v>
      </c>
      <c r="V70" s="73">
        <f>基础信息!O75*INDEX(E$8:E$10,基础信息!T75)</f>
        <v>0</v>
      </c>
      <c r="W70" s="73">
        <f>基础信息!P75*INDEX(F$8:F$10,基础信息!U75)</f>
        <v>0</v>
      </c>
      <c r="X70" s="73">
        <f>基础信息!Q75*INDEX(G$8:G$10,基础信息!V75)</f>
        <v>0.1</v>
      </c>
      <c r="Y70" s="73">
        <f>基础信息!R75*INDEX(H$8:H$10,基础信息!W75)</f>
        <v>0</v>
      </c>
      <c r="Z70" s="59">
        <f>U70*门客升级!U70</f>
        <v>0</v>
      </c>
      <c r="AA70" s="59">
        <f>V70*门客升级!V70</f>
        <v>0</v>
      </c>
      <c r="AB70" s="59">
        <f>W70*门客升级!W70</f>
        <v>0</v>
      </c>
      <c r="AC70" s="59">
        <f>X70*门客升级!X70</f>
        <v>5.76</v>
      </c>
      <c r="AD70" s="59">
        <f>Y70*门客升级!Y70</f>
        <v>0</v>
      </c>
      <c r="AE70" s="109">
        <f>INDEX(门客实力!L$5:L$7,基础信息!S75)</f>
        <v>100</v>
      </c>
      <c r="AF70" s="109">
        <f>INDEX(门客实力!M$5:M$7,基础信息!T75)</f>
        <v>1000</v>
      </c>
      <c r="AG70" s="109">
        <f>INDEX(门客实力!N$5:N$7,基础信息!U75)</f>
        <v>1000</v>
      </c>
      <c r="AH70" s="109">
        <f>INDEX(门客实力!O$5:O$7,基础信息!V75)</f>
        <v>2000</v>
      </c>
      <c r="AI70" s="109">
        <f>INDEX(门客实力!P$5:P$7,基础信息!W75)</f>
        <v>5000</v>
      </c>
    </row>
    <row r="71" spans="11:35" x14ac:dyDescent="0.15">
      <c r="K71" s="66">
        <v>7</v>
      </c>
      <c r="L71" s="60">
        <f>基础信息!D76</f>
        <v>39.5</v>
      </c>
      <c r="M71" s="61">
        <f>基础信息!E76</f>
        <v>49.848538197196007</v>
      </c>
      <c r="N71" s="61">
        <f>基础信息!F76</f>
        <v>65.902718877121345</v>
      </c>
      <c r="O71" s="77">
        <f>MAX(基础信息!$G76*基础信息!I76*基础信息!N76*INDEX(D$32:D$34,基础信息!S76),O70)</f>
        <v>0</v>
      </c>
      <c r="P71" s="77">
        <f>MAX(基础信息!$G76*基础信息!J76*基础信息!O76*INDEX(E$32:E$34,基础信息!T76),P70)</f>
        <v>0</v>
      </c>
      <c r="Q71" s="77">
        <f>MAX(基础信息!$G76*基础信息!K76*基础信息!P76*INDEX(F$32:F$34,基础信息!U76),Q70)</f>
        <v>0</v>
      </c>
      <c r="R71" s="77">
        <f>MAX(基础信息!$G76*基础信息!L76*基础信息!Q76*INDEX(G$32:G$34,基础信息!V76),R70)</f>
        <v>0</v>
      </c>
      <c r="S71" s="77">
        <f>MAX(基础信息!$G76*基础信息!M76*基础信息!R76*INDEX(H$32:H$34,基础信息!W76),S70)</f>
        <v>0</v>
      </c>
      <c r="T71" s="77">
        <f t="shared" si="9"/>
        <v>0</v>
      </c>
      <c r="U71" s="73">
        <f>基础信息!N76*INDEX(D$8:D$10,基础信息!S76)</f>
        <v>0</v>
      </c>
      <c r="V71" s="73">
        <f>基础信息!O76*INDEX(E$8:E$10,基础信息!T76)</f>
        <v>0</v>
      </c>
      <c r="W71" s="73">
        <f>基础信息!P76*INDEX(F$8:F$10,基础信息!U76)</f>
        <v>0</v>
      </c>
      <c r="X71" s="73">
        <f>基础信息!Q76*INDEX(G$8:G$10,基础信息!V76)</f>
        <v>0.15000000000000002</v>
      </c>
      <c r="Y71" s="73">
        <f>基础信息!R76*INDEX(H$8:H$10,基础信息!W76)</f>
        <v>0</v>
      </c>
      <c r="Z71" s="59">
        <f>U71*门客升级!U71</f>
        <v>0</v>
      </c>
      <c r="AA71" s="59">
        <f>V71*门客升级!V71</f>
        <v>0</v>
      </c>
      <c r="AB71" s="59">
        <f>W71*门客升级!W71</f>
        <v>0</v>
      </c>
      <c r="AC71" s="59">
        <f>X71*门客升级!X71</f>
        <v>10.71</v>
      </c>
      <c r="AD71" s="59">
        <f>Y71*门客升级!Y71</f>
        <v>0</v>
      </c>
      <c r="AE71" s="109">
        <f>INDEX(门客实力!L$5:L$7,基础信息!S76)</f>
        <v>100</v>
      </c>
      <c r="AF71" s="109">
        <f>INDEX(门客实力!M$5:M$7,基础信息!T76)</f>
        <v>1000</v>
      </c>
      <c r="AG71" s="109">
        <f>INDEX(门客实力!N$5:N$7,基础信息!U76)</f>
        <v>1500</v>
      </c>
      <c r="AH71" s="109">
        <f>INDEX(门客实力!O$5:O$7,基础信息!V76)</f>
        <v>2000</v>
      </c>
      <c r="AI71" s="109">
        <f>INDEX(门客实力!P$5:P$7,基础信息!W76)</f>
        <v>5000</v>
      </c>
    </row>
    <row r="72" spans="11:35" x14ac:dyDescent="0.15">
      <c r="K72" s="66">
        <v>8</v>
      </c>
      <c r="L72" s="60">
        <f>基础信息!D77</f>
        <v>43.5</v>
      </c>
      <c r="M72" s="61">
        <f>基础信息!E77</f>
        <v>90.273217467309593</v>
      </c>
      <c r="N72" s="61">
        <f>基础信息!F77</f>
        <v>74.536451869422805</v>
      </c>
      <c r="O72" s="77">
        <f>MAX(基础信息!$G77*基础信息!I77*基础信息!N77*INDEX(D$32:D$34,基础信息!S77),O71)</f>
        <v>0</v>
      </c>
      <c r="P72" s="77">
        <f>MAX(基础信息!$G77*基础信息!J77*基础信息!O77*INDEX(E$32:E$34,基础信息!T77),P71)</f>
        <v>0</v>
      </c>
      <c r="Q72" s="77">
        <f>MAX(基础信息!$G77*基础信息!K77*基础信息!P77*INDEX(F$32:F$34,基础信息!U77),Q71)</f>
        <v>0</v>
      </c>
      <c r="R72" s="77">
        <f>MAX(基础信息!$G77*基础信息!L77*基础信息!Q77*INDEX(G$32:G$34,基础信息!V77),R71)</f>
        <v>0</v>
      </c>
      <c r="S72" s="77">
        <f>MAX(基础信息!$G77*基础信息!M77*基础信息!R77*INDEX(H$32:H$34,基础信息!W77),S71)</f>
        <v>0</v>
      </c>
      <c r="T72" s="77">
        <f t="shared" si="9"/>
        <v>0</v>
      </c>
      <c r="U72" s="73">
        <f>基础信息!N77*INDEX(D$8:D$10,基础信息!S77)</f>
        <v>0</v>
      </c>
      <c r="V72" s="73">
        <f>基础信息!O77*INDEX(E$8:E$10,基础信息!T77)</f>
        <v>0</v>
      </c>
      <c r="W72" s="73">
        <f>基础信息!P77*INDEX(F$8:F$10,基础信息!U77)</f>
        <v>0</v>
      </c>
      <c r="X72" s="73">
        <f>基础信息!Q77*INDEX(G$8:G$10,基础信息!V77)</f>
        <v>0.2</v>
      </c>
      <c r="Y72" s="73">
        <f>基础信息!R77*INDEX(H$8:H$10,基础信息!W77)</f>
        <v>0</v>
      </c>
      <c r="Z72" s="59">
        <f>U72*门客升级!U72</f>
        <v>0</v>
      </c>
      <c r="AA72" s="59">
        <f>V72*门客升级!V72</f>
        <v>0</v>
      </c>
      <c r="AB72" s="59">
        <f>W72*门客升级!W72</f>
        <v>0</v>
      </c>
      <c r="AC72" s="59">
        <f>X72*门客升级!X72</f>
        <v>13.824000000000002</v>
      </c>
      <c r="AD72" s="59">
        <f>Y72*门客升级!Y72</f>
        <v>0</v>
      </c>
      <c r="AE72" s="109">
        <f>INDEX(门客实力!L$5:L$7,基础信息!S77)</f>
        <v>100</v>
      </c>
      <c r="AF72" s="109">
        <f>INDEX(门客实力!M$5:M$7,基础信息!T77)</f>
        <v>1000</v>
      </c>
      <c r="AG72" s="109">
        <f>INDEX(门客实力!N$5:N$7,基础信息!U77)</f>
        <v>1500</v>
      </c>
      <c r="AH72" s="109">
        <f>INDEX(门客实力!O$5:O$7,基础信息!V77)</f>
        <v>2000</v>
      </c>
      <c r="AI72" s="109">
        <f>INDEX(门客实力!P$5:P$7,基础信息!W77)</f>
        <v>5000</v>
      </c>
    </row>
    <row r="73" spans="11:35" x14ac:dyDescent="0.15">
      <c r="K73" s="66">
        <v>9</v>
      </c>
      <c r="L73" s="60">
        <f>基础信息!D78</f>
        <v>47.5</v>
      </c>
      <c r="M73" s="61">
        <f>基础信息!E78</f>
        <v>163.13415930738643</v>
      </c>
      <c r="N73" s="61">
        <f>基础信息!F78</f>
        <v>83.136424497546074</v>
      </c>
      <c r="O73" s="77">
        <f>MAX(基础信息!$G78*基础信息!I78*基础信息!N78*INDEX(D$32:D$34,基础信息!S78),O72)</f>
        <v>0</v>
      </c>
      <c r="P73" s="77">
        <f>MAX(基础信息!$G78*基础信息!J78*基础信息!O78*INDEX(E$32:E$34,基础信息!T78),P72)</f>
        <v>0</v>
      </c>
      <c r="Q73" s="77">
        <f>MAX(基础信息!$G78*基础信息!K78*基础信息!P78*INDEX(F$32:F$34,基础信息!U78),Q72)</f>
        <v>0</v>
      </c>
      <c r="R73" s="77">
        <f>MAX(基础信息!$G78*基础信息!L78*基础信息!Q78*INDEX(G$32:G$34,基础信息!V78),R72)</f>
        <v>0</v>
      </c>
      <c r="S73" s="77">
        <f>MAX(基础信息!$G78*基础信息!M78*基础信息!R78*INDEX(H$32:H$34,基础信息!W78),S72)</f>
        <v>0</v>
      </c>
      <c r="T73" s="77">
        <f t="shared" si="9"/>
        <v>0</v>
      </c>
      <c r="U73" s="73">
        <f>基础信息!N78*INDEX(D$8:D$10,基础信息!S78)</f>
        <v>0</v>
      </c>
      <c r="V73" s="73">
        <f>基础信息!O78*INDEX(E$8:E$10,基础信息!T78)</f>
        <v>0</v>
      </c>
      <c r="W73" s="73">
        <f>基础信息!P78*INDEX(F$8:F$10,基础信息!U78)</f>
        <v>0</v>
      </c>
      <c r="X73" s="73">
        <f>基础信息!Q78*INDEX(G$8:G$10,基础信息!V78)</f>
        <v>0.2</v>
      </c>
      <c r="Y73" s="73">
        <f>基础信息!R78*INDEX(H$8:H$10,基础信息!W78)</f>
        <v>0</v>
      </c>
      <c r="Z73" s="59">
        <f>U73*门客升级!U73</f>
        <v>0</v>
      </c>
      <c r="AA73" s="59">
        <f>V73*门客升级!V73</f>
        <v>0</v>
      </c>
      <c r="AB73" s="59">
        <f>W73*门客升级!W73</f>
        <v>0</v>
      </c>
      <c r="AC73" s="59">
        <f>X73*门客升级!X73</f>
        <v>12.311999999999999</v>
      </c>
      <c r="AD73" s="59">
        <f>Y73*门客升级!Y73</f>
        <v>0</v>
      </c>
      <c r="AE73" s="109">
        <f>INDEX(门客实力!L$5:L$7,基础信息!S78)</f>
        <v>100</v>
      </c>
      <c r="AF73" s="109">
        <f>INDEX(门客实力!M$5:M$7,基础信息!T78)</f>
        <v>1000</v>
      </c>
      <c r="AG73" s="109">
        <f>INDEX(门客实力!N$5:N$7,基础信息!U78)</f>
        <v>2000</v>
      </c>
      <c r="AH73" s="109">
        <f>INDEX(门客实力!O$5:O$7,基础信息!V78)</f>
        <v>2000</v>
      </c>
      <c r="AI73" s="109">
        <f>INDEX(门客实力!P$5:P$7,基础信息!W78)</f>
        <v>5000</v>
      </c>
    </row>
    <row r="74" spans="11:35" x14ac:dyDescent="0.15">
      <c r="K74" s="66">
        <v>10</v>
      </c>
      <c r="L74" s="60">
        <f>基础信息!D79</f>
        <v>52</v>
      </c>
      <c r="M74" s="61">
        <f>基础信息!E79</f>
        <v>315.94120754775781</v>
      </c>
      <c r="N74" s="61">
        <f>基础信息!F79</f>
        <v>93.208444061349098</v>
      </c>
      <c r="O74" s="77">
        <f>MAX(基础信息!$G79*基础信息!I79*基础信息!N79*INDEX(D$32:D$34,基础信息!S79),O73)</f>
        <v>0</v>
      </c>
      <c r="P74" s="77">
        <f>MAX(基础信息!$G79*基础信息!J79*基础信息!O79*INDEX(E$32:E$34,基础信息!T79),P73)</f>
        <v>0</v>
      </c>
      <c r="Q74" s="77">
        <f>MAX(基础信息!$G79*基础信息!K79*基础信息!P79*INDEX(F$32:F$34,基础信息!U79),Q73)</f>
        <v>0</v>
      </c>
      <c r="R74" s="77">
        <f>MAX(基础信息!$G79*基础信息!L79*基础信息!Q79*INDEX(G$32:G$34,基础信息!V79),R73)</f>
        <v>106666.66666666667</v>
      </c>
      <c r="S74" s="77">
        <f>MAX(基础信息!$G79*基础信息!M79*基础信息!R79*INDEX(H$32:H$34,基础信息!W79),S73)</f>
        <v>0</v>
      </c>
      <c r="T74" s="77">
        <f t="shared" si="9"/>
        <v>106666.66666666667</v>
      </c>
      <c r="U74" s="73">
        <f>基础信息!N79*INDEX(D$8:D$10,基础信息!S79)</f>
        <v>0</v>
      </c>
      <c r="V74" s="73">
        <f>基础信息!O79*INDEX(E$8:E$10,基础信息!T79)</f>
        <v>0</v>
      </c>
      <c r="W74" s="73">
        <f>基础信息!P79*INDEX(F$8:F$10,基础信息!U79)</f>
        <v>0</v>
      </c>
      <c r="X74" s="73">
        <f>基础信息!Q79*INDEX(G$8:G$10,基础信息!V79)</f>
        <v>0.4</v>
      </c>
      <c r="Y74" s="73">
        <f>基础信息!R79*INDEX(H$8:H$10,基础信息!W79)</f>
        <v>0</v>
      </c>
      <c r="Z74" s="59">
        <f>U74*门客升级!U74</f>
        <v>0</v>
      </c>
      <c r="AA74" s="59">
        <f>V74*门客升级!V74</f>
        <v>0</v>
      </c>
      <c r="AB74" s="59">
        <f>W74*门客升级!W74</f>
        <v>0</v>
      </c>
      <c r="AC74" s="59">
        <f>X74*门客升级!X74</f>
        <v>19.200000000000003</v>
      </c>
      <c r="AD74" s="59">
        <f>Y74*门客升级!Y74</f>
        <v>0</v>
      </c>
      <c r="AE74" s="109">
        <f>INDEX(门客实力!L$5:L$7,基础信息!S79)</f>
        <v>100</v>
      </c>
      <c r="AF74" s="109">
        <f>INDEX(门客实力!M$5:M$7,基础信息!T79)</f>
        <v>1000</v>
      </c>
      <c r="AG74" s="109">
        <f>INDEX(门客实力!N$5:N$7,基础信息!U79)</f>
        <v>2000</v>
      </c>
      <c r="AH74" s="109">
        <f>INDEX(门客实力!O$5:O$7,基础信息!V79)</f>
        <v>3000</v>
      </c>
      <c r="AI74" s="109">
        <f>INDEX(门客实力!P$5:P$7,基础信息!W79)</f>
        <v>7000</v>
      </c>
    </row>
    <row r="75" spans="11:35" x14ac:dyDescent="0.15">
      <c r="K75" s="66">
        <v>11</v>
      </c>
      <c r="L75" s="60">
        <f>基础信息!D80</f>
        <v>57</v>
      </c>
      <c r="M75" s="61">
        <f>基础信息!E80</f>
        <v>659.12993710814465</v>
      </c>
      <c r="N75" s="61">
        <f>基础信息!F80</f>
        <v>103.87052361677672</v>
      </c>
      <c r="O75" s="77">
        <f>MAX(基础信息!$G80*基础信息!I80*基础信息!N80*INDEX(D$32:D$34,基础信息!S80),O74)</f>
        <v>0</v>
      </c>
      <c r="P75" s="77">
        <f>MAX(基础信息!$G80*基础信息!J80*基础信息!O80*INDEX(E$32:E$34,基础信息!T80),P74)</f>
        <v>0</v>
      </c>
      <c r="Q75" s="77">
        <f>MAX(基础信息!$G80*基础信息!K80*基础信息!P80*INDEX(F$32:F$34,基础信息!U80),Q74)</f>
        <v>0</v>
      </c>
      <c r="R75" s="77">
        <f>MAX(基础信息!$G80*基础信息!L80*基础信息!Q80*INDEX(G$32:G$34,基础信息!V80),R74)</f>
        <v>106666.66666666667</v>
      </c>
      <c r="S75" s="77">
        <f>MAX(基础信息!$G80*基础信息!M80*基础信息!R80*INDEX(H$32:H$34,基础信息!W80),S74)</f>
        <v>0</v>
      </c>
      <c r="T75" s="77">
        <f t="shared" si="9"/>
        <v>106666.66666666667</v>
      </c>
      <c r="U75" s="73">
        <f>基础信息!N80*INDEX(D$8:D$10,基础信息!S80)</f>
        <v>0</v>
      </c>
      <c r="V75" s="73">
        <f>基础信息!O80*INDEX(E$8:E$10,基础信息!T80)</f>
        <v>0</v>
      </c>
      <c r="W75" s="73">
        <f>基础信息!P80*INDEX(F$8:F$10,基础信息!U80)</f>
        <v>0</v>
      </c>
      <c r="X75" s="73">
        <f>基础信息!Q80*INDEX(G$8:G$10,基础信息!V80)</f>
        <v>0.4</v>
      </c>
      <c r="Y75" s="73">
        <f>基础信息!R80*INDEX(H$8:H$10,基础信息!W80)</f>
        <v>0</v>
      </c>
      <c r="Z75" s="59">
        <f>U75*门客升级!U75</f>
        <v>0</v>
      </c>
      <c r="AA75" s="59">
        <f>V75*门客升级!V75</f>
        <v>0</v>
      </c>
      <c r="AB75" s="59">
        <f>W75*门客升级!W75</f>
        <v>0</v>
      </c>
      <c r="AC75" s="59">
        <f>X75*门客升级!X75</f>
        <v>10.560000000000002</v>
      </c>
      <c r="AD75" s="59">
        <f>Y75*门客升级!Y75</f>
        <v>0</v>
      </c>
      <c r="AE75" s="109">
        <f>INDEX(门客实力!L$5:L$7,基础信息!S80)</f>
        <v>100</v>
      </c>
      <c r="AF75" s="109">
        <f>INDEX(门客实力!M$5:M$7,基础信息!T80)</f>
        <v>1000</v>
      </c>
      <c r="AG75" s="109">
        <f>INDEX(门客实力!N$5:N$7,基础信息!U80)</f>
        <v>2000</v>
      </c>
      <c r="AH75" s="109">
        <f>INDEX(门客实力!O$5:O$7,基础信息!V80)</f>
        <v>3000</v>
      </c>
      <c r="AI75" s="109">
        <f>INDEX(门客实力!P$5:P$7,基础信息!W80)</f>
        <v>7000</v>
      </c>
    </row>
    <row r="76" spans="11:35" x14ac:dyDescent="0.15">
      <c r="K76" s="66">
        <v>12</v>
      </c>
      <c r="L76" s="60">
        <f>基础信息!D81</f>
        <v>62</v>
      </c>
      <c r="M76" s="61">
        <f>基础信息!E81</f>
        <v>1372.540918241546</v>
      </c>
      <c r="N76" s="61">
        <f>基础信息!F81</f>
        <v>114.60606674176169</v>
      </c>
      <c r="O76" s="77">
        <f>MAX(基础信息!$G81*基础信息!I81*基础信息!N81*INDEX(D$32:D$34,基础信息!S81),O75)</f>
        <v>0</v>
      </c>
      <c r="P76" s="77">
        <f>MAX(基础信息!$G81*基础信息!J81*基础信息!O81*INDEX(E$32:E$34,基础信息!T81),P75)</f>
        <v>0</v>
      </c>
      <c r="Q76" s="77">
        <f>MAX(基础信息!$G81*基础信息!K81*基础信息!P81*INDEX(F$32:F$34,基础信息!U81),Q75)</f>
        <v>0</v>
      </c>
      <c r="R76" s="77">
        <f>MAX(基础信息!$G81*基础信息!L81*基础信息!Q81*INDEX(G$32:G$34,基础信息!V81),R75)</f>
        <v>106666.66666666667</v>
      </c>
      <c r="S76" s="77">
        <f>MAX(基础信息!$G81*基础信息!M81*基础信息!R81*INDEX(H$32:H$34,基础信息!W81),S75)</f>
        <v>0</v>
      </c>
      <c r="T76" s="77">
        <f t="shared" si="9"/>
        <v>106666.66666666667</v>
      </c>
      <c r="U76" s="73">
        <f>基础信息!N81*INDEX(D$8:D$10,基础信息!S81)</f>
        <v>0</v>
      </c>
      <c r="V76" s="73">
        <f>基础信息!O81*INDEX(E$8:E$10,基础信息!T81)</f>
        <v>0</v>
      </c>
      <c r="W76" s="73">
        <f>基础信息!P81*INDEX(F$8:F$10,基础信息!U81)</f>
        <v>0</v>
      </c>
      <c r="X76" s="73">
        <f>基础信息!Q81*INDEX(G$8:G$10,基础信息!V81)</f>
        <v>0.4</v>
      </c>
      <c r="Y76" s="73">
        <f>基础信息!R81*INDEX(H$8:H$10,基础信息!W81)</f>
        <v>0</v>
      </c>
      <c r="Z76" s="59">
        <f>U76*门客升级!U76</f>
        <v>0</v>
      </c>
      <c r="AA76" s="59">
        <f>V76*门客升级!V76</f>
        <v>0</v>
      </c>
      <c r="AB76" s="59">
        <f>W76*门客升级!W76</f>
        <v>0</v>
      </c>
      <c r="AC76" s="59">
        <f>X76*门客升级!X76</f>
        <v>0</v>
      </c>
      <c r="AD76" s="59">
        <f>Y76*门客升级!Y76</f>
        <v>0</v>
      </c>
      <c r="AE76" s="109">
        <f>INDEX(门客实力!L$5:L$7,基础信息!S81)</f>
        <v>100</v>
      </c>
      <c r="AF76" s="109">
        <f>INDEX(门客实力!M$5:M$7,基础信息!T81)</f>
        <v>1000</v>
      </c>
      <c r="AG76" s="109">
        <f>INDEX(门客实力!N$5:N$7,基础信息!U81)</f>
        <v>2000</v>
      </c>
      <c r="AH76" s="109">
        <f>INDEX(门客实力!O$5:O$7,基础信息!V81)</f>
        <v>3000</v>
      </c>
      <c r="AI76" s="109">
        <f>INDEX(门客实力!P$5:P$7,基础信息!W81)</f>
        <v>7000</v>
      </c>
    </row>
    <row r="77" spans="11:35" x14ac:dyDescent="0.15">
      <c r="K77" s="66">
        <v>13</v>
      </c>
      <c r="L77" s="60">
        <f>基础信息!D82</f>
        <v>67</v>
      </c>
      <c r="M77" s="61">
        <f>基础信息!E82</f>
        <v>2853.4199245336076</v>
      </c>
      <c r="N77" s="61">
        <f>基础信息!F82</f>
        <v>125.19410714767859</v>
      </c>
      <c r="O77" s="77">
        <f>MAX(基础信息!$G82*基础信息!I82*基础信息!N82*INDEX(D$32:D$34,基础信息!S82),O76)</f>
        <v>0</v>
      </c>
      <c r="P77" s="77">
        <f>MAX(基础信息!$G82*基础信息!J82*基础信息!O82*INDEX(E$32:E$34,基础信息!T82),P76)</f>
        <v>0</v>
      </c>
      <c r="Q77" s="77">
        <f>MAX(基础信息!$G82*基础信息!K82*基础信息!P82*INDEX(F$32:F$34,基础信息!U82),Q76)</f>
        <v>0</v>
      </c>
      <c r="R77" s="77">
        <f>MAX(基础信息!$G82*基础信息!L82*基础信息!Q82*INDEX(G$32:G$34,基础信息!V82),R76)</f>
        <v>106666.66666666667</v>
      </c>
      <c r="S77" s="77">
        <f>MAX(基础信息!$G82*基础信息!M82*基础信息!R82*INDEX(H$32:H$34,基础信息!W82),S76)</f>
        <v>216666.66666666669</v>
      </c>
      <c r="T77" s="77">
        <f t="shared" si="9"/>
        <v>323333.33333333337</v>
      </c>
      <c r="U77" s="73">
        <f>基础信息!N82*INDEX(D$8:D$10,基础信息!S82)</f>
        <v>0</v>
      </c>
      <c r="V77" s="73">
        <f>基础信息!O82*INDEX(E$8:E$10,基础信息!T82)</f>
        <v>0</v>
      </c>
      <c r="W77" s="73">
        <f>基础信息!P82*INDEX(F$8:F$10,基础信息!U82)</f>
        <v>0</v>
      </c>
      <c r="X77" s="73">
        <f>基础信息!Q82*INDEX(G$8:G$10,基础信息!V82)</f>
        <v>0.4</v>
      </c>
      <c r="Y77" s="73">
        <f>基础信息!R82*INDEX(H$8:H$10,基础信息!W82)</f>
        <v>0.1</v>
      </c>
      <c r="Z77" s="59">
        <f>U77*门客升级!U77</f>
        <v>0</v>
      </c>
      <c r="AA77" s="59">
        <f>V77*门客升级!V77</f>
        <v>0</v>
      </c>
      <c r="AB77" s="59">
        <f>W77*门客升级!W77</f>
        <v>0</v>
      </c>
      <c r="AC77" s="59">
        <f>X77*门客升级!X77</f>
        <v>0</v>
      </c>
      <c r="AD77" s="59">
        <f>Y77*门客升级!Y77</f>
        <v>19.5</v>
      </c>
      <c r="AE77" s="109">
        <f>INDEX(门客实力!L$5:L$7,基础信息!S82)</f>
        <v>100</v>
      </c>
      <c r="AF77" s="109">
        <f>INDEX(门客实力!M$5:M$7,基础信息!T82)</f>
        <v>1000</v>
      </c>
      <c r="AG77" s="109">
        <f>INDEX(门客实力!N$5:N$7,基础信息!U82)</f>
        <v>2000</v>
      </c>
      <c r="AH77" s="109">
        <f>INDEX(门客实力!O$5:O$7,基础信息!V82)</f>
        <v>3000</v>
      </c>
      <c r="AI77" s="109">
        <f>INDEX(门客实力!P$5:P$7,基础信息!W82)</f>
        <v>7000</v>
      </c>
    </row>
    <row r="78" spans="11:35" x14ac:dyDescent="0.15">
      <c r="K78" s="66">
        <v>14</v>
      </c>
      <c r="L78" s="60">
        <f>基础信息!D83</f>
        <v>72</v>
      </c>
      <c r="M78" s="61">
        <f>基础信息!E83</f>
        <v>5923.2820251682469</v>
      </c>
      <c r="N78" s="61">
        <f>基础信息!F83</f>
        <v>135.89542876835631</v>
      </c>
      <c r="O78" s="77">
        <f>MAX(基础信息!$G83*基础信息!I83*基础信息!N83*INDEX(D$32:D$34,基础信息!S83),O77)</f>
        <v>0</v>
      </c>
      <c r="P78" s="77">
        <f>MAX(基础信息!$G83*基础信息!J83*基础信息!O83*INDEX(E$32:E$34,基础信息!T83),P77)</f>
        <v>0</v>
      </c>
      <c r="Q78" s="77">
        <f>MAX(基础信息!$G83*基础信息!K83*基础信息!P83*INDEX(F$32:F$34,基础信息!U83),Q77)</f>
        <v>0</v>
      </c>
      <c r="R78" s="77">
        <f>MAX(基础信息!$G83*基础信息!L83*基础信息!Q83*INDEX(G$32:G$34,基础信息!V83),R77)</f>
        <v>106666.66666666667</v>
      </c>
      <c r="S78" s="77">
        <f>MAX(基础信息!$G83*基础信息!M83*基础信息!R83*INDEX(H$32:H$34,基础信息!W83),S77)</f>
        <v>1400000</v>
      </c>
      <c r="T78" s="77">
        <f t="shared" si="9"/>
        <v>1506666.6666666667</v>
      </c>
      <c r="U78" s="73">
        <f>基础信息!N83*INDEX(D$8:D$10,基础信息!S83)</f>
        <v>0</v>
      </c>
      <c r="V78" s="73">
        <f>基础信息!O83*INDEX(E$8:E$10,基础信息!T83)</f>
        <v>0</v>
      </c>
      <c r="W78" s="73">
        <f>基础信息!P83*INDEX(F$8:F$10,基础信息!U83)</f>
        <v>0</v>
      </c>
      <c r="X78" s="73">
        <f>基础信息!Q83*INDEX(G$8:G$10,基础信息!V83)</f>
        <v>0.8</v>
      </c>
      <c r="Y78" s="73">
        <f>基础信息!R83*INDEX(H$8:H$10,基础信息!W83)</f>
        <v>0.4</v>
      </c>
      <c r="Z78" s="59">
        <f>U78*门客升级!U78</f>
        <v>0</v>
      </c>
      <c r="AA78" s="59">
        <f>V78*门客升级!V78</f>
        <v>0</v>
      </c>
      <c r="AB78" s="59">
        <f>W78*门客升级!W78</f>
        <v>0</v>
      </c>
      <c r="AC78" s="59">
        <f>X78*门客升级!X78</f>
        <v>0</v>
      </c>
      <c r="AD78" s="59">
        <f>Y78*门客升级!Y78</f>
        <v>84</v>
      </c>
      <c r="AE78" s="109">
        <f>INDEX(门客实力!L$5:L$7,基础信息!S83)</f>
        <v>100</v>
      </c>
      <c r="AF78" s="109">
        <f>INDEX(门客实力!M$5:M$7,基础信息!T83)</f>
        <v>1000</v>
      </c>
      <c r="AG78" s="109">
        <f>INDEX(门客实力!N$5:N$7,基础信息!U83)</f>
        <v>2000</v>
      </c>
      <c r="AH78" s="109">
        <f>INDEX(门客实力!O$5:O$7,基础信息!V83)</f>
        <v>5000</v>
      </c>
      <c r="AI78" s="109">
        <f>INDEX(门客实力!P$5:P$7,基础信息!W83)</f>
        <v>10000</v>
      </c>
    </row>
    <row r="79" spans="11:35" x14ac:dyDescent="0.15">
      <c r="K79" s="66">
        <v>15</v>
      </c>
      <c r="L79" s="60">
        <f>基础信息!D84</f>
        <v>77</v>
      </c>
      <c r="M79" s="61">
        <f>基础信息!E84</f>
        <v>12279.204402538555</v>
      </c>
      <c r="N79" s="61">
        <f>基础信息!F84</f>
        <v>146.55064673623977</v>
      </c>
      <c r="O79" s="77">
        <f>MAX(基础信息!$G84*基础信息!I84*基础信息!N84*INDEX(D$32:D$34,基础信息!S84),O78)</f>
        <v>0</v>
      </c>
      <c r="P79" s="77">
        <f>MAX(基础信息!$G84*基础信息!J84*基础信息!O84*INDEX(E$32:E$34,基础信息!T84),P78)</f>
        <v>0</v>
      </c>
      <c r="Q79" s="77">
        <f>MAX(基础信息!$G84*基础信息!K84*基础信息!P84*INDEX(F$32:F$34,基础信息!U84),Q78)</f>
        <v>0</v>
      </c>
      <c r="R79" s="77">
        <f>MAX(基础信息!$G84*基础信息!L84*基础信息!Q84*INDEX(G$32:G$34,基础信息!V84),R78)</f>
        <v>106666.66666666667</v>
      </c>
      <c r="S79" s="77">
        <f>MAX(基础信息!$G84*基础信息!M84*基础信息!R84*INDEX(H$32:H$34,基础信息!W84),S78)</f>
        <v>2250000</v>
      </c>
      <c r="T79" s="77">
        <f t="shared" si="9"/>
        <v>2356666.6666666665</v>
      </c>
      <c r="U79" s="73">
        <f>基础信息!N84*INDEX(D$8:D$10,基础信息!S84)</f>
        <v>0</v>
      </c>
      <c r="V79" s="73">
        <f>基础信息!O84*INDEX(E$8:E$10,基础信息!T84)</f>
        <v>0</v>
      </c>
      <c r="W79" s="73">
        <f>基础信息!P84*INDEX(F$8:F$10,基础信息!U84)</f>
        <v>0</v>
      </c>
      <c r="X79" s="73">
        <f>基础信息!Q84*INDEX(G$8:G$10,基础信息!V84)</f>
        <v>0.8</v>
      </c>
      <c r="Y79" s="73">
        <f>基础信息!R84*INDEX(H$8:H$10,基础信息!W84)</f>
        <v>0.60000000000000009</v>
      </c>
      <c r="Z79" s="59">
        <f>U79*门客升级!U79</f>
        <v>0</v>
      </c>
      <c r="AA79" s="59">
        <f>V79*门客升级!V79</f>
        <v>0</v>
      </c>
      <c r="AB79" s="59">
        <f>W79*门客升级!W79</f>
        <v>0</v>
      </c>
      <c r="AC79" s="59">
        <f>X79*门客升级!X79</f>
        <v>0</v>
      </c>
      <c r="AD79" s="59">
        <f>Y79*门客升级!Y79</f>
        <v>135.00000000000003</v>
      </c>
      <c r="AE79" s="109">
        <f>INDEX(门客实力!L$5:L$7,基础信息!S84)</f>
        <v>100</v>
      </c>
      <c r="AF79" s="109">
        <f>INDEX(门客实力!M$5:M$7,基础信息!T84)</f>
        <v>1000</v>
      </c>
      <c r="AG79" s="109">
        <f>INDEX(门客实力!N$5:N$7,基础信息!U84)</f>
        <v>2000</v>
      </c>
      <c r="AH79" s="109">
        <f>INDEX(门客实力!O$5:O$7,基础信息!V84)</f>
        <v>5000</v>
      </c>
      <c r="AI79" s="109">
        <f>INDEX(门客实力!P$5:P$7,基础信息!W84)</f>
        <v>10000</v>
      </c>
    </row>
    <row r="80" spans="11:35" x14ac:dyDescent="0.15">
      <c r="K80" s="66">
        <v>16</v>
      </c>
      <c r="L80" s="60">
        <f>基础信息!D85</f>
        <v>80</v>
      </c>
      <c r="M80" s="61">
        <f>基础信息!E85</f>
        <v>19005.150000000001</v>
      </c>
      <c r="N80" s="61">
        <f>基础信息!F85</f>
        <v>152.12605579164665</v>
      </c>
      <c r="O80" s="77">
        <f>MAX(基础信息!$G85*基础信息!I85*基础信息!N85*INDEX(D$32:D$34,基础信息!S85),O79)</f>
        <v>0</v>
      </c>
      <c r="P80" s="77">
        <f>MAX(基础信息!$G85*基础信息!J85*基础信息!O85*INDEX(E$32:E$34,基础信息!T85),P79)</f>
        <v>0</v>
      </c>
      <c r="Q80" s="77">
        <f>MAX(基础信息!$G85*基础信息!K85*基础信息!P85*INDEX(F$32:F$34,基础信息!U85),Q79)</f>
        <v>0</v>
      </c>
      <c r="R80" s="77">
        <f>MAX(基础信息!$G85*基础信息!L85*基础信息!Q85*INDEX(G$32:G$34,基础信息!V85),R79)</f>
        <v>106666.66666666667</v>
      </c>
      <c r="S80" s="77">
        <f>MAX(基础信息!$G85*基础信息!M85*基础信息!R85*INDEX(H$32:H$34,基础信息!W85),S79)</f>
        <v>3200000</v>
      </c>
      <c r="T80" s="77">
        <f t="shared" si="9"/>
        <v>3306666.6666666665</v>
      </c>
      <c r="U80" s="73">
        <f>基础信息!N85*INDEX(D$8:D$10,基础信息!S85)</f>
        <v>0</v>
      </c>
      <c r="V80" s="73">
        <f>基础信息!O85*INDEX(E$8:E$10,基础信息!T85)</f>
        <v>0</v>
      </c>
      <c r="W80" s="73">
        <f>基础信息!P85*INDEX(F$8:F$10,基础信息!U85)</f>
        <v>0</v>
      </c>
      <c r="X80" s="73">
        <f>基础信息!Q85*INDEX(G$8:G$10,基础信息!V85)</f>
        <v>0.8</v>
      </c>
      <c r="Y80" s="73">
        <f>基础信息!R85*INDEX(H$8:H$10,基础信息!W85)</f>
        <v>0.8</v>
      </c>
      <c r="Z80" s="59">
        <f>U80*门客升级!U80</f>
        <v>0</v>
      </c>
      <c r="AA80" s="59">
        <f>V80*门客升级!V80</f>
        <v>0</v>
      </c>
      <c r="AB80" s="59">
        <f>W80*门客升级!W80</f>
        <v>0</v>
      </c>
      <c r="AC80" s="59">
        <f>X80*门客升级!X80</f>
        <v>0</v>
      </c>
      <c r="AD80" s="59">
        <f>Y80*门客升级!Y80</f>
        <v>192</v>
      </c>
      <c r="AE80" s="109">
        <f>INDEX(门客实力!L$5:L$7,基础信息!S85)</f>
        <v>100</v>
      </c>
      <c r="AF80" s="109">
        <f>INDEX(门客实力!M$5:M$7,基础信息!T85)</f>
        <v>1000</v>
      </c>
      <c r="AG80" s="109">
        <f>INDEX(门客实力!N$5:N$7,基础信息!U85)</f>
        <v>2000</v>
      </c>
      <c r="AH80" s="109">
        <f>INDEX(门客实力!O$5:O$7,基础信息!V85)</f>
        <v>5000</v>
      </c>
      <c r="AI80" s="109">
        <f>INDEX(门客实力!P$5:P$7,基础信息!W85)</f>
        <v>10000</v>
      </c>
    </row>
    <row r="81" spans="11:35" x14ac:dyDescent="0.15">
      <c r="K81" s="66"/>
      <c r="L81" s="66"/>
      <c r="M81" s="65"/>
      <c r="N81" s="65"/>
    </row>
    <row r="82" spans="11:35" x14ac:dyDescent="0.15">
      <c r="K82" s="66"/>
      <c r="L82" s="66"/>
      <c r="M82" s="65"/>
      <c r="N82" s="65"/>
    </row>
    <row r="83" spans="11:35" x14ac:dyDescent="0.15">
      <c r="K83" s="66" t="s">
        <v>4</v>
      </c>
      <c r="L83" s="66"/>
      <c r="M83" s="65"/>
      <c r="N83" s="65"/>
      <c r="O83" s="126" t="s">
        <v>164</v>
      </c>
      <c r="P83" s="126"/>
      <c r="Q83" s="126"/>
      <c r="R83" s="126"/>
      <c r="S83" s="126"/>
      <c r="U83" s="126" t="s">
        <v>157</v>
      </c>
      <c r="V83" s="126"/>
      <c r="W83" s="126"/>
      <c r="X83" s="126"/>
      <c r="Y83" s="126"/>
      <c r="Z83" s="123" t="s">
        <v>159</v>
      </c>
      <c r="AA83" s="123"/>
      <c r="AB83" s="123"/>
      <c r="AC83" s="123"/>
      <c r="AD83" s="123"/>
      <c r="AE83" s="121" t="s">
        <v>302</v>
      </c>
      <c r="AF83" s="121"/>
      <c r="AG83" s="121"/>
      <c r="AH83" s="121"/>
      <c r="AI83" s="121"/>
    </row>
    <row r="84" spans="11:35" x14ac:dyDescent="0.15">
      <c r="K84" s="66" t="s">
        <v>21</v>
      </c>
      <c r="L84" s="66" t="s">
        <v>121</v>
      </c>
      <c r="M84" s="65" t="s">
        <v>122</v>
      </c>
      <c r="N84" s="65" t="s">
        <v>103</v>
      </c>
      <c r="O84" s="74" t="s">
        <v>104</v>
      </c>
      <c r="P84" s="74" t="s">
        <v>105</v>
      </c>
      <c r="Q84" s="74" t="s">
        <v>106</v>
      </c>
      <c r="R84" s="74" t="s">
        <v>107</v>
      </c>
      <c r="S84" s="74" t="s">
        <v>108</v>
      </c>
      <c r="T84" s="74" t="s">
        <v>171</v>
      </c>
      <c r="U84" s="73" t="s">
        <v>104</v>
      </c>
      <c r="V84" s="73" t="s">
        <v>105</v>
      </c>
      <c r="W84" s="73" t="s">
        <v>106</v>
      </c>
      <c r="X84" s="73" t="s">
        <v>107</v>
      </c>
      <c r="Y84" s="73" t="s">
        <v>108</v>
      </c>
      <c r="Z84" s="59" t="s">
        <v>104</v>
      </c>
      <c r="AA84" s="59" t="s">
        <v>105</v>
      </c>
      <c r="AB84" s="59" t="s">
        <v>106</v>
      </c>
      <c r="AC84" s="59" t="s">
        <v>107</v>
      </c>
      <c r="AD84" s="59" t="s">
        <v>108</v>
      </c>
      <c r="AE84" s="110" t="s">
        <v>104</v>
      </c>
      <c r="AF84" s="110" t="s">
        <v>105</v>
      </c>
      <c r="AG84" s="110" t="s">
        <v>106</v>
      </c>
      <c r="AH84" s="110" t="s">
        <v>107</v>
      </c>
      <c r="AI84" s="110" t="s">
        <v>108</v>
      </c>
    </row>
    <row r="85" spans="11:35" x14ac:dyDescent="0.15">
      <c r="K85" s="66">
        <v>1</v>
      </c>
      <c r="L85" s="60">
        <f>基础信息!D90</f>
        <v>16</v>
      </c>
      <c r="M85" s="61">
        <f>基础信息!E90</f>
        <v>0.50775438407852935</v>
      </c>
      <c r="N85" s="61">
        <f>基础信息!F90</f>
        <v>14.671687356650759</v>
      </c>
      <c r="O85" s="77">
        <f>MAX(基础信息!$G90*基础信息!I90*基础信息!N90*INDEX(D$32:D$34,基础信息!S90),O84)</f>
        <v>0</v>
      </c>
      <c r="P85" s="77">
        <f>MAX(基础信息!$G90*基础信息!J90*基础信息!O90*INDEX(E$32:E$34,基础信息!T90),P84)</f>
        <v>0</v>
      </c>
      <c r="Q85" s="77">
        <f>MAX(基础信息!$G90*基础信息!K90*基础信息!P90*INDEX(F$32:F$34,基础信息!U90),Q84)</f>
        <v>0</v>
      </c>
      <c r="R85" s="77">
        <f>MAX(基础信息!$G90*基础信息!L90*基础信息!Q90*INDEX(G$32:G$34,基础信息!V90),R84)</f>
        <v>0</v>
      </c>
      <c r="S85" s="77">
        <f>MAX(基础信息!$G90*基础信息!M90*基础信息!R90*INDEX(H$32:H$34,基础信息!W90),S84)</f>
        <v>0</v>
      </c>
      <c r="T85" s="77">
        <f>SUM(O85:S85)</f>
        <v>0</v>
      </c>
      <c r="U85" s="73">
        <f>基础信息!N90*INDEX(D$8:D$10,基础信息!S90)</f>
        <v>0</v>
      </c>
      <c r="V85" s="73">
        <f>基础信息!O90*INDEX(E$8:E$10,基础信息!T90)</f>
        <v>0</v>
      </c>
      <c r="W85" s="73">
        <f>基础信息!P90*INDEX(F$8:F$10,基础信息!U90)</f>
        <v>0</v>
      </c>
      <c r="X85" s="73">
        <f>基础信息!Q90*INDEX(G$8:G$10,基础信息!V90)</f>
        <v>0</v>
      </c>
      <c r="Y85" s="73">
        <f>基础信息!R90*INDEX(H$8:H$10,基础信息!W90)</f>
        <v>0</v>
      </c>
      <c r="Z85" s="59">
        <f>U85*门客升级!U85</f>
        <v>0</v>
      </c>
      <c r="AA85" s="59">
        <f>V85*门客升级!V85</f>
        <v>0</v>
      </c>
      <c r="AB85" s="59">
        <f>W85*门客升级!W85</f>
        <v>0</v>
      </c>
      <c r="AC85" s="59">
        <f>X85*门客升级!X85</f>
        <v>0</v>
      </c>
      <c r="AD85" s="59">
        <f>Y85*门客升级!Y85</f>
        <v>0</v>
      </c>
      <c r="AE85" s="109">
        <f>INDEX(门客实力!L$5:L$7,基础信息!S90)</f>
        <v>100</v>
      </c>
      <c r="AF85" s="109">
        <f>INDEX(门客实力!M$5:M$7,基础信息!T90)</f>
        <v>500</v>
      </c>
      <c r="AG85" s="109">
        <f>INDEX(门客实力!N$5:N$7,基础信息!U90)</f>
        <v>1000</v>
      </c>
      <c r="AH85" s="109">
        <f>INDEX(门客实力!O$5:O$7,基础信息!V90)</f>
        <v>2000</v>
      </c>
      <c r="AI85" s="109">
        <f>INDEX(门客实力!P$5:P$7,基础信息!W90)</f>
        <v>5000</v>
      </c>
    </row>
    <row r="86" spans="11:35" x14ac:dyDescent="0.15">
      <c r="K86" s="66">
        <v>2</v>
      </c>
      <c r="L86" s="60">
        <f>基础信息!D91</f>
        <v>19.5</v>
      </c>
      <c r="M86" s="61">
        <f>基础信息!E91</f>
        <v>0.96457950643309154</v>
      </c>
      <c r="N86" s="61">
        <f>基础信息!F91</f>
        <v>20.922787117743994</v>
      </c>
      <c r="O86" s="77">
        <f>MAX(基础信息!$G91*基础信息!I91*基础信息!N91*INDEX(D$32:D$34,基础信息!S91),O85)</f>
        <v>0</v>
      </c>
      <c r="P86" s="77">
        <f>MAX(基础信息!$G91*基础信息!J91*基础信息!O91*INDEX(E$32:E$34,基础信息!T91),P85)</f>
        <v>0</v>
      </c>
      <c r="Q86" s="77">
        <f>MAX(基础信息!$G91*基础信息!K91*基础信息!P91*INDEX(F$32:F$34,基础信息!U91),Q85)</f>
        <v>0</v>
      </c>
      <c r="R86" s="77">
        <f>MAX(基础信息!$G91*基础信息!L91*基础信息!Q91*INDEX(G$32:G$34,基础信息!V91),R85)</f>
        <v>0</v>
      </c>
      <c r="S86" s="77">
        <f>MAX(基础信息!$G91*基础信息!M91*基础信息!R91*INDEX(H$32:H$34,基础信息!W91),S85)</f>
        <v>0</v>
      </c>
      <c r="T86" s="77">
        <f t="shared" ref="T86:T100" si="10">SUM(O86:S86)</f>
        <v>0</v>
      </c>
      <c r="U86" s="73">
        <f>基础信息!N91*INDEX(D$8:D$10,基础信息!S91)</f>
        <v>0</v>
      </c>
      <c r="V86" s="73">
        <f>基础信息!O91*INDEX(E$8:E$10,基础信息!T91)</f>
        <v>0</v>
      </c>
      <c r="W86" s="73">
        <f>基础信息!P91*INDEX(F$8:F$10,基础信息!U91)</f>
        <v>0</v>
      </c>
      <c r="X86" s="73">
        <f>基础信息!Q91*INDEX(G$8:G$10,基础信息!V91)</f>
        <v>0</v>
      </c>
      <c r="Y86" s="73">
        <f>基础信息!R91*INDEX(H$8:H$10,基础信息!W91)</f>
        <v>0</v>
      </c>
      <c r="Z86" s="59">
        <f>U86*门客升级!U86</f>
        <v>0</v>
      </c>
      <c r="AA86" s="59">
        <f>V86*门客升级!V86</f>
        <v>0</v>
      </c>
      <c r="AB86" s="59">
        <f>W86*门客升级!W86</f>
        <v>0</v>
      </c>
      <c r="AC86" s="59">
        <f>X86*门客升级!X86</f>
        <v>0</v>
      </c>
      <c r="AD86" s="59">
        <f>Y86*门客升级!Y86</f>
        <v>0</v>
      </c>
      <c r="AE86" s="109">
        <f>INDEX(门客实力!L$5:L$7,基础信息!S91)</f>
        <v>100</v>
      </c>
      <c r="AF86" s="109">
        <f>INDEX(门客实力!M$5:M$7,基础信息!T91)</f>
        <v>500</v>
      </c>
      <c r="AG86" s="109">
        <f>INDEX(门客实力!N$5:N$7,基础信息!U91)</f>
        <v>1000</v>
      </c>
      <c r="AH86" s="109">
        <f>INDEX(门客实力!O$5:O$7,基础信息!V91)</f>
        <v>2000</v>
      </c>
      <c r="AI86" s="109">
        <f>INDEX(门客实力!P$5:P$7,基础信息!W91)</f>
        <v>5000</v>
      </c>
    </row>
    <row r="87" spans="11:35" x14ac:dyDescent="0.15">
      <c r="K87" s="66">
        <v>3</v>
      </c>
      <c r="L87" s="60">
        <f>基础信息!D92</f>
        <v>23.5</v>
      </c>
      <c r="M87" s="61">
        <f>基础信息!E92</f>
        <v>1.9310027754318846</v>
      </c>
      <c r="N87" s="61">
        <f>基础信息!F92</f>
        <v>28.96506192552858</v>
      </c>
      <c r="O87" s="77">
        <f>MAX(基础信息!$G92*基础信息!I92*基础信息!N92*INDEX(D$32:D$34,基础信息!S92),O86)</f>
        <v>0</v>
      </c>
      <c r="P87" s="77">
        <f>MAX(基础信息!$G92*基础信息!J92*基础信息!O92*INDEX(E$32:E$34,基础信息!T92),P86)</f>
        <v>0</v>
      </c>
      <c r="Q87" s="77">
        <f>MAX(基础信息!$G92*基础信息!K92*基础信息!P92*INDEX(F$32:F$34,基础信息!U92),Q86)</f>
        <v>0</v>
      </c>
      <c r="R87" s="77">
        <f>MAX(基础信息!$G92*基础信息!L92*基础信息!Q92*INDEX(G$32:G$34,基础信息!V92),R86)</f>
        <v>0</v>
      </c>
      <c r="S87" s="77">
        <f>MAX(基础信息!$G92*基础信息!M92*基础信息!R92*INDEX(H$32:H$34,基础信息!W92),S86)</f>
        <v>0</v>
      </c>
      <c r="T87" s="77">
        <f t="shared" si="10"/>
        <v>0</v>
      </c>
      <c r="U87" s="73">
        <f>基础信息!N92*INDEX(D$8:D$10,基础信息!S92)</f>
        <v>0</v>
      </c>
      <c r="V87" s="73">
        <f>基础信息!O92*INDEX(E$8:E$10,基础信息!T92)</f>
        <v>0</v>
      </c>
      <c r="W87" s="73">
        <f>基础信息!P92*INDEX(F$8:F$10,基础信息!U92)</f>
        <v>0</v>
      </c>
      <c r="X87" s="73">
        <f>基础信息!Q92*INDEX(G$8:G$10,基础信息!V92)</f>
        <v>0</v>
      </c>
      <c r="Y87" s="73">
        <f>基础信息!R92*INDEX(H$8:H$10,基础信息!W92)</f>
        <v>0</v>
      </c>
      <c r="Z87" s="59">
        <f>U87*门客升级!U87</f>
        <v>0</v>
      </c>
      <c r="AA87" s="59">
        <f>V87*门客升级!V87</f>
        <v>0</v>
      </c>
      <c r="AB87" s="59">
        <f>W87*门客升级!W87</f>
        <v>0</v>
      </c>
      <c r="AC87" s="59">
        <f>X87*门客升级!X87</f>
        <v>0</v>
      </c>
      <c r="AD87" s="59">
        <f>Y87*门客升级!Y87</f>
        <v>0</v>
      </c>
      <c r="AE87" s="109">
        <f>INDEX(门客实力!L$5:L$7,基础信息!S92)</f>
        <v>100</v>
      </c>
      <c r="AF87" s="109">
        <f>INDEX(门客实力!M$5:M$7,基础信息!T92)</f>
        <v>500</v>
      </c>
      <c r="AG87" s="109">
        <f>INDEX(门客实力!N$5:N$7,基础信息!U92)</f>
        <v>1000</v>
      </c>
      <c r="AH87" s="109">
        <f>INDEX(门客实力!O$5:O$7,基础信息!V92)</f>
        <v>2000</v>
      </c>
      <c r="AI87" s="109">
        <f>INDEX(门客实力!P$5:P$7,基础信息!W92)</f>
        <v>5000</v>
      </c>
    </row>
    <row r="88" spans="11:35" x14ac:dyDescent="0.15">
      <c r="K88" s="66">
        <v>4</v>
      </c>
      <c r="L88" s="60">
        <f>基础信息!D93</f>
        <v>27.5</v>
      </c>
      <c r="M88" s="61">
        <f>基础信息!E93</f>
        <v>3.7740446275970769</v>
      </c>
      <c r="N88" s="61">
        <f>基础信息!F93</f>
        <v>37.642488096871389</v>
      </c>
      <c r="O88" s="77">
        <f>MAX(基础信息!$G93*基础信息!I93*基础信息!N93*INDEX(D$32:D$34,基础信息!S93),O87)</f>
        <v>0</v>
      </c>
      <c r="P88" s="77">
        <f>MAX(基础信息!$G93*基础信息!J93*基础信息!O93*INDEX(E$32:E$34,基础信息!T93),P87)</f>
        <v>0</v>
      </c>
      <c r="Q88" s="77">
        <f>MAX(基础信息!$G93*基础信息!K93*基础信息!P93*INDEX(F$32:F$34,基础信息!U93),Q87)</f>
        <v>0</v>
      </c>
      <c r="R88" s="77">
        <f>MAX(基础信息!$G93*基础信息!L93*基础信息!Q93*INDEX(G$32:G$34,基础信息!V93),R87)</f>
        <v>0</v>
      </c>
      <c r="S88" s="77">
        <f>MAX(基础信息!$G93*基础信息!M93*基础信息!R93*INDEX(H$32:H$34,基础信息!W93),S87)</f>
        <v>0</v>
      </c>
      <c r="T88" s="77">
        <f t="shared" si="10"/>
        <v>0</v>
      </c>
      <c r="U88" s="73">
        <f>基础信息!N93*INDEX(D$8:D$10,基础信息!S93)</f>
        <v>0</v>
      </c>
      <c r="V88" s="73">
        <f>基础信息!O93*INDEX(E$8:E$10,基础信息!T93)</f>
        <v>0</v>
      </c>
      <c r="W88" s="73">
        <f>基础信息!P93*INDEX(F$8:F$10,基础信息!U93)</f>
        <v>0</v>
      </c>
      <c r="X88" s="73">
        <f>基础信息!Q93*INDEX(G$8:G$10,基础信息!V93)</f>
        <v>0</v>
      </c>
      <c r="Y88" s="73">
        <f>基础信息!R93*INDEX(H$8:H$10,基础信息!W93)</f>
        <v>0</v>
      </c>
      <c r="Z88" s="59">
        <f>U88*门客升级!U88</f>
        <v>0</v>
      </c>
      <c r="AA88" s="59">
        <f>V88*门客升级!V88</f>
        <v>0</v>
      </c>
      <c r="AB88" s="59">
        <f>W88*门客升级!W88</f>
        <v>0</v>
      </c>
      <c r="AC88" s="59">
        <f>X88*门客升级!X88</f>
        <v>0</v>
      </c>
      <c r="AD88" s="59">
        <f>Y88*门客升级!Y88</f>
        <v>0</v>
      </c>
      <c r="AE88" s="109">
        <f>INDEX(门客实力!L$5:L$7,基础信息!S93)</f>
        <v>100</v>
      </c>
      <c r="AF88" s="109">
        <f>INDEX(门客实力!M$5:M$7,基础信息!T93)</f>
        <v>700</v>
      </c>
      <c r="AG88" s="109">
        <f>INDEX(门客实力!N$5:N$7,基础信息!U93)</f>
        <v>1000</v>
      </c>
      <c r="AH88" s="109">
        <f>INDEX(门客实力!O$5:O$7,基础信息!V93)</f>
        <v>2000</v>
      </c>
      <c r="AI88" s="109">
        <f>INDEX(门客实力!P$5:P$7,基础信息!W93)</f>
        <v>5000</v>
      </c>
    </row>
    <row r="89" spans="11:35" x14ac:dyDescent="0.15">
      <c r="K89" s="66">
        <v>5</v>
      </c>
      <c r="L89" s="60">
        <f>基础信息!D94</f>
        <v>31.5</v>
      </c>
      <c r="M89" s="61">
        <f>基础信息!E94</f>
        <v>7.2578477527161347</v>
      </c>
      <c r="N89" s="61">
        <f>基础信息!F94</f>
        <v>46.621425173369133</v>
      </c>
      <c r="O89" s="77">
        <f>MAX(基础信息!$G94*基础信息!I94*基础信息!N94*INDEX(D$32:D$34,基础信息!S94),O88)</f>
        <v>0</v>
      </c>
      <c r="P89" s="77">
        <f>MAX(基础信息!$G94*基础信息!J94*基础信息!O94*INDEX(E$32:E$34,基础信息!T94),P88)</f>
        <v>0</v>
      </c>
      <c r="Q89" s="77">
        <f>MAX(基础信息!$G94*基础信息!K94*基础信息!P94*INDEX(F$32:F$34,基础信息!U94),Q88)</f>
        <v>0</v>
      </c>
      <c r="R89" s="77">
        <f>MAX(基础信息!$G94*基础信息!L94*基础信息!Q94*INDEX(G$32:G$34,基础信息!V94),R88)</f>
        <v>0</v>
      </c>
      <c r="S89" s="77">
        <f>MAX(基础信息!$G94*基础信息!M94*基础信息!R94*INDEX(H$32:H$34,基础信息!W94),S88)</f>
        <v>0</v>
      </c>
      <c r="T89" s="77">
        <f t="shared" si="10"/>
        <v>0</v>
      </c>
      <c r="U89" s="73">
        <f>基础信息!N94*INDEX(D$8:D$10,基础信息!S94)</f>
        <v>0</v>
      </c>
      <c r="V89" s="73">
        <f>基础信息!O94*INDEX(E$8:E$10,基础信息!T94)</f>
        <v>0</v>
      </c>
      <c r="W89" s="73">
        <f>基础信息!P94*INDEX(F$8:F$10,基础信息!U94)</f>
        <v>0</v>
      </c>
      <c r="X89" s="73">
        <f>基础信息!Q94*INDEX(G$8:G$10,基础信息!V94)</f>
        <v>0.05</v>
      </c>
      <c r="Y89" s="73">
        <f>基础信息!R94*INDEX(H$8:H$10,基础信息!W94)</f>
        <v>0</v>
      </c>
      <c r="Z89" s="59">
        <f>U89*门客升级!U89</f>
        <v>0</v>
      </c>
      <c r="AA89" s="59">
        <f>V89*门客升级!V89</f>
        <v>0</v>
      </c>
      <c r="AB89" s="59">
        <f>W89*门客升级!W89</f>
        <v>0</v>
      </c>
      <c r="AC89" s="59">
        <f>X89*门客升级!X89</f>
        <v>2.25</v>
      </c>
      <c r="AD89" s="59">
        <f>Y89*门客升级!Y89</f>
        <v>0</v>
      </c>
      <c r="AE89" s="109">
        <f>INDEX(门客实力!L$5:L$7,基础信息!S94)</f>
        <v>100</v>
      </c>
      <c r="AF89" s="109">
        <f>INDEX(门客实力!M$5:M$7,基础信息!T94)</f>
        <v>1000</v>
      </c>
      <c r="AG89" s="109">
        <f>INDEX(门客实力!N$5:N$7,基础信息!U94)</f>
        <v>1000</v>
      </c>
      <c r="AH89" s="109">
        <f>INDEX(门客实力!O$5:O$7,基础信息!V94)</f>
        <v>2000</v>
      </c>
      <c r="AI89" s="109">
        <f>INDEX(门客实力!P$5:P$7,基础信息!W94)</f>
        <v>5000</v>
      </c>
    </row>
    <row r="90" spans="11:35" x14ac:dyDescent="0.15">
      <c r="K90" s="66">
        <v>6</v>
      </c>
      <c r="L90" s="60">
        <f>基础信息!D95</f>
        <v>35.5</v>
      </c>
      <c r="M90" s="61">
        <f>基础信息!E95</f>
        <v>13.724686166700833</v>
      </c>
      <c r="N90" s="61">
        <f>基础信息!F95</f>
        <v>55.873561913262044</v>
      </c>
      <c r="O90" s="77">
        <f>MAX(基础信息!$G95*基础信息!I95*基础信息!N95*INDEX(D$32:D$34,基础信息!S95),O89)</f>
        <v>0</v>
      </c>
      <c r="P90" s="77">
        <f>MAX(基础信息!$G95*基础信息!J95*基础信息!O95*INDEX(E$32:E$34,基础信息!T95),P89)</f>
        <v>0</v>
      </c>
      <c r="Q90" s="77">
        <f>MAX(基础信息!$G95*基础信息!K95*基础信息!P95*INDEX(F$32:F$34,基础信息!U95),Q89)</f>
        <v>0</v>
      </c>
      <c r="R90" s="77">
        <f>MAX(基础信息!$G95*基础信息!L95*基础信息!Q95*INDEX(G$32:G$34,基础信息!V95),R89)</f>
        <v>0</v>
      </c>
      <c r="S90" s="77">
        <f>MAX(基础信息!$G95*基础信息!M95*基础信息!R95*INDEX(H$32:H$34,基础信息!W95),S89)</f>
        <v>0</v>
      </c>
      <c r="T90" s="77">
        <f t="shared" si="10"/>
        <v>0</v>
      </c>
      <c r="U90" s="73">
        <f>基础信息!N95*INDEX(D$8:D$10,基础信息!S95)</f>
        <v>0</v>
      </c>
      <c r="V90" s="73">
        <f>基础信息!O95*INDEX(E$8:E$10,基础信息!T95)</f>
        <v>0</v>
      </c>
      <c r="W90" s="73">
        <f>基础信息!P95*INDEX(F$8:F$10,基础信息!U95)</f>
        <v>0</v>
      </c>
      <c r="X90" s="73">
        <f>基础信息!Q95*INDEX(G$8:G$10,基础信息!V95)</f>
        <v>0.1</v>
      </c>
      <c r="Y90" s="73">
        <f>基础信息!R95*INDEX(H$8:H$10,基础信息!W95)</f>
        <v>0</v>
      </c>
      <c r="Z90" s="59">
        <f>U90*门客升级!U90</f>
        <v>0</v>
      </c>
      <c r="AA90" s="59">
        <f>V90*门客升级!V90</f>
        <v>0</v>
      </c>
      <c r="AB90" s="59">
        <f>W90*门客升级!W90</f>
        <v>0</v>
      </c>
      <c r="AC90" s="59">
        <f>X90*门客升级!X90</f>
        <v>5.76</v>
      </c>
      <c r="AD90" s="59">
        <f>Y90*门客升级!Y90</f>
        <v>0</v>
      </c>
      <c r="AE90" s="109">
        <f>INDEX(门客实力!L$5:L$7,基础信息!S95)</f>
        <v>100</v>
      </c>
      <c r="AF90" s="109">
        <f>INDEX(门客实力!M$5:M$7,基础信息!T95)</f>
        <v>1000</v>
      </c>
      <c r="AG90" s="109">
        <f>INDEX(门客实力!N$5:N$7,基础信息!U95)</f>
        <v>1000</v>
      </c>
      <c r="AH90" s="109">
        <f>INDEX(门客实力!O$5:O$7,基础信息!V95)</f>
        <v>2000</v>
      </c>
      <c r="AI90" s="109">
        <f>INDEX(门客实力!P$5:P$7,基础信息!W95)</f>
        <v>5000</v>
      </c>
    </row>
    <row r="91" spans="11:35" x14ac:dyDescent="0.15">
      <c r="K91" s="66">
        <v>7</v>
      </c>
      <c r="L91" s="60">
        <f>基础信息!D96</f>
        <v>39.5</v>
      </c>
      <c r="M91" s="61">
        <f>基础信息!E96</f>
        <v>24.924269098598003</v>
      </c>
      <c r="N91" s="61">
        <f>基础信息!F96</f>
        <v>64.352574598751431</v>
      </c>
      <c r="O91" s="77">
        <f>MAX(基础信息!$G96*基础信息!I96*基础信息!N96*INDEX(D$32:D$34,基础信息!S96),O90)</f>
        <v>0</v>
      </c>
      <c r="P91" s="77">
        <f>MAX(基础信息!$G96*基础信息!J96*基础信息!O96*INDEX(E$32:E$34,基础信息!T96),P90)</f>
        <v>0</v>
      </c>
      <c r="Q91" s="77">
        <f>MAX(基础信息!$G96*基础信息!K96*基础信息!P96*INDEX(F$32:F$34,基础信息!U96),Q90)</f>
        <v>0</v>
      </c>
      <c r="R91" s="77">
        <f>MAX(基础信息!$G96*基础信息!L96*基础信息!Q96*INDEX(G$32:G$34,基础信息!V96),R90)</f>
        <v>0</v>
      </c>
      <c r="S91" s="77">
        <f>MAX(基础信息!$G96*基础信息!M96*基础信息!R96*INDEX(H$32:H$34,基础信息!W96),S90)</f>
        <v>0</v>
      </c>
      <c r="T91" s="77">
        <f t="shared" si="10"/>
        <v>0</v>
      </c>
      <c r="U91" s="73">
        <f>基础信息!N96*INDEX(D$8:D$10,基础信息!S96)</f>
        <v>0</v>
      </c>
      <c r="V91" s="73">
        <f>基础信息!O96*INDEX(E$8:E$10,基础信息!T96)</f>
        <v>0</v>
      </c>
      <c r="W91" s="73">
        <f>基础信息!P96*INDEX(F$8:F$10,基础信息!U96)</f>
        <v>0</v>
      </c>
      <c r="X91" s="73">
        <f>基础信息!Q96*INDEX(G$8:G$10,基础信息!V96)</f>
        <v>0.15000000000000002</v>
      </c>
      <c r="Y91" s="73">
        <f>基础信息!R96*INDEX(H$8:H$10,基础信息!W96)</f>
        <v>0</v>
      </c>
      <c r="Z91" s="59">
        <f>U91*门客升级!U91</f>
        <v>0</v>
      </c>
      <c r="AA91" s="59">
        <f>V91*门客升级!V91</f>
        <v>0</v>
      </c>
      <c r="AB91" s="59">
        <f>W91*门客升级!W91</f>
        <v>0</v>
      </c>
      <c r="AC91" s="59">
        <f>X91*门客升级!X91</f>
        <v>10.71</v>
      </c>
      <c r="AD91" s="59">
        <f>Y91*门客升级!Y91</f>
        <v>0</v>
      </c>
      <c r="AE91" s="109">
        <f>INDEX(门客实力!L$5:L$7,基础信息!S96)</f>
        <v>100</v>
      </c>
      <c r="AF91" s="109">
        <f>INDEX(门客实力!M$5:M$7,基础信息!T96)</f>
        <v>1000</v>
      </c>
      <c r="AG91" s="109">
        <f>INDEX(门客实力!N$5:N$7,基础信息!U96)</f>
        <v>1500</v>
      </c>
      <c r="AH91" s="109">
        <f>INDEX(门客实力!O$5:O$7,基础信息!V96)</f>
        <v>2000</v>
      </c>
      <c r="AI91" s="109">
        <f>INDEX(门客实力!P$5:P$7,基础信息!W96)</f>
        <v>5000</v>
      </c>
    </row>
    <row r="92" spans="11:35" x14ac:dyDescent="0.15">
      <c r="K92" s="66">
        <v>8</v>
      </c>
      <c r="L92" s="60">
        <f>基础信息!D97</f>
        <v>43.5</v>
      </c>
      <c r="M92" s="61">
        <f>基础信息!E97</f>
        <v>45.136608733654796</v>
      </c>
      <c r="N92" s="61">
        <f>基础信息!F97</f>
        <v>73.078652735991781</v>
      </c>
      <c r="O92" s="77">
        <f>MAX(基础信息!$G97*基础信息!I97*基础信息!N97*INDEX(D$32:D$34,基础信息!S97),O91)</f>
        <v>0</v>
      </c>
      <c r="P92" s="77">
        <f>MAX(基础信息!$G97*基础信息!J97*基础信息!O97*INDEX(E$32:E$34,基础信息!T97),P91)</f>
        <v>0</v>
      </c>
      <c r="Q92" s="77">
        <f>MAX(基础信息!$G97*基础信息!K97*基础信息!P97*INDEX(F$32:F$34,基础信息!U97),Q91)</f>
        <v>0</v>
      </c>
      <c r="R92" s="77">
        <f>MAX(基础信息!$G97*基础信息!L97*基础信息!Q97*INDEX(G$32:G$34,基础信息!V97),R91)</f>
        <v>0</v>
      </c>
      <c r="S92" s="77">
        <f>MAX(基础信息!$G97*基础信息!M97*基础信息!R97*INDEX(H$32:H$34,基础信息!W97),S91)</f>
        <v>0</v>
      </c>
      <c r="T92" s="77">
        <f t="shared" si="10"/>
        <v>0</v>
      </c>
      <c r="U92" s="73">
        <f>基础信息!N97*INDEX(D$8:D$10,基础信息!S97)</f>
        <v>0</v>
      </c>
      <c r="V92" s="73">
        <f>基础信息!O97*INDEX(E$8:E$10,基础信息!T97)</f>
        <v>0</v>
      </c>
      <c r="W92" s="73">
        <f>基础信息!P97*INDEX(F$8:F$10,基础信息!U97)</f>
        <v>0</v>
      </c>
      <c r="X92" s="73">
        <f>基础信息!Q97*INDEX(G$8:G$10,基础信息!V97)</f>
        <v>0.2</v>
      </c>
      <c r="Y92" s="73">
        <f>基础信息!R97*INDEX(H$8:H$10,基础信息!W97)</f>
        <v>0</v>
      </c>
      <c r="Z92" s="59">
        <f>U92*门客升级!U92</f>
        <v>0</v>
      </c>
      <c r="AA92" s="59">
        <f>V92*门客升级!V92</f>
        <v>0</v>
      </c>
      <c r="AB92" s="59">
        <f>W92*门客升级!W92</f>
        <v>0</v>
      </c>
      <c r="AC92" s="59">
        <f>X92*门客升级!X92</f>
        <v>12.960000000000003</v>
      </c>
      <c r="AD92" s="59">
        <f>Y92*门客升级!Y92</f>
        <v>0</v>
      </c>
      <c r="AE92" s="109">
        <f>INDEX(门客实力!L$5:L$7,基础信息!S97)</f>
        <v>100</v>
      </c>
      <c r="AF92" s="109">
        <f>INDEX(门客实力!M$5:M$7,基础信息!T97)</f>
        <v>1000</v>
      </c>
      <c r="AG92" s="109">
        <f>INDEX(门客实力!N$5:N$7,基础信息!U97)</f>
        <v>1500</v>
      </c>
      <c r="AH92" s="109">
        <f>INDEX(门客实力!O$5:O$7,基础信息!V97)</f>
        <v>2000</v>
      </c>
      <c r="AI92" s="109">
        <f>INDEX(门客实力!P$5:P$7,基础信息!W97)</f>
        <v>5000</v>
      </c>
    </row>
    <row r="93" spans="11:35" x14ac:dyDescent="0.15">
      <c r="K93" s="66">
        <v>9</v>
      </c>
      <c r="L93" s="60">
        <f>基础信息!D98</f>
        <v>47.5</v>
      </c>
      <c r="M93" s="61">
        <f>基础信息!E98</f>
        <v>81.567079653693213</v>
      </c>
      <c r="N93" s="61">
        <f>基础信息!F98</f>
        <v>81.690385070357735</v>
      </c>
      <c r="O93" s="77">
        <f>MAX(基础信息!$G98*基础信息!I98*基础信息!N98*INDEX(D$32:D$34,基础信息!S98),O92)</f>
        <v>0</v>
      </c>
      <c r="P93" s="77">
        <f>MAX(基础信息!$G98*基础信息!J98*基础信息!O98*INDEX(E$32:E$34,基础信息!T98),P92)</f>
        <v>0</v>
      </c>
      <c r="Q93" s="77">
        <f>MAX(基础信息!$G98*基础信息!K98*基础信息!P98*INDEX(F$32:F$34,基础信息!U98),Q92)</f>
        <v>0</v>
      </c>
      <c r="R93" s="77">
        <f>MAX(基础信息!$G98*基础信息!L98*基础信息!Q98*INDEX(G$32:G$34,基础信息!V98),R92)</f>
        <v>0</v>
      </c>
      <c r="S93" s="77">
        <f>MAX(基础信息!$G98*基础信息!M98*基础信息!R98*INDEX(H$32:H$34,基础信息!W98),S92)</f>
        <v>0</v>
      </c>
      <c r="T93" s="77">
        <f t="shared" si="10"/>
        <v>0</v>
      </c>
      <c r="U93" s="73">
        <f>基础信息!N98*INDEX(D$8:D$10,基础信息!S98)</f>
        <v>0</v>
      </c>
      <c r="V93" s="73">
        <f>基础信息!O98*INDEX(E$8:E$10,基础信息!T98)</f>
        <v>0</v>
      </c>
      <c r="W93" s="73">
        <f>基础信息!P98*INDEX(F$8:F$10,基础信息!U98)</f>
        <v>0</v>
      </c>
      <c r="X93" s="73">
        <f>基础信息!Q98*INDEX(G$8:G$10,基础信息!V98)</f>
        <v>0.2</v>
      </c>
      <c r="Y93" s="73">
        <f>基础信息!R98*INDEX(H$8:H$10,基础信息!W98)</f>
        <v>0</v>
      </c>
      <c r="Z93" s="59">
        <f>U93*门客升级!U93</f>
        <v>0</v>
      </c>
      <c r="AA93" s="59">
        <f>V93*门客升级!V93</f>
        <v>0</v>
      </c>
      <c r="AB93" s="59">
        <f>W93*门客升级!W93</f>
        <v>0</v>
      </c>
      <c r="AC93" s="59">
        <f>X93*门客升级!X93</f>
        <v>10.260000000000002</v>
      </c>
      <c r="AD93" s="59">
        <f>Y93*门客升级!Y93</f>
        <v>0</v>
      </c>
      <c r="AE93" s="109">
        <f>INDEX(门客实力!L$5:L$7,基础信息!S98)</f>
        <v>100</v>
      </c>
      <c r="AF93" s="109">
        <f>INDEX(门客实力!M$5:M$7,基础信息!T98)</f>
        <v>1000</v>
      </c>
      <c r="AG93" s="109">
        <f>INDEX(门客实力!N$5:N$7,基础信息!U98)</f>
        <v>2000</v>
      </c>
      <c r="AH93" s="109">
        <f>INDEX(门客实力!O$5:O$7,基础信息!V98)</f>
        <v>2000</v>
      </c>
      <c r="AI93" s="109">
        <f>INDEX(门客实力!P$5:P$7,基础信息!W98)</f>
        <v>5000</v>
      </c>
    </row>
    <row r="94" spans="11:35" x14ac:dyDescent="0.15">
      <c r="K94" s="66">
        <v>10</v>
      </c>
      <c r="L94" s="60">
        <f>基础信息!D99</f>
        <v>52</v>
      </c>
      <c r="M94" s="61">
        <f>基础信息!E99</f>
        <v>157.97060377387891</v>
      </c>
      <c r="N94" s="61">
        <f>基础信息!F99</f>
        <v>92.03038330510195</v>
      </c>
      <c r="O94" s="77">
        <f>MAX(基础信息!$G99*基础信息!I99*基础信息!N99*INDEX(D$32:D$34,基础信息!S99),O93)</f>
        <v>0</v>
      </c>
      <c r="P94" s="77">
        <f>MAX(基础信息!$G99*基础信息!J99*基础信息!O99*INDEX(E$32:E$34,基础信息!T99),P93)</f>
        <v>0</v>
      </c>
      <c r="Q94" s="77">
        <f>MAX(基础信息!$G99*基础信息!K99*基础信息!P99*INDEX(F$32:F$34,基础信息!U99),Q93)</f>
        <v>0</v>
      </c>
      <c r="R94" s="77">
        <f>MAX(基础信息!$G99*基础信息!L99*基础信息!Q99*INDEX(G$32:G$34,基础信息!V99),R93)</f>
        <v>66666.666666666672</v>
      </c>
      <c r="S94" s="77">
        <f>MAX(基础信息!$G99*基础信息!M99*基础信息!R99*INDEX(H$32:H$34,基础信息!W99),S93)</f>
        <v>0</v>
      </c>
      <c r="T94" s="77">
        <f t="shared" si="10"/>
        <v>66666.666666666672</v>
      </c>
      <c r="U94" s="73">
        <f>基础信息!N99*INDEX(D$8:D$10,基础信息!S99)</f>
        <v>0</v>
      </c>
      <c r="V94" s="73">
        <f>基础信息!O99*INDEX(E$8:E$10,基础信息!T99)</f>
        <v>0</v>
      </c>
      <c r="W94" s="73">
        <f>基础信息!P99*INDEX(F$8:F$10,基础信息!U99)</f>
        <v>0</v>
      </c>
      <c r="X94" s="73">
        <f>基础信息!Q99*INDEX(G$8:G$10,基础信息!V99)</f>
        <v>0.4</v>
      </c>
      <c r="Y94" s="73">
        <f>基础信息!R99*INDEX(H$8:H$10,基础信息!W99)</f>
        <v>0</v>
      </c>
      <c r="Z94" s="59">
        <f>U94*门客升级!U94</f>
        <v>0</v>
      </c>
      <c r="AA94" s="59">
        <f>V94*门客升级!V94</f>
        <v>0</v>
      </c>
      <c r="AB94" s="59">
        <f>W94*门客升级!W94</f>
        <v>0</v>
      </c>
      <c r="AC94" s="59">
        <f>X94*门客升级!X94</f>
        <v>12</v>
      </c>
      <c r="AD94" s="59">
        <f>Y94*门客升级!Y94</f>
        <v>0</v>
      </c>
      <c r="AE94" s="109">
        <f>INDEX(门客实力!L$5:L$7,基础信息!S99)</f>
        <v>100</v>
      </c>
      <c r="AF94" s="109">
        <f>INDEX(门客实力!M$5:M$7,基础信息!T99)</f>
        <v>1000</v>
      </c>
      <c r="AG94" s="109">
        <f>INDEX(门客实力!N$5:N$7,基础信息!U99)</f>
        <v>2000</v>
      </c>
      <c r="AH94" s="109">
        <f>INDEX(门客实力!O$5:O$7,基础信息!V99)</f>
        <v>3000</v>
      </c>
      <c r="AI94" s="109">
        <f>INDEX(门客实力!P$5:P$7,基础信息!W99)</f>
        <v>7000</v>
      </c>
    </row>
    <row r="95" spans="11:35" x14ac:dyDescent="0.15">
      <c r="K95" s="66">
        <v>11</v>
      </c>
      <c r="L95" s="60">
        <f>基础信息!D100</f>
        <v>57</v>
      </c>
      <c r="M95" s="61">
        <f>基础信息!E100</f>
        <v>329.56496855407232</v>
      </c>
      <c r="N95" s="61">
        <f>基础信息!F100</f>
        <v>102.71853803916484</v>
      </c>
      <c r="O95" s="77">
        <f>MAX(基础信息!$G100*基础信息!I100*基础信息!N100*INDEX(D$32:D$34,基础信息!S100),O94)</f>
        <v>0</v>
      </c>
      <c r="P95" s="77">
        <f>MAX(基础信息!$G100*基础信息!J100*基础信息!O100*INDEX(E$32:E$34,基础信息!T100),P94)</f>
        <v>0</v>
      </c>
      <c r="Q95" s="77">
        <f>MAX(基础信息!$G100*基础信息!K100*基础信息!P100*INDEX(F$32:F$34,基础信息!U100),Q94)</f>
        <v>0</v>
      </c>
      <c r="R95" s="77">
        <f>MAX(基础信息!$G100*基础信息!L100*基础信息!Q100*INDEX(G$32:G$34,基础信息!V100),R94)</f>
        <v>66666.666666666672</v>
      </c>
      <c r="S95" s="77">
        <f>MAX(基础信息!$G100*基础信息!M100*基础信息!R100*INDEX(H$32:H$34,基础信息!W100),S94)</f>
        <v>0</v>
      </c>
      <c r="T95" s="77">
        <f t="shared" si="10"/>
        <v>66666.666666666672</v>
      </c>
      <c r="U95" s="73">
        <f>基础信息!N100*INDEX(D$8:D$10,基础信息!S100)</f>
        <v>0</v>
      </c>
      <c r="V95" s="73">
        <f>基础信息!O100*INDEX(E$8:E$10,基础信息!T100)</f>
        <v>0</v>
      </c>
      <c r="W95" s="73">
        <f>基础信息!P100*INDEX(F$8:F$10,基础信息!U100)</f>
        <v>0</v>
      </c>
      <c r="X95" s="73">
        <f>基础信息!Q100*INDEX(G$8:G$10,基础信息!V100)</f>
        <v>0.4</v>
      </c>
      <c r="Y95" s="73">
        <f>基础信息!R100*INDEX(H$8:H$10,基础信息!W100)</f>
        <v>0</v>
      </c>
      <c r="Z95" s="59">
        <f>U95*门客升级!U95</f>
        <v>0</v>
      </c>
      <c r="AA95" s="59">
        <f>V95*门客升级!V95</f>
        <v>0</v>
      </c>
      <c r="AB95" s="59">
        <f>W95*门客升级!W95</f>
        <v>0</v>
      </c>
      <c r="AC95" s="59">
        <f>X95*门客升级!X95</f>
        <v>0</v>
      </c>
      <c r="AD95" s="59">
        <f>Y95*门客升级!Y95</f>
        <v>0</v>
      </c>
      <c r="AE95" s="109">
        <f>INDEX(门客实力!L$5:L$7,基础信息!S100)</f>
        <v>100</v>
      </c>
      <c r="AF95" s="109">
        <f>INDEX(门客实力!M$5:M$7,基础信息!T100)</f>
        <v>1000</v>
      </c>
      <c r="AG95" s="109">
        <f>INDEX(门客实力!N$5:N$7,基础信息!U100)</f>
        <v>2000</v>
      </c>
      <c r="AH95" s="109">
        <f>INDEX(门客实力!O$5:O$7,基础信息!V100)</f>
        <v>3000</v>
      </c>
      <c r="AI95" s="109">
        <f>INDEX(门客实力!P$5:P$7,基础信息!W100)</f>
        <v>7000</v>
      </c>
    </row>
    <row r="96" spans="11:35" x14ac:dyDescent="0.15">
      <c r="K96" s="66">
        <v>12</v>
      </c>
      <c r="L96" s="60">
        <f>基础信息!D101</f>
        <v>62</v>
      </c>
      <c r="M96" s="61">
        <f>基础信息!E101</f>
        <v>686.27045912077301</v>
      </c>
      <c r="N96" s="61">
        <f>基础信息!F101</f>
        <v>113.4549371467006</v>
      </c>
      <c r="O96" s="77">
        <f>MAX(基础信息!$G101*基础信息!I101*基础信息!N101*INDEX(D$32:D$34,基础信息!S101),O95)</f>
        <v>0</v>
      </c>
      <c r="P96" s="77">
        <f>MAX(基础信息!$G101*基础信息!J101*基础信息!O101*INDEX(E$32:E$34,基础信息!T101),P95)</f>
        <v>0</v>
      </c>
      <c r="Q96" s="77">
        <f>MAX(基础信息!$G101*基础信息!K101*基础信息!P101*INDEX(F$32:F$34,基础信息!U101),Q95)</f>
        <v>0</v>
      </c>
      <c r="R96" s="77">
        <f>MAX(基础信息!$G101*基础信息!L101*基础信息!Q101*INDEX(G$32:G$34,基础信息!V101),R95)</f>
        <v>66666.666666666672</v>
      </c>
      <c r="S96" s="77">
        <f>MAX(基础信息!$G101*基础信息!M101*基础信息!R101*INDEX(H$32:H$34,基础信息!W101),S95)</f>
        <v>400000</v>
      </c>
      <c r="T96" s="77">
        <f t="shared" si="10"/>
        <v>466666.66666666669</v>
      </c>
      <c r="U96" s="73">
        <f>基础信息!N101*INDEX(D$8:D$10,基础信息!S101)</f>
        <v>0</v>
      </c>
      <c r="V96" s="73">
        <f>基础信息!O101*INDEX(E$8:E$10,基础信息!T101)</f>
        <v>0</v>
      </c>
      <c r="W96" s="73">
        <f>基础信息!P101*INDEX(F$8:F$10,基础信息!U101)</f>
        <v>0</v>
      </c>
      <c r="X96" s="73">
        <f>基础信息!Q101*INDEX(G$8:G$10,基础信息!V101)</f>
        <v>0.4</v>
      </c>
      <c r="Y96" s="73">
        <f>基础信息!R101*INDEX(H$8:H$10,基础信息!W101)</f>
        <v>0.2</v>
      </c>
      <c r="Z96" s="59">
        <f>U96*门客升级!U96</f>
        <v>0</v>
      </c>
      <c r="AA96" s="59">
        <f>V96*门客升级!V96</f>
        <v>0</v>
      </c>
      <c r="AB96" s="59">
        <f>W96*门客升级!W96</f>
        <v>0</v>
      </c>
      <c r="AC96" s="59">
        <f>X96*门客升级!X96</f>
        <v>0</v>
      </c>
      <c r="AD96" s="59">
        <f>Y96*门客升级!Y96</f>
        <v>36</v>
      </c>
      <c r="AE96" s="109">
        <f>INDEX(门客实力!L$5:L$7,基础信息!S101)</f>
        <v>100</v>
      </c>
      <c r="AF96" s="109">
        <f>INDEX(门客实力!M$5:M$7,基础信息!T101)</f>
        <v>1000</v>
      </c>
      <c r="AG96" s="109">
        <f>INDEX(门客实力!N$5:N$7,基础信息!U101)</f>
        <v>2000</v>
      </c>
      <c r="AH96" s="109">
        <f>INDEX(门客实力!O$5:O$7,基础信息!V101)</f>
        <v>3000</v>
      </c>
      <c r="AI96" s="109">
        <f>INDEX(门客实力!P$5:P$7,基础信息!W101)</f>
        <v>7000</v>
      </c>
    </row>
    <row r="97" spans="11:35" x14ac:dyDescent="0.15">
      <c r="K97" s="66">
        <v>13</v>
      </c>
      <c r="L97" s="60">
        <f>基础信息!D102</f>
        <v>67</v>
      </c>
      <c r="M97" s="61">
        <f>基础信息!E102</f>
        <v>1426.7099622668038</v>
      </c>
      <c r="N97" s="61">
        <f>基础信息!F102</f>
        <v>124.11624751239822</v>
      </c>
      <c r="O97" s="77">
        <f>MAX(基础信息!$G102*基础信息!I102*基础信息!N102*INDEX(D$32:D$34,基础信息!S102),O96)</f>
        <v>0</v>
      </c>
      <c r="P97" s="77">
        <f>MAX(基础信息!$G102*基础信息!J102*基础信息!O102*INDEX(E$32:E$34,基础信息!T102),P96)</f>
        <v>0</v>
      </c>
      <c r="Q97" s="77">
        <f>MAX(基础信息!$G102*基础信息!K102*基础信息!P102*INDEX(F$32:F$34,基础信息!U102),Q96)</f>
        <v>0</v>
      </c>
      <c r="R97" s="77">
        <f>MAX(基础信息!$G102*基础信息!L102*基础信息!Q102*INDEX(G$32:G$34,基础信息!V102),R96)</f>
        <v>66666.666666666672</v>
      </c>
      <c r="S97" s="77">
        <f>MAX(基础信息!$G102*基础信息!M102*基础信息!R102*INDEX(H$32:H$34,基础信息!W102),S96)</f>
        <v>866666.66666666674</v>
      </c>
      <c r="T97" s="77">
        <f t="shared" si="10"/>
        <v>933333.33333333337</v>
      </c>
      <c r="U97" s="73">
        <f>基础信息!N102*INDEX(D$8:D$10,基础信息!S102)</f>
        <v>0</v>
      </c>
      <c r="V97" s="73">
        <f>基础信息!O102*INDEX(E$8:E$10,基础信息!T102)</f>
        <v>0</v>
      </c>
      <c r="W97" s="73">
        <f>基础信息!P102*INDEX(F$8:F$10,基础信息!U102)</f>
        <v>0</v>
      </c>
      <c r="X97" s="73">
        <f>基础信息!Q102*INDEX(G$8:G$10,基础信息!V102)</f>
        <v>0.4</v>
      </c>
      <c r="Y97" s="73">
        <f>基础信息!R102*INDEX(H$8:H$10,基础信息!W102)</f>
        <v>0.4</v>
      </c>
      <c r="Z97" s="59">
        <f>U97*门客升级!U97</f>
        <v>0</v>
      </c>
      <c r="AA97" s="59">
        <f>V97*门客升级!V97</f>
        <v>0</v>
      </c>
      <c r="AB97" s="59">
        <f>W97*门客升级!W97</f>
        <v>0</v>
      </c>
      <c r="AC97" s="59">
        <f>X97*门客升级!X97</f>
        <v>0</v>
      </c>
      <c r="AD97" s="59">
        <f>Y97*门客升级!Y97</f>
        <v>78</v>
      </c>
      <c r="AE97" s="109">
        <f>INDEX(门客实力!L$5:L$7,基础信息!S102)</f>
        <v>100</v>
      </c>
      <c r="AF97" s="109">
        <f>INDEX(门客实力!M$5:M$7,基础信息!T102)</f>
        <v>1000</v>
      </c>
      <c r="AG97" s="109">
        <f>INDEX(门客实力!N$5:N$7,基础信息!U102)</f>
        <v>2000</v>
      </c>
      <c r="AH97" s="109">
        <f>INDEX(门客实力!O$5:O$7,基础信息!V102)</f>
        <v>3000</v>
      </c>
      <c r="AI97" s="109">
        <f>INDEX(门客实力!P$5:P$7,基础信息!W102)</f>
        <v>7000</v>
      </c>
    </row>
    <row r="98" spans="11:35" x14ac:dyDescent="0.15">
      <c r="K98" s="66">
        <v>14</v>
      </c>
      <c r="L98" s="60">
        <f>基础信息!D103</f>
        <v>72</v>
      </c>
      <c r="M98" s="61">
        <f>基础信息!E103</f>
        <v>2961.6410125841235</v>
      </c>
      <c r="N98" s="61">
        <f>基础信息!F103</f>
        <v>134.91256595481366</v>
      </c>
      <c r="O98" s="77">
        <f>MAX(基础信息!$G103*基础信息!I103*基础信息!N103*INDEX(D$32:D$34,基础信息!S103),O97)</f>
        <v>0</v>
      </c>
      <c r="P98" s="77">
        <f>MAX(基础信息!$G103*基础信息!J103*基础信息!O103*INDEX(E$32:E$34,基础信息!T103),P97)</f>
        <v>0</v>
      </c>
      <c r="Q98" s="77">
        <f>MAX(基础信息!$G103*基础信息!K103*基础信息!P103*INDEX(F$32:F$34,基础信息!U103),Q97)</f>
        <v>0</v>
      </c>
      <c r="R98" s="77">
        <f>MAX(基础信息!$G103*基础信息!L103*基础信息!Q103*INDEX(G$32:G$34,基础信息!V103),R97)</f>
        <v>66666.666666666672</v>
      </c>
      <c r="S98" s="77">
        <f>MAX(基础信息!$G103*基础信息!M103*基础信息!R103*INDEX(H$32:H$34,基础信息!W103),S97)</f>
        <v>2800000</v>
      </c>
      <c r="T98" s="77">
        <f t="shared" si="10"/>
        <v>2866666.6666666665</v>
      </c>
      <c r="U98" s="73">
        <f>基础信息!N103*INDEX(D$8:D$10,基础信息!S103)</f>
        <v>0</v>
      </c>
      <c r="V98" s="73">
        <f>基础信息!O103*INDEX(E$8:E$10,基础信息!T103)</f>
        <v>0</v>
      </c>
      <c r="W98" s="73">
        <f>基础信息!P103*INDEX(F$8:F$10,基础信息!U103)</f>
        <v>0</v>
      </c>
      <c r="X98" s="73">
        <f>基础信息!Q103*INDEX(G$8:G$10,基础信息!V103)</f>
        <v>0.8</v>
      </c>
      <c r="Y98" s="73">
        <f>基础信息!R103*INDEX(H$8:H$10,基础信息!W103)</f>
        <v>0.8</v>
      </c>
      <c r="Z98" s="59">
        <f>U98*门客升级!U98</f>
        <v>0</v>
      </c>
      <c r="AA98" s="59">
        <f>V98*门客升级!V98</f>
        <v>0</v>
      </c>
      <c r="AB98" s="59">
        <f>W98*门客升级!W98</f>
        <v>0</v>
      </c>
      <c r="AC98" s="59">
        <f>X98*门客升级!X98</f>
        <v>0</v>
      </c>
      <c r="AD98" s="59">
        <f>Y98*门客升级!Y98</f>
        <v>168</v>
      </c>
      <c r="AE98" s="109">
        <f>INDEX(门客实力!L$5:L$7,基础信息!S103)</f>
        <v>100</v>
      </c>
      <c r="AF98" s="109">
        <f>INDEX(门客实力!M$5:M$7,基础信息!T103)</f>
        <v>1000</v>
      </c>
      <c r="AG98" s="109">
        <f>INDEX(门客实力!N$5:N$7,基础信息!U103)</f>
        <v>2000</v>
      </c>
      <c r="AH98" s="109">
        <f>INDEX(门客实力!O$5:O$7,基础信息!V103)</f>
        <v>5000</v>
      </c>
      <c r="AI98" s="109">
        <f>INDEX(门客实力!P$5:P$7,基础信息!W103)</f>
        <v>10000</v>
      </c>
    </row>
    <row r="99" spans="11:35" x14ac:dyDescent="0.15">
      <c r="K99" s="66">
        <v>15</v>
      </c>
      <c r="L99" s="60">
        <f>基础信息!D104</f>
        <v>77</v>
      </c>
      <c r="M99" s="61">
        <f>基础信息!E104</f>
        <v>6139.6022012692774</v>
      </c>
      <c r="N99" s="61">
        <f>基础信息!F104</f>
        <v>145.53468456757108</v>
      </c>
      <c r="O99" s="77">
        <f>MAX(基础信息!$G104*基础信息!I104*基础信息!N104*INDEX(D$32:D$34,基础信息!S104),O98)</f>
        <v>0</v>
      </c>
      <c r="P99" s="77">
        <f>MAX(基础信息!$G104*基础信息!J104*基础信息!O104*INDEX(E$32:E$34,基础信息!T104),P98)</f>
        <v>0</v>
      </c>
      <c r="Q99" s="77">
        <f>MAX(基础信息!$G104*基础信息!K104*基础信息!P104*INDEX(F$32:F$34,基础信息!U104),Q98)</f>
        <v>0</v>
      </c>
      <c r="R99" s="77">
        <f>MAX(基础信息!$G104*基础信息!L104*基础信息!Q104*INDEX(G$32:G$34,基础信息!V104),R98)</f>
        <v>66666.666666666672</v>
      </c>
      <c r="S99" s="77">
        <f>MAX(基础信息!$G104*基础信息!M104*基础信息!R104*INDEX(H$32:H$34,基础信息!W104),S98)</f>
        <v>3000000</v>
      </c>
      <c r="T99" s="77">
        <f t="shared" si="10"/>
        <v>3066666.6666666665</v>
      </c>
      <c r="U99" s="73">
        <f>基础信息!N104*INDEX(D$8:D$10,基础信息!S104)</f>
        <v>0</v>
      </c>
      <c r="V99" s="73">
        <f>基础信息!O104*INDEX(E$8:E$10,基础信息!T104)</f>
        <v>0</v>
      </c>
      <c r="W99" s="73">
        <f>基础信息!P104*INDEX(F$8:F$10,基础信息!U104)</f>
        <v>0</v>
      </c>
      <c r="X99" s="73">
        <f>基础信息!Q104*INDEX(G$8:G$10,基础信息!V104)</f>
        <v>0.8</v>
      </c>
      <c r="Y99" s="73">
        <f>基础信息!R104*INDEX(H$8:H$10,基础信息!W104)</f>
        <v>0.8</v>
      </c>
      <c r="Z99" s="59">
        <f>U99*门客升级!U99</f>
        <v>0</v>
      </c>
      <c r="AA99" s="59">
        <f>V99*门客升级!V99</f>
        <v>0</v>
      </c>
      <c r="AB99" s="59">
        <f>W99*门客升级!W99</f>
        <v>0</v>
      </c>
      <c r="AC99" s="59">
        <f>X99*门客升级!X99</f>
        <v>0</v>
      </c>
      <c r="AD99" s="59">
        <f>Y99*门客升级!Y99</f>
        <v>180</v>
      </c>
      <c r="AE99" s="109">
        <f>INDEX(门客实力!L$5:L$7,基础信息!S104)</f>
        <v>100</v>
      </c>
      <c r="AF99" s="109">
        <f>INDEX(门客实力!M$5:M$7,基础信息!T104)</f>
        <v>1000</v>
      </c>
      <c r="AG99" s="109">
        <f>INDEX(门客实力!N$5:N$7,基础信息!U104)</f>
        <v>2000</v>
      </c>
      <c r="AH99" s="109">
        <f>INDEX(门客实力!O$5:O$7,基础信息!V104)</f>
        <v>5000</v>
      </c>
      <c r="AI99" s="109">
        <f>INDEX(门客实力!P$5:P$7,基础信息!W104)</f>
        <v>10000</v>
      </c>
    </row>
    <row r="100" spans="11:35" x14ac:dyDescent="0.15">
      <c r="K100" s="66">
        <v>16</v>
      </c>
      <c r="L100" s="60">
        <f>基础信息!D105</f>
        <v>80</v>
      </c>
      <c r="M100" s="61">
        <f>基础信息!E105</f>
        <v>9502.5750000000007</v>
      </c>
      <c r="N100" s="61">
        <f>基础信息!F105</f>
        <v>151.0810487166913</v>
      </c>
      <c r="O100" s="77">
        <f>MAX(基础信息!$G105*基础信息!I105*基础信息!N105*INDEX(D$32:D$34,基础信息!S105),O99)</f>
        <v>0</v>
      </c>
      <c r="P100" s="77">
        <f>MAX(基础信息!$G105*基础信息!J105*基础信息!O105*INDEX(E$32:E$34,基础信息!T105),P99)</f>
        <v>0</v>
      </c>
      <c r="Q100" s="77">
        <f>MAX(基础信息!$G105*基础信息!K105*基础信息!P105*INDEX(F$32:F$34,基础信息!U105),Q99)</f>
        <v>0</v>
      </c>
      <c r="R100" s="77">
        <f>MAX(基础信息!$G105*基础信息!L105*基础信息!Q105*INDEX(G$32:G$34,基础信息!V105),R99)</f>
        <v>66666.666666666672</v>
      </c>
      <c r="S100" s="77">
        <f>MAX(基础信息!$G105*基础信息!M105*基础信息!R105*INDEX(H$32:H$34,基础信息!W105),S99)</f>
        <v>3200000</v>
      </c>
      <c r="T100" s="77">
        <f t="shared" si="10"/>
        <v>3266666.6666666665</v>
      </c>
      <c r="U100" s="73">
        <f>基础信息!N105*INDEX(D$8:D$10,基础信息!S105)</f>
        <v>0</v>
      </c>
      <c r="V100" s="73">
        <f>基础信息!O105*INDEX(E$8:E$10,基础信息!T105)</f>
        <v>0</v>
      </c>
      <c r="W100" s="73">
        <f>基础信息!P105*INDEX(F$8:F$10,基础信息!U105)</f>
        <v>0</v>
      </c>
      <c r="X100" s="73">
        <f>基础信息!Q105*INDEX(G$8:G$10,基础信息!V105)</f>
        <v>0.8</v>
      </c>
      <c r="Y100" s="73">
        <f>基础信息!R105*INDEX(H$8:H$10,基础信息!W105)</f>
        <v>0.8</v>
      </c>
      <c r="Z100" s="59">
        <f>U100*门客升级!U100</f>
        <v>0</v>
      </c>
      <c r="AA100" s="59">
        <f>V100*门客升级!V100</f>
        <v>0</v>
      </c>
      <c r="AB100" s="59">
        <f>W100*门客升级!W100</f>
        <v>0</v>
      </c>
      <c r="AC100" s="59">
        <f>X100*门客升级!X100</f>
        <v>0</v>
      </c>
      <c r="AD100" s="59">
        <f>Y100*门客升级!Y100</f>
        <v>192</v>
      </c>
      <c r="AE100" s="109">
        <f>INDEX(门客实力!L$5:L$7,基础信息!S105)</f>
        <v>100</v>
      </c>
      <c r="AF100" s="109">
        <f>INDEX(门客实力!M$5:M$7,基础信息!T105)</f>
        <v>1000</v>
      </c>
      <c r="AG100" s="109">
        <f>INDEX(门客实力!N$5:N$7,基础信息!U105)</f>
        <v>2000</v>
      </c>
      <c r="AH100" s="109">
        <f>INDEX(门客实力!O$5:O$7,基础信息!V105)</f>
        <v>5000</v>
      </c>
      <c r="AI100" s="109">
        <f>INDEX(门客实力!P$5:P$7,基础信息!W105)</f>
        <v>10000</v>
      </c>
    </row>
  </sheetData>
  <mergeCells count="21">
    <mergeCell ref="AE3:AI3"/>
    <mergeCell ref="AE23:AI23"/>
    <mergeCell ref="AE43:AI43"/>
    <mergeCell ref="AE63:AI63"/>
    <mergeCell ref="AE83:AI83"/>
    <mergeCell ref="U83:Y83"/>
    <mergeCell ref="O3:S3"/>
    <mergeCell ref="O23:S23"/>
    <mergeCell ref="O43:S43"/>
    <mergeCell ref="O63:S63"/>
    <mergeCell ref="O83:S83"/>
    <mergeCell ref="B8:B10"/>
    <mergeCell ref="U3:Y3"/>
    <mergeCell ref="U23:Y23"/>
    <mergeCell ref="U43:Y43"/>
    <mergeCell ref="U63:Y63"/>
    <mergeCell ref="Z3:AD3"/>
    <mergeCell ref="Z23:AD23"/>
    <mergeCell ref="Z43:AD43"/>
    <mergeCell ref="Z63:AD63"/>
    <mergeCell ref="Z83:AD83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2AF44-BFD9-4D9A-8570-07F083966E1E}">
  <sheetPr codeName="Sheet8"/>
  <dimension ref="C2:W226"/>
  <sheetViews>
    <sheetView workbookViewId="0">
      <selection activeCell="O4" sqref="K3:O4"/>
    </sheetView>
  </sheetViews>
  <sheetFormatPr defaultRowHeight="11.25" x14ac:dyDescent="0.15"/>
  <cols>
    <col min="1" max="2" width="9" style="66"/>
    <col min="3" max="4" width="10.5" style="68" bestFit="1" customWidth="1"/>
    <col min="5" max="5" width="8.25" style="59" bestFit="1" customWidth="1"/>
    <col min="6" max="6" width="10.5" style="59" bestFit="1" customWidth="1"/>
    <col min="7" max="7" width="13" style="66" bestFit="1" customWidth="1"/>
    <col min="8" max="9" width="9" style="66"/>
    <col min="10" max="15" width="9" style="108"/>
    <col min="16" max="17" width="9" style="66"/>
    <col min="18" max="18" width="4.5" style="12" customWidth="1"/>
    <col min="19" max="19" width="6.625" style="86" customWidth="1"/>
    <col min="20" max="21" width="6.75" style="86" customWidth="1"/>
    <col min="22" max="22" width="10.375" style="86" customWidth="1"/>
    <col min="23" max="23" width="6.625" style="86" customWidth="1"/>
    <col min="24" max="16384" width="9" style="66"/>
  </cols>
  <sheetData>
    <row r="2" spans="3:23" x14ac:dyDescent="0.15">
      <c r="S2" s="86">
        <v>1</v>
      </c>
      <c r="T2" s="85" t="s">
        <v>0</v>
      </c>
    </row>
    <row r="3" spans="3:23" x14ac:dyDescent="0.15">
      <c r="C3" s="66" t="s">
        <v>0</v>
      </c>
      <c r="D3" s="66"/>
      <c r="E3" s="65"/>
      <c r="F3" s="65"/>
      <c r="K3" s="127" t="s">
        <v>296</v>
      </c>
      <c r="L3" s="127"/>
      <c r="M3" s="127"/>
      <c r="N3" s="127"/>
      <c r="O3" s="127"/>
      <c r="S3" s="86">
        <v>2</v>
      </c>
      <c r="T3" s="85" t="s">
        <v>102</v>
      </c>
      <c r="U3" s="85" t="s">
        <v>210</v>
      </c>
      <c r="V3" s="85" t="s">
        <v>208</v>
      </c>
      <c r="W3" s="87" t="s">
        <v>209</v>
      </c>
    </row>
    <row r="4" spans="3:23" x14ac:dyDescent="0.15">
      <c r="C4" s="66" t="s">
        <v>21</v>
      </c>
      <c r="D4" s="66" t="s">
        <v>121</v>
      </c>
      <c r="E4" s="65" t="s">
        <v>122</v>
      </c>
      <c r="F4" s="65" t="s">
        <v>103</v>
      </c>
      <c r="G4" s="66" t="s">
        <v>160</v>
      </c>
      <c r="J4" s="108" t="s">
        <v>102</v>
      </c>
      <c r="K4" s="108" t="s">
        <v>0</v>
      </c>
      <c r="L4" s="108" t="s">
        <v>1</v>
      </c>
      <c r="M4" s="108" t="s">
        <v>2</v>
      </c>
      <c r="N4" s="108" t="s">
        <v>3</v>
      </c>
      <c r="O4" s="108" t="s">
        <v>4</v>
      </c>
      <c r="S4" s="86">
        <v>3</v>
      </c>
      <c r="T4" s="85">
        <v>10</v>
      </c>
      <c r="U4" s="85">
        <f>IFERROR(求节点($F$5:$F$20,$G$5:$G$20,T4),0)</f>
        <v>0</v>
      </c>
      <c r="V4" s="17">
        <f>U4*INDEX([3]非r将兵属性验证!$V$7:$V$166,T4,1)</f>
        <v>0</v>
      </c>
      <c r="W4" s="87">
        <f>IFERROR(求节点(付费投放!$Q$5:$Q$20,付费投放!$S$5:$S$20,T4),0)</f>
        <v>0</v>
      </c>
    </row>
    <row r="5" spans="3:23" x14ac:dyDescent="0.15">
      <c r="C5" s="66">
        <v>1</v>
      </c>
      <c r="D5" s="60">
        <f>基础信息!D10</f>
        <v>16</v>
      </c>
      <c r="E5" s="61">
        <f>基础信息!E10</f>
        <v>2.5387719203926467</v>
      </c>
      <c r="F5" s="61">
        <f>基础信息!F10</f>
        <v>18.226342304552581</v>
      </c>
      <c r="G5" s="65">
        <f>SUM(门客升级!U5:Y5)+SUM(门客进修!Z5:AD5)</f>
        <v>2.6</v>
      </c>
      <c r="J5" s="108">
        <v>1</v>
      </c>
      <c r="K5" s="108">
        <f>IFERROR(求节点($F$5:$F$20,$G$5:$G$20,$J5)/3,0)</f>
        <v>0</v>
      </c>
      <c r="L5" s="108">
        <f>IFERROR(求节点($F$25:$F$40,$G$25:$G$40,$J5)/3,0)</f>
        <v>0</v>
      </c>
      <c r="M5" s="108">
        <f>IFERROR(求节点($F$45:$F$60,$G$45:$G$60,$J5)/3,0)</f>
        <v>0</v>
      </c>
      <c r="N5" s="108">
        <f>IFERROR(求节点($F$65:$F$80,$G$65:$G$80,$J5)/3,0)</f>
        <v>0</v>
      </c>
      <c r="O5" s="108">
        <f>IFERROR(求节点($F$85:$F$100,$G$85:$G$100,$J5)/3,0)</f>
        <v>0</v>
      </c>
      <c r="S5" s="86">
        <v>4</v>
      </c>
      <c r="T5" s="85">
        <v>20</v>
      </c>
      <c r="U5" s="85">
        <f t="shared" ref="U5:U19" si="0">IFERROR(求节点($F$5:$F$20,$G$5:$G$20,T5),0)</f>
        <v>3.5383623244895026</v>
      </c>
      <c r="V5" s="85">
        <f>(U5-U4)*INDEX([3]非r将兵属性验证!$V$7:$V$166,T5,1)+V4</f>
        <v>2031543.6459350286</v>
      </c>
      <c r="W5" s="87">
        <f>IFERROR(求节点(付费投放!$Q$5:$Q$20,付费投放!$S$5:$S$20,T5),0)</f>
        <v>1621.8954404686651</v>
      </c>
    </row>
    <row r="6" spans="3:23" x14ac:dyDescent="0.15">
      <c r="C6" s="66">
        <v>2</v>
      </c>
      <c r="D6" s="60">
        <f>基础信息!D11</f>
        <v>19.5</v>
      </c>
      <c r="E6" s="61">
        <f>基础信息!E11</f>
        <v>4.8228975321654577</v>
      </c>
      <c r="F6" s="61">
        <f>基础信息!F11</f>
        <v>25.408961498441148</v>
      </c>
      <c r="G6" s="65">
        <f>SUM(门客升级!U6:Y6)+SUM(门客进修!Z6:AD6)</f>
        <v>6.4</v>
      </c>
      <c r="J6" s="108">
        <v>2</v>
      </c>
      <c r="K6" s="108">
        <f t="shared" ref="K6:K69" si="1">IFERROR(求节点($F$5:$F$20,$G$5:$G$20,$J6)/3,0)</f>
        <v>0</v>
      </c>
      <c r="L6" s="108">
        <f t="shared" ref="L6:L69" si="2">IFERROR(求节点($F$25:$F$40,$G$25:$G$40,$J6)/3,0)</f>
        <v>0</v>
      </c>
      <c r="M6" s="108">
        <f t="shared" ref="M6:M69" si="3">IFERROR(求节点($F$45:$F$60,$G$45:$G$60,$J6)/3,0)</f>
        <v>0</v>
      </c>
      <c r="N6" s="108">
        <f t="shared" ref="N6:N69" si="4">IFERROR(求节点($F$65:$F$80,$G$65:$G$80,$J6)/3,0)</f>
        <v>0</v>
      </c>
      <c r="O6" s="108">
        <f t="shared" ref="O6:O69" si="5">IFERROR(求节点($F$85:$F$100,$G$85:$G$100,$J6)/3,0)</f>
        <v>0</v>
      </c>
      <c r="S6" s="86">
        <v>5</v>
      </c>
      <c r="T6" s="85">
        <v>30</v>
      </c>
      <c r="U6" s="85">
        <f t="shared" si="0"/>
        <v>9.0319808047017318</v>
      </c>
      <c r="V6" s="85">
        <f>(U6-U5)*INDEX([3]非r将兵属性验证!$V$7:$V$166,T6,1)+V5</f>
        <v>10639403.123330832</v>
      </c>
      <c r="W6" s="87">
        <f>IFERROR(求节点(付费投放!$Q$5:$Q$20,付费投放!$S$5:$S$20,T6),0)</f>
        <v>3241.8137053063047</v>
      </c>
    </row>
    <row r="7" spans="3:23" x14ac:dyDescent="0.15">
      <c r="C7" s="66">
        <v>3</v>
      </c>
      <c r="D7" s="60">
        <f>基础信息!D12</f>
        <v>23.5</v>
      </c>
      <c r="E7" s="61">
        <f>基础信息!E12</f>
        <v>9.6550138771594227</v>
      </c>
      <c r="F7" s="61">
        <f>基础信息!F12</f>
        <v>34.130602806306101</v>
      </c>
      <c r="G7" s="65">
        <f>SUM(门客升级!U7:Y7)+SUM(门客进修!Z7:AD7)</f>
        <v>11.399999999999999</v>
      </c>
      <c r="J7" s="108">
        <v>3</v>
      </c>
      <c r="K7" s="108">
        <f t="shared" si="1"/>
        <v>0</v>
      </c>
      <c r="L7" s="108">
        <f t="shared" si="2"/>
        <v>0</v>
      </c>
      <c r="M7" s="108">
        <f t="shared" si="3"/>
        <v>0</v>
      </c>
      <c r="N7" s="108">
        <f t="shared" si="4"/>
        <v>0</v>
      </c>
      <c r="O7" s="108">
        <f t="shared" si="5"/>
        <v>0</v>
      </c>
      <c r="S7" s="86">
        <v>6</v>
      </c>
      <c r="T7" s="85">
        <v>40</v>
      </c>
      <c r="U7" s="85">
        <f t="shared" si="0"/>
        <v>16.753030852251584</v>
      </c>
      <c r="V7" s="85">
        <f>(U7-U6)*INDEX([3]非r将兵属性验证!$V$7:$V$166,T7,1)+V6</f>
        <v>50518673.670904636</v>
      </c>
      <c r="W7" s="87">
        <f>IFERROR(求节点(付费投放!$Q$5:$Q$20,付费投放!$S$5:$S$20,T7),0)</f>
        <v>5750.5353709089632</v>
      </c>
    </row>
    <row r="8" spans="3:23" x14ac:dyDescent="0.15">
      <c r="C8" s="66">
        <v>4</v>
      </c>
      <c r="D8" s="60">
        <f>基础信息!D13</f>
        <v>27.5</v>
      </c>
      <c r="E8" s="61">
        <f>基础信息!E13</f>
        <v>18.870223137985384</v>
      </c>
      <c r="F8" s="61">
        <f>基础信息!F13</f>
        <v>43.121594697945582</v>
      </c>
      <c r="G8" s="65">
        <f>SUM(门客升级!U8:Y8)+SUM(门客进修!Z8:AD8)</f>
        <v>19.600000000000001</v>
      </c>
      <c r="J8" s="108">
        <v>4</v>
      </c>
      <c r="K8" s="108">
        <f t="shared" si="1"/>
        <v>0</v>
      </c>
      <c r="L8" s="108">
        <f t="shared" si="2"/>
        <v>0</v>
      </c>
      <c r="M8" s="108">
        <f t="shared" si="3"/>
        <v>0</v>
      </c>
      <c r="N8" s="108">
        <f t="shared" si="4"/>
        <v>0</v>
      </c>
      <c r="O8" s="108">
        <f t="shared" si="5"/>
        <v>0</v>
      </c>
      <c r="S8" s="86">
        <v>7</v>
      </c>
      <c r="T8" s="85">
        <v>50</v>
      </c>
      <c r="U8" s="85">
        <f t="shared" si="0"/>
        <v>29.372579705264403</v>
      </c>
      <c r="V8" s="85">
        <f>(U8-U7)*INDEX([3]非r将兵属性验证!$V$7:$V$166,T8,1)+V7</f>
        <v>170647501.8978495</v>
      </c>
      <c r="W8" s="87">
        <f>IFERROR(求节点(付费投放!$Q$5:$Q$20,付费投放!$S$5:$S$20,T8),0)</f>
        <v>10471.141655834626</v>
      </c>
    </row>
    <row r="9" spans="3:23" x14ac:dyDescent="0.15">
      <c r="C9" s="66">
        <v>5</v>
      </c>
      <c r="D9" s="60">
        <f>基础信息!D14</f>
        <v>31.5</v>
      </c>
      <c r="E9" s="61">
        <f>基础信息!E14</f>
        <v>36.28923876358067</v>
      </c>
      <c r="F9" s="61">
        <f>基础信息!F14</f>
        <v>52.20122679843417</v>
      </c>
      <c r="G9" s="65">
        <f>SUM(门客升级!U9:Y9)+SUM(门客进修!Z9:AD9)</f>
        <v>32.5</v>
      </c>
      <c r="J9" s="108">
        <v>5</v>
      </c>
      <c r="K9" s="108">
        <f t="shared" si="1"/>
        <v>0</v>
      </c>
      <c r="L9" s="108">
        <f t="shared" si="2"/>
        <v>0</v>
      </c>
      <c r="M9" s="108">
        <f t="shared" si="3"/>
        <v>0</v>
      </c>
      <c r="N9" s="108">
        <f t="shared" si="4"/>
        <v>0</v>
      </c>
      <c r="O9" s="108">
        <f t="shared" si="5"/>
        <v>0</v>
      </c>
      <c r="S9" s="86">
        <v>8</v>
      </c>
      <c r="T9" s="85">
        <v>60</v>
      </c>
      <c r="U9" s="85">
        <f t="shared" si="0"/>
        <v>43.841500805270876</v>
      </c>
      <c r="V9" s="85">
        <f>(U9-U8)*INDEX([3]非r将兵属性验证!$V$7:$V$166,T9,1)+V8</f>
        <v>485821002.223849</v>
      </c>
      <c r="W9" s="87">
        <f>IFERROR(求节点(付费投放!$Q$5:$Q$20,付费投放!$S$5:$S$20,T9),0)</f>
        <v>19986.862497126476</v>
      </c>
    </row>
    <row r="10" spans="3:23" x14ac:dyDescent="0.15">
      <c r="C10" s="66">
        <v>6</v>
      </c>
      <c r="D10" s="60">
        <f>基础信息!D15</f>
        <v>35.5</v>
      </c>
      <c r="E10" s="61">
        <f>基础信息!E15</f>
        <v>68.623430833504159</v>
      </c>
      <c r="F10" s="61">
        <f>基础信息!F15</f>
        <v>61.20919943756077</v>
      </c>
      <c r="G10" s="65">
        <f>SUM(门客升级!U10:Y10)+SUM(门客进修!Z10:AD10)</f>
        <v>45.599999999999994</v>
      </c>
      <c r="J10" s="108">
        <v>6</v>
      </c>
      <c r="K10" s="108">
        <f t="shared" si="1"/>
        <v>0</v>
      </c>
      <c r="L10" s="108">
        <f t="shared" si="2"/>
        <v>0</v>
      </c>
      <c r="M10" s="108">
        <f t="shared" si="3"/>
        <v>0</v>
      </c>
      <c r="N10" s="108">
        <f t="shared" si="4"/>
        <v>0</v>
      </c>
      <c r="O10" s="108">
        <f t="shared" si="5"/>
        <v>0</v>
      </c>
      <c r="S10" s="86">
        <v>9</v>
      </c>
      <c r="T10" s="85">
        <v>70</v>
      </c>
      <c r="U10" s="85">
        <f t="shared" si="0"/>
        <v>64.708456970540368</v>
      </c>
      <c r="V10" s="85">
        <f>(U10-U9)*INDEX([3]非r将兵属性验证!$V$7:$V$166,T10,1)+V9</f>
        <v>1536238449.4837084</v>
      </c>
      <c r="W10" s="87">
        <f>IFERROR(求节点(付费投放!$Q$5:$Q$20,付费投放!$S$5:$S$20,T10),0)</f>
        <v>35789.832490171859</v>
      </c>
    </row>
    <row r="11" spans="3:23" x14ac:dyDescent="0.15">
      <c r="C11" s="66">
        <v>7</v>
      </c>
      <c r="D11" s="60">
        <f>基础信息!D16</f>
        <v>39.5</v>
      </c>
      <c r="E11" s="61">
        <f>基础信息!E16</f>
        <v>124.62134549299002</v>
      </c>
      <c r="F11" s="61">
        <f>基础信息!F16</f>
        <v>69.722501590522299</v>
      </c>
      <c r="G11" s="65">
        <f>SUM(门客升级!U11:Y11)+SUM(门客进修!Z11:AD11)</f>
        <v>64.128749999999997</v>
      </c>
      <c r="J11" s="108">
        <v>7</v>
      </c>
      <c r="K11" s="108">
        <f t="shared" si="1"/>
        <v>0</v>
      </c>
      <c r="L11" s="108">
        <f t="shared" si="2"/>
        <v>0</v>
      </c>
      <c r="M11" s="108">
        <f t="shared" si="3"/>
        <v>0</v>
      </c>
      <c r="N11" s="108">
        <f t="shared" si="4"/>
        <v>0</v>
      </c>
      <c r="O11" s="108">
        <f t="shared" si="5"/>
        <v>0</v>
      </c>
      <c r="S11" s="86">
        <v>10</v>
      </c>
      <c r="T11" s="85">
        <v>80</v>
      </c>
      <c r="U11" s="85">
        <f t="shared" si="0"/>
        <v>85.706687024567131</v>
      </c>
      <c r="V11" s="85">
        <f>(U11-U10)*INDEX([3]非r将兵属性验证!$V$7:$V$166,T11,1)+V10</f>
        <v>3891209289.7855825</v>
      </c>
      <c r="W11" s="87">
        <f>IFERROR(求节点(付费投放!$Q$5:$Q$20,付费投放!$S$5:$S$20,T11),0)</f>
        <v>63140.796647201874</v>
      </c>
    </row>
    <row r="12" spans="3:23" x14ac:dyDescent="0.15">
      <c r="C12" s="66">
        <v>8</v>
      </c>
      <c r="D12" s="60">
        <f>基础信息!D17</f>
        <v>43.5</v>
      </c>
      <c r="E12" s="61">
        <f>基础信息!E17</f>
        <v>225.68304366827394</v>
      </c>
      <c r="F12" s="61">
        <f>基础信息!F17</f>
        <v>78.238948396428512</v>
      </c>
      <c r="G12" s="65">
        <f>SUM(门客升级!U12:Y12)+SUM(门客进修!Z12:AD12)</f>
        <v>81.92</v>
      </c>
      <c r="J12" s="108">
        <v>8</v>
      </c>
      <c r="K12" s="108">
        <f t="shared" si="1"/>
        <v>0</v>
      </c>
      <c r="L12" s="108">
        <f t="shared" si="2"/>
        <v>0</v>
      </c>
      <c r="M12" s="108">
        <f t="shared" si="3"/>
        <v>0</v>
      </c>
      <c r="N12" s="108">
        <f t="shared" si="4"/>
        <v>0</v>
      </c>
      <c r="O12" s="108">
        <f t="shared" si="5"/>
        <v>0</v>
      </c>
      <c r="S12" s="86">
        <v>11</v>
      </c>
      <c r="T12" s="85">
        <v>90</v>
      </c>
      <c r="U12" s="85">
        <f t="shared" si="0"/>
        <v>106.97600360215721</v>
      </c>
      <c r="V12" s="85">
        <f>(U12-U11)*INDEX([3]非r将兵属性验证!$V$7:$V$166,T12,1)+V11</f>
        <v>8560865226.2206488</v>
      </c>
      <c r="W12" s="87">
        <f>IFERROR(求节点(付费投放!$Q$5:$Q$20,付费投放!$S$5:$S$20,T12),0)</f>
        <v>113298.13729629337</v>
      </c>
    </row>
    <row r="13" spans="3:23" x14ac:dyDescent="0.15">
      <c r="C13" s="66">
        <v>9</v>
      </c>
      <c r="D13" s="60">
        <f>基础信息!D18</f>
        <v>47.5</v>
      </c>
      <c r="E13" s="61">
        <f>基础信息!E18</f>
        <v>407.83539826846607</v>
      </c>
      <c r="F13" s="61">
        <f>基础信息!F18</f>
        <v>86.747293257864058</v>
      </c>
      <c r="G13" s="65">
        <f>SUM(门客升级!U13:Y13)+SUM(门客进修!Z13:AD13)</f>
        <v>100.215</v>
      </c>
      <c r="J13" s="108">
        <v>9</v>
      </c>
      <c r="K13" s="108">
        <f t="shared" si="1"/>
        <v>0</v>
      </c>
      <c r="L13" s="108">
        <f t="shared" si="2"/>
        <v>0</v>
      </c>
      <c r="M13" s="108">
        <f t="shared" si="3"/>
        <v>0</v>
      </c>
      <c r="N13" s="108">
        <f t="shared" si="4"/>
        <v>0</v>
      </c>
      <c r="O13" s="108">
        <f t="shared" si="5"/>
        <v>0</v>
      </c>
      <c r="S13" s="86">
        <v>12</v>
      </c>
      <c r="T13" s="85">
        <v>100</v>
      </c>
      <c r="U13" s="85">
        <f t="shared" si="0"/>
        <v>129.52624317078298</v>
      </c>
      <c r="V13" s="85">
        <f>(U13-U12)*INDEX([3]非r将兵属性验证!$V$7:$V$166,T13,1)+V12</f>
        <v>16594509189.131012</v>
      </c>
      <c r="W13" s="87">
        <f>IFERROR(求节点(付费投放!$Q$5:$Q$20,付费投放!$S$5:$S$20,T13),0)</f>
        <v>205758.40515615972</v>
      </c>
    </row>
    <row r="14" spans="3:23" x14ac:dyDescent="0.15">
      <c r="C14" s="66">
        <v>10</v>
      </c>
      <c r="D14" s="60">
        <f>基础信息!D19</f>
        <v>52</v>
      </c>
      <c r="E14" s="61">
        <f>基础信息!E19</f>
        <v>789.85301886939453</v>
      </c>
      <c r="F14" s="61">
        <f>基础信息!F19</f>
        <v>96.265821375882837</v>
      </c>
      <c r="G14" s="65">
        <f>SUM(门客升级!U14:Y14)+SUM(门客进修!Z14:AD14)</f>
        <v>120</v>
      </c>
      <c r="J14" s="108">
        <v>10</v>
      </c>
      <c r="K14" s="108">
        <f t="shared" si="1"/>
        <v>0</v>
      </c>
      <c r="L14" s="108">
        <f t="shared" si="2"/>
        <v>0</v>
      </c>
      <c r="M14" s="108">
        <f t="shared" si="3"/>
        <v>0</v>
      </c>
      <c r="N14" s="108">
        <f t="shared" si="4"/>
        <v>0</v>
      </c>
      <c r="O14" s="108">
        <f t="shared" si="5"/>
        <v>0</v>
      </c>
      <c r="S14" s="86">
        <v>13</v>
      </c>
      <c r="T14" s="85">
        <v>110</v>
      </c>
      <c r="U14" s="85">
        <f t="shared" si="0"/>
        <v>153.48140463904187</v>
      </c>
      <c r="V14" s="85">
        <f>(U14-U13)*INDEX([3]非r将兵属性验证!$V$7:$V$166,T14,1)+V13</f>
        <v>29160705585.444008</v>
      </c>
      <c r="W14" s="87">
        <f>IFERROR(求节点(付费投放!$Q$5:$Q$20,付费投放!$S$5:$S$20,T14),0)</f>
        <v>375305.46723817836</v>
      </c>
    </row>
    <row r="15" spans="3:23" x14ac:dyDescent="0.15">
      <c r="C15" s="66">
        <v>11</v>
      </c>
      <c r="D15" s="60">
        <f>基础信息!D20</f>
        <v>57</v>
      </c>
      <c r="E15" s="61">
        <f>基础信息!E20</f>
        <v>1647.8248427703616</v>
      </c>
      <c r="F15" s="61">
        <f>基础信息!F20</f>
        <v>106.86832874572353</v>
      </c>
      <c r="G15" s="65">
        <f>SUM(门客升级!U15:Y15)+SUM(门客进修!Z15:AD15)</f>
        <v>147.04800000000003</v>
      </c>
      <c r="J15" s="108">
        <v>11</v>
      </c>
      <c r="K15" s="108">
        <f t="shared" si="1"/>
        <v>0</v>
      </c>
      <c r="L15" s="108">
        <f t="shared" si="2"/>
        <v>0</v>
      </c>
      <c r="M15" s="108">
        <f t="shared" si="3"/>
        <v>0</v>
      </c>
      <c r="N15" s="108">
        <f t="shared" si="4"/>
        <v>0</v>
      </c>
      <c r="O15" s="108">
        <f t="shared" si="5"/>
        <v>0</v>
      </c>
      <c r="S15" s="86">
        <v>14</v>
      </c>
      <c r="T15" s="85">
        <v>120</v>
      </c>
      <c r="U15" s="85">
        <f t="shared" si="0"/>
        <v>173.15666256496522</v>
      </c>
      <c r="V15" s="85">
        <f>(U15-U14)*INDEX([3]非r将兵属性验证!$V$7:$V$166,T15,1)+V14</f>
        <v>43727555361.104408</v>
      </c>
      <c r="W15" s="87">
        <f>IFERROR(求节点(付费投放!$Q$5:$Q$20,付费投放!$S$5:$S$20,T15),0)</f>
        <v>695421.66067674919</v>
      </c>
    </row>
    <row r="16" spans="3:23" x14ac:dyDescent="0.15">
      <c r="C16" s="66">
        <v>12</v>
      </c>
      <c r="D16" s="60">
        <f>基础信息!D21</f>
        <v>62</v>
      </c>
      <c r="E16" s="61">
        <f>基础信息!E21</f>
        <v>3431.3522956038646</v>
      </c>
      <c r="F16" s="61">
        <f>基础信息!F21</f>
        <v>117.44125295293078</v>
      </c>
      <c r="G16" s="65">
        <f>SUM(门客升级!U16:Y16)+SUM(门客进修!Z16:AD16)</f>
        <v>168.768</v>
      </c>
      <c r="J16" s="108">
        <v>12</v>
      </c>
      <c r="K16" s="108">
        <f t="shared" si="1"/>
        <v>0</v>
      </c>
      <c r="L16" s="108">
        <f t="shared" si="2"/>
        <v>0</v>
      </c>
      <c r="M16" s="108">
        <f t="shared" si="3"/>
        <v>0</v>
      </c>
      <c r="N16" s="108">
        <f t="shared" si="4"/>
        <v>0</v>
      </c>
      <c r="O16" s="108">
        <f t="shared" si="5"/>
        <v>0</v>
      </c>
      <c r="S16" s="86">
        <v>15</v>
      </c>
      <c r="T16" s="85">
        <v>130</v>
      </c>
      <c r="U16" s="85">
        <f t="shared" si="0"/>
        <v>190.69307413150742</v>
      </c>
      <c r="V16" s="85">
        <f>(U16-U15)*INDEX([3]非r将兵属性验证!$V$7:$V$166,T16,1)+V15</f>
        <v>61107257599.331528</v>
      </c>
      <c r="W16" s="87">
        <f>IFERROR(求节点(付费投放!$Q$5:$Q$20,付费投放!$S$5:$S$20,T16),0)</f>
        <v>1304730.2885850901</v>
      </c>
    </row>
    <row r="17" spans="3:23" x14ac:dyDescent="0.15">
      <c r="C17" s="66">
        <v>13</v>
      </c>
      <c r="D17" s="60">
        <f>基础信息!D22</f>
        <v>67</v>
      </c>
      <c r="E17" s="61">
        <f>基础信息!E22</f>
        <v>7133.5498113340191</v>
      </c>
      <c r="F17" s="61">
        <f>基础信息!F22</f>
        <v>128.00586023511804</v>
      </c>
      <c r="G17" s="65">
        <f>SUM(门客升级!U17:Y17)+SUM(门客进修!Z17:AD17)</f>
        <v>186.88800000000001</v>
      </c>
      <c r="J17" s="108">
        <v>13</v>
      </c>
      <c r="K17" s="108">
        <f t="shared" si="1"/>
        <v>0</v>
      </c>
      <c r="L17" s="108">
        <f t="shared" si="2"/>
        <v>0</v>
      </c>
      <c r="M17" s="108">
        <f t="shared" si="3"/>
        <v>0</v>
      </c>
      <c r="N17" s="108">
        <f t="shared" si="4"/>
        <v>0</v>
      </c>
      <c r="O17" s="108">
        <f t="shared" si="5"/>
        <v>0</v>
      </c>
      <c r="S17" s="86">
        <v>16</v>
      </c>
      <c r="T17" s="85">
        <v>140</v>
      </c>
      <c r="U17" s="85">
        <f t="shared" si="0"/>
        <v>209.48776307283237</v>
      </c>
      <c r="V17" s="85">
        <f>(U17-U16)*INDEX([3]非r将兵属性验证!$V$7:$V$166,T17,1)+V16</f>
        <v>84986041651.277008</v>
      </c>
      <c r="W17" s="87">
        <f>IFERROR(求节点(付费投放!$Q$5:$Q$20,付费投放!$S$5:$S$20,T17),0)</f>
        <v>2475256.119960472</v>
      </c>
    </row>
    <row r="18" spans="3:23" x14ac:dyDescent="0.15">
      <c r="C18" s="66">
        <v>14</v>
      </c>
      <c r="D18" s="60">
        <f>基础信息!D23</f>
        <v>72</v>
      </c>
      <c r="E18" s="61">
        <f>基础信息!E23</f>
        <v>14808.205062920617</v>
      </c>
      <c r="F18" s="61">
        <f>基础信息!F23</f>
        <v>138.53345528648683</v>
      </c>
      <c r="G18" s="65">
        <f>SUM(门客升级!U18:Y18)+SUM(门客进修!Z18:AD18)</f>
        <v>206.97600000000003</v>
      </c>
      <c r="J18" s="108">
        <v>14</v>
      </c>
      <c r="K18" s="108">
        <f t="shared" si="1"/>
        <v>0</v>
      </c>
      <c r="L18" s="108">
        <f t="shared" si="2"/>
        <v>0</v>
      </c>
      <c r="M18" s="108">
        <f t="shared" si="3"/>
        <v>0</v>
      </c>
      <c r="N18" s="108">
        <f t="shared" si="4"/>
        <v>0</v>
      </c>
      <c r="O18" s="108">
        <f t="shared" si="5"/>
        <v>0</v>
      </c>
      <c r="S18" s="86">
        <v>17</v>
      </c>
      <c r="T18" s="85">
        <v>150</v>
      </c>
      <c r="U18" s="85">
        <f t="shared" si="0"/>
        <v>234.43533005670378</v>
      </c>
      <c r="V18" s="85">
        <f>(U18-U17)*INDEX([3]非r将兵属性验证!$V$7:$V$166,T18,1)+V17</f>
        <v>124732772019.7356</v>
      </c>
      <c r="W18" s="87">
        <f>IFERROR(求节点(付费投放!$Q$5:$Q$20,付费投放!$S$5:$S$20,T18),0)</f>
        <v>4673710.9457047451</v>
      </c>
    </row>
    <row r="19" spans="3:23" x14ac:dyDescent="0.15">
      <c r="C19" s="66">
        <v>15</v>
      </c>
      <c r="D19" s="60">
        <f>基础信息!D24</f>
        <v>77</v>
      </c>
      <c r="E19" s="61">
        <f>基础信息!E24</f>
        <v>30698.011006346387</v>
      </c>
      <c r="F19" s="61">
        <f>基础信息!F24</f>
        <v>149.05713970651243</v>
      </c>
      <c r="G19" s="65">
        <f>SUM(门客升级!U19:Y19)+SUM(门客进修!Z19:AD19)</f>
        <v>225</v>
      </c>
      <c r="J19" s="108">
        <v>15</v>
      </c>
      <c r="K19" s="108">
        <f t="shared" si="1"/>
        <v>0</v>
      </c>
      <c r="L19" s="108">
        <f t="shared" si="2"/>
        <v>0</v>
      </c>
      <c r="M19" s="108">
        <f t="shared" si="3"/>
        <v>0</v>
      </c>
      <c r="N19" s="108">
        <f t="shared" si="4"/>
        <v>0</v>
      </c>
      <c r="O19" s="108">
        <f t="shared" si="5"/>
        <v>1.6348735104862344</v>
      </c>
      <c r="S19" s="86">
        <v>18</v>
      </c>
      <c r="T19" s="85">
        <v>160</v>
      </c>
      <c r="U19" s="85">
        <f t="shared" si="0"/>
        <v>296.61547838060807</v>
      </c>
      <c r="V19" s="85">
        <f>(U19-U18)*INDEX([3]非r将兵属性验证!$V$7:$V$166,T19,1)+V18</f>
        <v>238938410329.27557</v>
      </c>
      <c r="W19" s="87">
        <f>IFERROR(求节点(付费投放!$Q$5:$Q$20,付费投放!$S$5:$S$20,T19),0)</f>
        <v>6790582.6801530719</v>
      </c>
    </row>
    <row r="20" spans="3:23" x14ac:dyDescent="0.15">
      <c r="C20" s="66">
        <v>16</v>
      </c>
      <c r="D20" s="60">
        <f>基础信息!D25</f>
        <v>80</v>
      </c>
      <c r="E20" s="61">
        <f>基础信息!E25</f>
        <v>47512.875</v>
      </c>
      <c r="F20" s="61">
        <f>基础信息!F25</f>
        <v>155.35264798579232</v>
      </c>
      <c r="G20" s="65">
        <f>SUM(门客升级!U20:Y20)+SUM(门客进修!Z20:AD20)</f>
        <v>288</v>
      </c>
      <c r="J20" s="108">
        <v>16</v>
      </c>
      <c r="K20" s="108">
        <f t="shared" si="1"/>
        <v>0</v>
      </c>
      <c r="L20" s="108">
        <f t="shared" si="2"/>
        <v>0</v>
      </c>
      <c r="M20" s="108">
        <f t="shared" si="3"/>
        <v>0</v>
      </c>
      <c r="N20" s="108">
        <f t="shared" si="4"/>
        <v>1.6547409960072847</v>
      </c>
      <c r="O20" s="108">
        <f t="shared" si="5"/>
        <v>1.944152422553256</v>
      </c>
      <c r="S20" s="86">
        <v>19</v>
      </c>
    </row>
    <row r="21" spans="3:23" x14ac:dyDescent="0.15">
      <c r="C21" s="66"/>
      <c r="D21" s="66"/>
      <c r="E21" s="65"/>
      <c r="F21" s="65"/>
      <c r="J21" s="108">
        <v>17</v>
      </c>
      <c r="K21" s="108">
        <f t="shared" si="1"/>
        <v>0</v>
      </c>
      <c r="L21" s="108">
        <f t="shared" si="2"/>
        <v>0</v>
      </c>
      <c r="M21" s="108">
        <f t="shared" si="3"/>
        <v>1.3365562107297493</v>
      </c>
      <c r="N21" s="108">
        <f t="shared" si="4"/>
        <v>1.9505887683174781</v>
      </c>
      <c r="O21" s="108">
        <f t="shared" si="5"/>
        <v>2.2534313346202772</v>
      </c>
      <c r="S21" s="86">
        <v>20</v>
      </c>
    </row>
    <row r="22" spans="3:23" x14ac:dyDescent="0.15">
      <c r="C22" s="66"/>
      <c r="D22" s="66"/>
      <c r="E22" s="65"/>
      <c r="F22" s="65"/>
      <c r="J22" s="108">
        <v>18</v>
      </c>
      <c r="K22" s="108">
        <f t="shared" si="1"/>
        <v>0</v>
      </c>
      <c r="L22" s="108">
        <f t="shared" si="2"/>
        <v>0.97158876664814375</v>
      </c>
      <c r="M22" s="108">
        <f t="shared" si="3"/>
        <v>1.6424627953438484</v>
      </c>
      <c r="N22" s="108">
        <f t="shared" si="4"/>
        <v>2.2464365406276716</v>
      </c>
      <c r="O22" s="108">
        <f t="shared" si="5"/>
        <v>2.5627102466872991</v>
      </c>
      <c r="S22" s="86">
        <v>21</v>
      </c>
    </row>
    <row r="23" spans="3:23" x14ac:dyDescent="0.15">
      <c r="C23" s="66" t="s">
        <v>1</v>
      </c>
      <c r="D23" s="66"/>
      <c r="E23" s="65"/>
      <c r="F23" s="65"/>
      <c r="J23" s="108">
        <v>19</v>
      </c>
      <c r="K23" s="108">
        <f t="shared" si="1"/>
        <v>1.0031024692311707</v>
      </c>
      <c r="L23" s="108">
        <f t="shared" si="2"/>
        <v>1.152793232148497</v>
      </c>
      <c r="M23" s="108">
        <f t="shared" si="3"/>
        <v>1.9483693799579473</v>
      </c>
      <c r="N23" s="108">
        <f t="shared" si="4"/>
        <v>2.5422843129378649</v>
      </c>
      <c r="O23" s="108">
        <f t="shared" si="5"/>
        <v>2.8719891587543205</v>
      </c>
      <c r="S23" s="86">
        <v>22</v>
      </c>
    </row>
    <row r="24" spans="3:23" x14ac:dyDescent="0.15">
      <c r="C24" s="66" t="s">
        <v>21</v>
      </c>
      <c r="D24" s="66" t="s">
        <v>121</v>
      </c>
      <c r="E24" s="65" t="s">
        <v>122</v>
      </c>
      <c r="F24" s="65" t="s">
        <v>103</v>
      </c>
      <c r="G24" s="66" t="s">
        <v>160</v>
      </c>
      <c r="J24" s="108">
        <v>20</v>
      </c>
      <c r="K24" s="108">
        <f t="shared" si="1"/>
        <v>1.1794541081631675</v>
      </c>
      <c r="L24" s="108">
        <f t="shared" si="2"/>
        <v>1.3339976976488501</v>
      </c>
      <c r="M24" s="108">
        <f t="shared" si="3"/>
        <v>2.2542759645720465</v>
      </c>
      <c r="N24" s="108">
        <f t="shared" si="4"/>
        <v>2.8381320852480592</v>
      </c>
      <c r="O24" s="108">
        <f t="shared" si="5"/>
        <v>3.1812680708213414</v>
      </c>
      <c r="S24" s="86">
        <v>23</v>
      </c>
    </row>
    <row r="25" spans="3:23" x14ac:dyDescent="0.15">
      <c r="C25" s="66">
        <v>1</v>
      </c>
      <c r="D25" s="60">
        <f>基础信息!D30</f>
        <v>16</v>
      </c>
      <c r="E25" s="61">
        <f>基础信息!E30</f>
        <v>2.0310175363141174</v>
      </c>
      <c r="F25" s="61">
        <f>基础信息!F30</f>
        <v>17.420973982667814</v>
      </c>
      <c r="G25" s="65">
        <f>SUM(门客升级!U25:Y25)+SUM(门客进修!Z25:AD25)</f>
        <v>2.6</v>
      </c>
      <c r="J25" s="108">
        <v>21</v>
      </c>
      <c r="K25" s="108">
        <f t="shared" si="1"/>
        <v>1.3558057470951645</v>
      </c>
      <c r="L25" s="108">
        <f t="shared" si="2"/>
        <v>1.5152021631492036</v>
      </c>
      <c r="M25" s="108">
        <f t="shared" si="3"/>
        <v>2.5601825491861461</v>
      </c>
      <c r="N25" s="108">
        <f t="shared" si="4"/>
        <v>3.133979857558252</v>
      </c>
      <c r="O25" s="108">
        <f t="shared" si="5"/>
        <v>3.4986695862806001</v>
      </c>
      <c r="S25" s="86">
        <v>24</v>
      </c>
    </row>
    <row r="26" spans="3:23" x14ac:dyDescent="0.15">
      <c r="C26" s="66">
        <v>2</v>
      </c>
      <c r="D26" s="60">
        <f>基础信息!D31</f>
        <v>19.5</v>
      </c>
      <c r="E26" s="61">
        <f>基础信息!E31</f>
        <v>3.8583180257323662</v>
      </c>
      <c r="F26" s="61">
        <f>基础信息!F31</f>
        <v>24.411235857114818</v>
      </c>
      <c r="G26" s="65">
        <f>SUM(门客升级!U26:Y26)+SUM(门客进修!Z26:AD26)</f>
        <v>6.4</v>
      </c>
      <c r="J26" s="108">
        <v>22</v>
      </c>
      <c r="K26" s="108">
        <f t="shared" si="1"/>
        <v>1.5321573860271613</v>
      </c>
      <c r="L26" s="108">
        <f t="shared" si="2"/>
        <v>1.6964066286495569</v>
      </c>
      <c r="M26" s="108">
        <f t="shared" si="3"/>
        <v>2.8660891338002448</v>
      </c>
      <c r="N26" s="108">
        <f t="shared" si="4"/>
        <v>3.4298276298684462</v>
      </c>
      <c r="O26" s="108">
        <f t="shared" si="5"/>
        <v>3.9131460140329573</v>
      </c>
      <c r="S26" s="86">
        <v>25</v>
      </c>
    </row>
    <row r="27" spans="3:23" x14ac:dyDescent="0.15">
      <c r="C27" s="66">
        <v>3</v>
      </c>
      <c r="D27" s="60">
        <f>基础信息!D32</f>
        <v>23.5</v>
      </c>
      <c r="E27" s="61">
        <f>基础信息!E32</f>
        <v>7.7240111017275384</v>
      </c>
      <c r="F27" s="61">
        <f>基础信息!F32</f>
        <v>33.019343244153319</v>
      </c>
      <c r="G27" s="65">
        <f>SUM(门客升级!U27:Y27)+SUM(门客进修!Z27:AD27)</f>
        <v>12.899999999999999</v>
      </c>
      <c r="J27" s="108">
        <v>23</v>
      </c>
      <c r="K27" s="108">
        <f t="shared" si="1"/>
        <v>1.7085090249591584</v>
      </c>
      <c r="L27" s="108">
        <f t="shared" si="2"/>
        <v>1.87761109414991</v>
      </c>
      <c r="M27" s="108">
        <f t="shared" si="3"/>
        <v>3.1719957184143439</v>
      </c>
      <c r="N27" s="108">
        <f t="shared" si="4"/>
        <v>3.8199431243320903</v>
      </c>
      <c r="O27" s="108">
        <f t="shared" si="5"/>
        <v>4.3276224417853149</v>
      </c>
      <c r="S27" s="86">
        <v>26</v>
      </c>
    </row>
    <row r="28" spans="3:23" x14ac:dyDescent="0.15">
      <c r="C28" s="66">
        <v>4</v>
      </c>
      <c r="D28" s="60">
        <f>基础信息!D33</f>
        <v>27.5</v>
      </c>
      <c r="E28" s="61">
        <f>基础信息!E33</f>
        <v>15.096178510388308</v>
      </c>
      <c r="F28" s="61">
        <f>基础信息!F33</f>
        <v>41.92278306907852</v>
      </c>
      <c r="G28" s="65">
        <f>SUM(门客升级!U28:Y28)+SUM(门客进修!Z28:AD28)</f>
        <v>23.6</v>
      </c>
      <c r="J28" s="108">
        <v>24</v>
      </c>
      <c r="K28" s="108">
        <f t="shared" si="1"/>
        <v>1.8848606638911551</v>
      </c>
      <c r="L28" s="108">
        <f t="shared" si="2"/>
        <v>2.0588155596502635</v>
      </c>
      <c r="M28" s="108">
        <f t="shared" si="3"/>
        <v>3.4741731548095331</v>
      </c>
      <c r="N28" s="108">
        <f t="shared" si="4"/>
        <v>4.2234663985697685</v>
      </c>
      <c r="O28" s="108">
        <f t="shared" si="5"/>
        <v>4.7420988695376716</v>
      </c>
      <c r="S28" s="86">
        <v>27</v>
      </c>
    </row>
    <row r="29" spans="3:23" x14ac:dyDescent="0.15">
      <c r="C29" s="66">
        <v>5</v>
      </c>
      <c r="D29" s="60">
        <f>基础信息!D34</f>
        <v>31.5</v>
      </c>
      <c r="E29" s="61">
        <f>基础信息!E34</f>
        <v>29.031391010864539</v>
      </c>
      <c r="F29" s="61">
        <f>基础信息!F34</f>
        <v>51.047922371312225</v>
      </c>
      <c r="G29" s="65">
        <f>SUM(门客升级!U29:Y29)+SUM(门客进修!Z29:AD29)</f>
        <v>36.75</v>
      </c>
      <c r="J29" s="108">
        <v>25</v>
      </c>
      <c r="K29" s="108">
        <f t="shared" si="1"/>
        <v>2.0612123028231522</v>
      </c>
      <c r="L29" s="108">
        <f t="shared" si="2"/>
        <v>2.2815256810308875</v>
      </c>
      <c r="M29" s="108">
        <f t="shared" si="3"/>
        <v>3.7745032778670891</v>
      </c>
      <c r="N29" s="108">
        <f t="shared" si="4"/>
        <v>4.6269896728074462</v>
      </c>
      <c r="O29" s="108">
        <f t="shared" si="5"/>
        <v>5.1565752972900292</v>
      </c>
      <c r="S29" s="86">
        <v>28</v>
      </c>
    </row>
    <row r="30" spans="3:23" x14ac:dyDescent="0.15">
      <c r="C30" s="66">
        <v>6</v>
      </c>
      <c r="D30" s="60">
        <f>基础信息!D35</f>
        <v>35.5</v>
      </c>
      <c r="E30" s="61">
        <f>基础信息!E35</f>
        <v>54.898744666803331</v>
      </c>
      <c r="F30" s="61">
        <f>基础信息!F35</f>
        <v>60.077170204921828</v>
      </c>
      <c r="G30" s="65">
        <f>SUM(门客升级!U30:Y30)+SUM(门客进修!Z30:AD30)</f>
        <v>52.019999999999996</v>
      </c>
      <c r="J30" s="108">
        <v>26</v>
      </c>
      <c r="K30" s="108">
        <f t="shared" si="1"/>
        <v>2.2462781489354664</v>
      </c>
      <c r="L30" s="108">
        <f t="shared" si="2"/>
        <v>2.5332263823870398</v>
      </c>
      <c r="M30" s="108">
        <f t="shared" si="3"/>
        <v>4.0748334009246454</v>
      </c>
      <c r="N30" s="108">
        <f t="shared" si="4"/>
        <v>5.030512947045124</v>
      </c>
      <c r="O30" s="108">
        <f t="shared" si="5"/>
        <v>5.5710517250423877</v>
      </c>
      <c r="S30" s="86">
        <v>29</v>
      </c>
    </row>
    <row r="31" spans="3:23" x14ac:dyDescent="0.15">
      <c r="C31" s="66">
        <v>7</v>
      </c>
      <c r="D31" s="60">
        <f>基础信息!D36</f>
        <v>39.5</v>
      </c>
      <c r="E31" s="61">
        <f>基础信息!E36</f>
        <v>99.697076394392013</v>
      </c>
      <c r="F31" s="61">
        <f>基础信息!F36</f>
        <v>68.578677703814634</v>
      </c>
      <c r="G31" s="65">
        <f>SUM(门客升级!U31:Y31)+SUM(门客进修!Z31:AD31)</f>
        <v>70.139999999999986</v>
      </c>
      <c r="J31" s="108">
        <v>27</v>
      </c>
      <c r="K31" s="108">
        <f t="shared" si="1"/>
        <v>2.4373736787600775</v>
      </c>
      <c r="L31" s="108">
        <f t="shared" si="2"/>
        <v>2.7849270837431921</v>
      </c>
      <c r="M31" s="108">
        <f t="shared" si="3"/>
        <v>4.3751635239822013</v>
      </c>
      <c r="N31" s="108">
        <f t="shared" si="4"/>
        <v>5.4340362212828017</v>
      </c>
      <c r="O31" s="108">
        <f t="shared" si="5"/>
        <v>5.9855281527947453</v>
      </c>
      <c r="S31" s="86">
        <v>30</v>
      </c>
    </row>
    <row r="32" spans="3:23" x14ac:dyDescent="0.15">
      <c r="C32" s="66">
        <v>8</v>
      </c>
      <c r="D32" s="60">
        <f>基础信息!D37</f>
        <v>43.5</v>
      </c>
      <c r="E32" s="61">
        <f>基础信息!E37</f>
        <v>180.54643493461919</v>
      </c>
      <c r="F32" s="61">
        <f>基础信息!F37</f>
        <v>77.110082613456697</v>
      </c>
      <c r="G32" s="65">
        <f>SUM(门客升级!U32:Y32)+SUM(门客进修!Z32:AD32)</f>
        <v>85.92</v>
      </c>
      <c r="J32" s="108">
        <v>28</v>
      </c>
      <c r="K32" s="108">
        <f t="shared" si="1"/>
        <v>2.6284692085846886</v>
      </c>
      <c r="L32" s="108">
        <f t="shared" si="2"/>
        <v>3.0366277850993444</v>
      </c>
      <c r="M32" s="108">
        <f t="shared" si="3"/>
        <v>4.6754936470397572</v>
      </c>
      <c r="N32" s="108">
        <f t="shared" si="4"/>
        <v>5.8375594955204795</v>
      </c>
      <c r="O32" s="108">
        <f t="shared" si="5"/>
        <v>6.400004580547102</v>
      </c>
      <c r="S32" s="86">
        <v>31</v>
      </c>
    </row>
    <row r="33" spans="3:23" x14ac:dyDescent="0.15">
      <c r="C33" s="66">
        <v>9</v>
      </c>
      <c r="D33" s="60">
        <f>基础信息!D38</f>
        <v>47.5</v>
      </c>
      <c r="E33" s="61">
        <f>基础信息!E38</f>
        <v>326.26831861477285</v>
      </c>
      <c r="F33" s="61">
        <f>基础信息!F38</f>
        <v>85.652928267499789</v>
      </c>
      <c r="G33" s="65">
        <f>SUM(门客升级!U33:Y33)+SUM(门客进修!Z33:AD33)</f>
        <v>102.60000000000001</v>
      </c>
      <c r="J33" s="108">
        <v>29</v>
      </c>
      <c r="K33" s="108">
        <f t="shared" si="1"/>
        <v>2.8195647384092997</v>
      </c>
      <c r="L33" s="108">
        <f t="shared" si="2"/>
        <v>3.2883284864554967</v>
      </c>
      <c r="M33" s="108">
        <f t="shared" si="3"/>
        <v>4.9758237700973131</v>
      </c>
      <c r="N33" s="108">
        <f t="shared" si="4"/>
        <v>6.2410827697581572</v>
      </c>
      <c r="O33" s="108">
        <f t="shared" si="5"/>
        <v>6.8177157978228529</v>
      </c>
      <c r="S33" s="86">
        <v>32</v>
      </c>
    </row>
    <row r="34" spans="3:23" x14ac:dyDescent="0.15">
      <c r="C34" s="66">
        <v>10</v>
      </c>
      <c r="D34" s="60">
        <f>基础信息!D39</f>
        <v>52</v>
      </c>
      <c r="E34" s="61">
        <f>基础信息!E39</f>
        <v>631.88241509551563</v>
      </c>
      <c r="F34" s="61">
        <f>基础信息!F39</f>
        <v>95.320056465518832</v>
      </c>
      <c r="G34" s="65">
        <f>SUM(门客升级!U34:Y34)+SUM(门客进修!Z34:AD34)</f>
        <v>135.6</v>
      </c>
      <c r="J34" s="108">
        <v>30</v>
      </c>
      <c r="K34" s="108">
        <f t="shared" si="1"/>
        <v>3.0106602682339108</v>
      </c>
      <c r="L34" s="108">
        <f t="shared" si="2"/>
        <v>3.540029187811649</v>
      </c>
      <c r="M34" s="108">
        <f t="shared" si="3"/>
        <v>5.276153893154869</v>
      </c>
      <c r="N34" s="108">
        <f t="shared" si="4"/>
        <v>6.644606043995835</v>
      </c>
      <c r="O34" s="108">
        <f t="shared" si="5"/>
        <v>7.3247785965281871</v>
      </c>
      <c r="S34" s="86">
        <v>33</v>
      </c>
    </row>
    <row r="35" spans="3:23" x14ac:dyDescent="0.15">
      <c r="C35" s="66">
        <v>11</v>
      </c>
      <c r="D35" s="60">
        <f>基础信息!D40</f>
        <v>57</v>
      </c>
      <c r="E35" s="61">
        <f>基础信息!E40</f>
        <v>1318.2598742162893</v>
      </c>
      <c r="F35" s="61">
        <f>基础信息!F40</f>
        <v>105.93060744042049</v>
      </c>
      <c r="G35" s="65">
        <f>SUM(门客升级!U35:Y35)+SUM(门客进修!Z35:AD35)</f>
        <v>161.04</v>
      </c>
      <c r="J35" s="108">
        <v>31</v>
      </c>
      <c r="K35" s="108">
        <f t="shared" si="1"/>
        <v>3.2017557980585214</v>
      </c>
      <c r="L35" s="108">
        <f t="shared" si="2"/>
        <v>3.7917298891678008</v>
      </c>
      <c r="M35" s="108">
        <f t="shared" si="3"/>
        <v>5.576484016212425</v>
      </c>
      <c r="N35" s="108">
        <f t="shared" si="4"/>
        <v>7.1062100173448579</v>
      </c>
      <c r="O35" s="108">
        <f t="shared" si="5"/>
        <v>7.8318413952335222</v>
      </c>
      <c r="S35" s="86">
        <v>34</v>
      </c>
    </row>
    <row r="36" spans="3:23" x14ac:dyDescent="0.15">
      <c r="C36" s="66">
        <v>12</v>
      </c>
      <c r="D36" s="60">
        <f>基础信息!D41</f>
        <v>62</v>
      </c>
      <c r="E36" s="61">
        <f>基础信息!E41</f>
        <v>2745.081836483092</v>
      </c>
      <c r="F36" s="61">
        <f>基础信息!F41</f>
        <v>116.57008716694446</v>
      </c>
      <c r="G36" s="65">
        <f>SUM(门客升级!U36:Y36)+SUM(门客进修!Z36:AD36)</f>
        <v>182.88</v>
      </c>
      <c r="J36" s="108">
        <v>32</v>
      </c>
      <c r="K36" s="108">
        <f t="shared" si="1"/>
        <v>3.3928513278831325</v>
      </c>
      <c r="L36" s="108">
        <f t="shared" si="2"/>
        <v>4.0434305905239531</v>
      </c>
      <c r="M36" s="108">
        <f t="shared" si="3"/>
        <v>5.9030865918624551</v>
      </c>
      <c r="N36" s="108">
        <f t="shared" si="4"/>
        <v>7.6041877238208393</v>
      </c>
      <c r="O36" s="108">
        <f t="shared" si="5"/>
        <v>8.3389041939388573</v>
      </c>
      <c r="S36" s="86">
        <v>35</v>
      </c>
    </row>
    <row r="37" spans="3:23" x14ac:dyDescent="0.15">
      <c r="C37" s="66">
        <v>13</v>
      </c>
      <c r="D37" s="60">
        <f>基础信息!D42</f>
        <v>67</v>
      </c>
      <c r="E37" s="61">
        <f>基础信息!E42</f>
        <v>5706.8398490672153</v>
      </c>
      <c r="F37" s="61">
        <f>基础信息!F42</f>
        <v>127.12838978012395</v>
      </c>
      <c r="G37" s="65">
        <f>SUM(门客升级!U37:Y37)+SUM(门客进修!Z37:AD37)</f>
        <v>199.67999999999998</v>
      </c>
      <c r="J37" s="108">
        <v>33</v>
      </c>
      <c r="K37" s="108">
        <f t="shared" si="1"/>
        <v>3.5839468577077436</v>
      </c>
      <c r="L37" s="108">
        <f t="shared" si="2"/>
        <v>4.2951312918801063</v>
      </c>
      <c r="M37" s="108">
        <f t="shared" si="3"/>
        <v>6.3061375029820796</v>
      </c>
      <c r="N37" s="108">
        <f t="shared" si="4"/>
        <v>8.1021654302968198</v>
      </c>
      <c r="O37" s="108">
        <f t="shared" si="5"/>
        <v>8.8459669926441915</v>
      </c>
      <c r="S37" s="86">
        <v>36</v>
      </c>
    </row>
    <row r="38" spans="3:23" x14ac:dyDescent="0.15">
      <c r="C38" s="66">
        <v>14</v>
      </c>
      <c r="D38" s="60">
        <f>基础信息!D43</f>
        <v>72</v>
      </c>
      <c r="E38" s="61">
        <f>基础信息!E43</f>
        <v>11846.564050336494</v>
      </c>
      <c r="F38" s="61">
        <f>基础信息!F43</f>
        <v>137.70627422196659</v>
      </c>
      <c r="G38" s="65">
        <f>SUM(门客升级!U38:Y38)+SUM(门客进修!Z38:AD38)</f>
        <v>210</v>
      </c>
      <c r="J38" s="108">
        <v>34</v>
      </c>
      <c r="K38" s="108">
        <f t="shared" si="1"/>
        <v>3.7750423875323542</v>
      </c>
      <c r="L38" s="108">
        <f t="shared" si="2"/>
        <v>4.6928454430306896</v>
      </c>
      <c r="M38" s="108">
        <f t="shared" si="3"/>
        <v>6.7091884141017033</v>
      </c>
      <c r="N38" s="108">
        <f t="shared" si="4"/>
        <v>8.6001431367728021</v>
      </c>
      <c r="O38" s="108">
        <f t="shared" si="5"/>
        <v>9.3530297913495257</v>
      </c>
      <c r="S38" s="86">
        <v>37</v>
      </c>
    </row>
    <row r="39" spans="3:23" x14ac:dyDescent="0.15">
      <c r="C39" s="66">
        <v>15</v>
      </c>
      <c r="D39" s="60">
        <f>基础信息!D44</f>
        <v>77</v>
      </c>
      <c r="E39" s="61">
        <f>基础信息!E44</f>
        <v>24558.40880507711</v>
      </c>
      <c r="F39" s="61">
        <f>基础信息!F44</f>
        <v>148.27357279823164</v>
      </c>
      <c r="G39" s="65">
        <f>SUM(门客升级!U39:Y39)+SUM(门客进修!Z39:AD39)</f>
        <v>270</v>
      </c>
      <c r="J39" s="108">
        <v>35</v>
      </c>
      <c r="K39" s="108">
        <f t="shared" si="1"/>
        <v>4.0643036895228102</v>
      </c>
      <c r="L39" s="108">
        <f t="shared" si="2"/>
        <v>5.0934396781578561</v>
      </c>
      <c r="M39" s="108">
        <f t="shared" si="3"/>
        <v>7.1122393252213278</v>
      </c>
      <c r="N39" s="108">
        <f t="shared" si="4"/>
        <v>9.0981208432487843</v>
      </c>
      <c r="O39" s="108">
        <f t="shared" si="5"/>
        <v>9.8600925900548599</v>
      </c>
      <c r="S39" s="86">
        <v>38</v>
      </c>
    </row>
    <row r="40" spans="3:23" x14ac:dyDescent="0.15">
      <c r="C40" s="66">
        <v>16</v>
      </c>
      <c r="D40" s="60">
        <f>基础信息!D45</f>
        <v>80</v>
      </c>
      <c r="E40" s="61">
        <f>基础信息!E45</f>
        <v>38010.300000000003</v>
      </c>
      <c r="F40" s="61">
        <f>基础信息!F45</f>
        <v>154.14666602127767</v>
      </c>
      <c r="G40" s="65">
        <f>SUM(门客升级!U40:Y40)+SUM(门客进修!Z40:AD40)</f>
        <v>336</v>
      </c>
      <c r="J40" s="108">
        <v>36</v>
      </c>
      <c r="K40" s="108">
        <f t="shared" si="1"/>
        <v>4.3683116751016877</v>
      </c>
      <c r="L40" s="108">
        <f t="shared" si="2"/>
        <v>5.4940339132850227</v>
      </c>
      <c r="M40" s="108">
        <f t="shared" si="3"/>
        <v>7.5152902363409515</v>
      </c>
      <c r="N40" s="108">
        <f t="shared" si="4"/>
        <v>9.5960985497247648</v>
      </c>
      <c r="O40" s="108">
        <f t="shared" si="5"/>
        <v>10.367155388760196</v>
      </c>
      <c r="S40" s="86">
        <v>39</v>
      </c>
    </row>
    <row r="41" spans="3:23" x14ac:dyDescent="0.15">
      <c r="C41" s="66"/>
      <c r="D41" s="66"/>
      <c r="E41" s="65"/>
      <c r="F41" s="65"/>
      <c r="J41" s="108">
        <v>37</v>
      </c>
      <c r="K41" s="108">
        <f t="shared" si="1"/>
        <v>4.6723196606805644</v>
      </c>
      <c r="L41" s="108">
        <f t="shared" si="2"/>
        <v>5.894628148412191</v>
      </c>
      <c r="M41" s="108">
        <f t="shared" si="3"/>
        <v>7.918341147460576</v>
      </c>
      <c r="N41" s="108">
        <f t="shared" si="4"/>
        <v>10.094076256200745</v>
      </c>
      <c r="O41" s="108">
        <f t="shared" si="5"/>
        <v>10.87421818746553</v>
      </c>
      <c r="S41" s="86">
        <v>40</v>
      </c>
    </row>
    <row r="42" spans="3:23" x14ac:dyDescent="0.15">
      <c r="C42" s="66"/>
      <c r="D42" s="66"/>
      <c r="E42" s="65"/>
      <c r="F42" s="65"/>
      <c r="J42" s="108">
        <v>38</v>
      </c>
      <c r="K42" s="108">
        <f t="shared" si="1"/>
        <v>4.976327646259441</v>
      </c>
      <c r="L42" s="108">
        <f t="shared" si="2"/>
        <v>6.2952223835393575</v>
      </c>
      <c r="M42" s="108">
        <f t="shared" si="3"/>
        <v>8.3213920585801997</v>
      </c>
      <c r="N42" s="108">
        <f t="shared" si="4"/>
        <v>10.592053962676728</v>
      </c>
      <c r="O42" s="108">
        <f t="shared" si="5"/>
        <v>11.381166116365042</v>
      </c>
      <c r="S42" s="86">
        <v>41</v>
      </c>
    </row>
    <row r="43" spans="3:23" x14ac:dyDescent="0.15">
      <c r="C43" s="66" t="s">
        <v>2</v>
      </c>
      <c r="D43" s="66"/>
      <c r="E43" s="65"/>
      <c r="F43" s="65"/>
      <c r="J43" s="108">
        <v>39</v>
      </c>
      <c r="K43" s="108">
        <f t="shared" si="1"/>
        <v>5.2803356318383186</v>
      </c>
      <c r="L43" s="108">
        <f t="shared" si="2"/>
        <v>6.695816618666524</v>
      </c>
      <c r="M43" s="108">
        <f t="shared" si="3"/>
        <v>8.7244429696998225</v>
      </c>
      <c r="N43" s="108">
        <f t="shared" si="4"/>
        <v>11.090031669152708</v>
      </c>
      <c r="O43" s="108">
        <f t="shared" si="5"/>
        <v>11.887907611626163</v>
      </c>
      <c r="S43" s="86">
        <v>42</v>
      </c>
    </row>
    <row r="44" spans="3:23" x14ac:dyDescent="0.15">
      <c r="C44" s="66" t="s">
        <v>21</v>
      </c>
      <c r="D44" s="66" t="s">
        <v>121</v>
      </c>
      <c r="E44" s="65" t="s">
        <v>122</v>
      </c>
      <c r="F44" s="65" t="s">
        <v>103</v>
      </c>
      <c r="G44" s="66" t="s">
        <v>160</v>
      </c>
      <c r="J44" s="108">
        <v>40</v>
      </c>
      <c r="K44" s="108">
        <f t="shared" si="1"/>
        <v>5.5843436174171943</v>
      </c>
      <c r="L44" s="108">
        <f t="shared" si="2"/>
        <v>7.0964108537936914</v>
      </c>
      <c r="M44" s="108">
        <f t="shared" si="3"/>
        <v>9.127493880819447</v>
      </c>
      <c r="N44" s="108">
        <f t="shared" si="4"/>
        <v>11.592791944073353</v>
      </c>
      <c r="O44" s="108">
        <f t="shared" si="5"/>
        <v>12.394649106887288</v>
      </c>
      <c r="S44" s="86">
        <v>43</v>
      </c>
    </row>
    <row r="45" spans="3:23" x14ac:dyDescent="0.15">
      <c r="C45" s="66">
        <v>1</v>
      </c>
      <c r="D45" s="60">
        <f>基础信息!D50</f>
        <v>16</v>
      </c>
      <c r="E45" s="61">
        <f>基础信息!E50</f>
        <v>1.5232631522355879</v>
      </c>
      <c r="F45" s="61">
        <f>基础信息!F50</f>
        <v>16.55360159735687</v>
      </c>
      <c r="G45" s="65">
        <f>SUM(门客升级!U45:Y45)+SUM(门客进修!Z45:AD45)</f>
        <v>3.6</v>
      </c>
      <c r="J45" s="108">
        <v>41</v>
      </c>
      <c r="K45" s="108">
        <f t="shared" si="1"/>
        <v>5.8883516029960719</v>
      </c>
      <c r="L45" s="108">
        <f t="shared" si="2"/>
        <v>7.4970050889208579</v>
      </c>
      <c r="M45" s="108">
        <f t="shared" si="3"/>
        <v>9.5436996762225839</v>
      </c>
      <c r="N45" s="108">
        <f t="shared" si="4"/>
        <v>12.096907678686618</v>
      </c>
      <c r="O45" s="108">
        <f t="shared" si="5"/>
        <v>12.90139060214841</v>
      </c>
      <c r="S45" s="86">
        <v>44</v>
      </c>
    </row>
    <row r="46" spans="3:23" x14ac:dyDescent="0.15">
      <c r="C46" s="66">
        <v>2</v>
      </c>
      <c r="D46" s="60">
        <f>基础信息!D51</f>
        <v>19.5</v>
      </c>
      <c r="E46" s="61">
        <f>基础信息!E51</f>
        <v>2.8937385192992746</v>
      </c>
      <c r="F46" s="61">
        <f>基础信息!F51</f>
        <v>23.331269805933818</v>
      </c>
      <c r="G46" s="65">
        <f>SUM(门客升级!U46:Y46)+SUM(门客进修!Z46:AD46)</f>
        <v>9.82</v>
      </c>
      <c r="J46" s="108">
        <v>42</v>
      </c>
      <c r="K46" s="108">
        <f t="shared" si="1"/>
        <v>6.1923595885749485</v>
      </c>
      <c r="L46" s="108">
        <f t="shared" si="2"/>
        <v>7.903758434364172</v>
      </c>
      <c r="M46" s="108">
        <f t="shared" si="3"/>
        <v>9.983601832700769</v>
      </c>
      <c r="N46" s="108">
        <f t="shared" si="4"/>
        <v>12.601023413299879</v>
      </c>
      <c r="O46" s="108">
        <f t="shared" si="5"/>
        <v>13.408132097409533</v>
      </c>
      <c r="S46" s="86">
        <v>45</v>
      </c>
    </row>
    <row r="47" spans="3:23" x14ac:dyDescent="0.15">
      <c r="C47" s="66">
        <v>3</v>
      </c>
      <c r="D47" s="60">
        <f>基础信息!D52</f>
        <v>23.5</v>
      </c>
      <c r="E47" s="61">
        <f>基础信息!E52</f>
        <v>5.793008326295654</v>
      </c>
      <c r="F47" s="61">
        <f>基础信息!F52</f>
        <v>31.744234316265171</v>
      </c>
      <c r="G47" s="65">
        <f>SUM(门客升级!U47:Y47)+SUM(门客进修!Z47:AD47)</f>
        <v>17.399999999999999</v>
      </c>
      <c r="J47" s="108">
        <v>43</v>
      </c>
      <c r="K47" s="108">
        <f t="shared" si="1"/>
        <v>6.4963675741538252</v>
      </c>
      <c r="L47" s="108">
        <f t="shared" si="2"/>
        <v>8.384116398024009</v>
      </c>
      <c r="M47" s="108">
        <f t="shared" si="3"/>
        <v>10.423503989178952</v>
      </c>
      <c r="N47" s="108">
        <f t="shared" si="4"/>
        <v>13.105139147913142</v>
      </c>
      <c r="O47" s="108">
        <f t="shared" si="5"/>
        <v>13.914873592670654</v>
      </c>
      <c r="S47" s="86">
        <v>1</v>
      </c>
      <c r="T47" s="85" t="s">
        <v>1</v>
      </c>
    </row>
    <row r="48" spans="3:23" x14ac:dyDescent="0.15">
      <c r="C48" s="66">
        <v>4</v>
      </c>
      <c r="D48" s="60">
        <f>基础信息!D53</f>
        <v>27.5</v>
      </c>
      <c r="E48" s="61">
        <f>基础信息!E53</f>
        <v>11.322133882791231</v>
      </c>
      <c r="F48" s="61">
        <f>基础信息!F53</f>
        <v>40.643027415884688</v>
      </c>
      <c r="G48" s="65">
        <f>SUM(门客升级!U48:Y48)+SUM(门客进修!Z48:AD48)</f>
        <v>28.160000000000004</v>
      </c>
      <c r="J48" s="108">
        <v>44</v>
      </c>
      <c r="K48" s="108">
        <f t="shared" si="1"/>
        <v>6.9493350784514805</v>
      </c>
      <c r="L48" s="108">
        <f t="shared" si="2"/>
        <v>8.8644743616838468</v>
      </c>
      <c r="M48" s="108">
        <f t="shared" si="3"/>
        <v>10.863406145657137</v>
      </c>
      <c r="N48" s="108">
        <f t="shared" si="4"/>
        <v>13.609254882526407</v>
      </c>
      <c r="O48" s="108">
        <f t="shared" si="5"/>
        <v>14.421615087931778</v>
      </c>
      <c r="S48" s="86">
        <v>2</v>
      </c>
      <c r="T48" s="85" t="s">
        <v>102</v>
      </c>
      <c r="U48" s="85" t="s">
        <v>210</v>
      </c>
      <c r="V48" s="85" t="s">
        <v>208</v>
      </c>
      <c r="W48" s="87" t="s">
        <v>209</v>
      </c>
    </row>
    <row r="49" spans="3:23" x14ac:dyDescent="0.15">
      <c r="C49" s="66">
        <v>5</v>
      </c>
      <c r="D49" s="60">
        <f>基础信息!D54</f>
        <v>31.5</v>
      </c>
      <c r="E49" s="61">
        <f>基础信息!E54</f>
        <v>21.773543258148401</v>
      </c>
      <c r="F49" s="61">
        <f>基础信息!F54</f>
        <v>49.709437467755208</v>
      </c>
      <c r="G49" s="65">
        <f>SUM(门客升级!U49:Y49)+SUM(门客进修!Z49:AD49)</f>
        <v>40.125</v>
      </c>
      <c r="J49" s="108">
        <v>45</v>
      </c>
      <c r="K49" s="108">
        <f t="shared" si="1"/>
        <v>7.4229225490020339</v>
      </c>
      <c r="L49" s="108">
        <f t="shared" si="2"/>
        <v>9.3448323253436829</v>
      </c>
      <c r="M49" s="108">
        <f t="shared" si="3"/>
        <v>11.303308302135322</v>
      </c>
      <c r="N49" s="108">
        <f t="shared" si="4"/>
        <v>14.113370617139671</v>
      </c>
      <c r="O49" s="108">
        <f t="shared" si="5"/>
        <v>14.928356583192901</v>
      </c>
      <c r="S49" s="86">
        <v>3</v>
      </c>
      <c r="T49" s="85">
        <v>10</v>
      </c>
      <c r="U49" s="85">
        <f>IFERROR(求节点($F$25:$F$40,$G$25:$G$40,T49),0)</f>
        <v>0</v>
      </c>
      <c r="V49" s="17">
        <f>U49*INDEX([3]小r将兵属性验证!$V$7:$V$166,T49,1)</f>
        <v>0</v>
      </c>
      <c r="W49" s="87">
        <f>IFERROR(求节点(付费投放!$Q$25:$Q$40,付费投放!$S$25:$S$40,T49),0)</f>
        <v>0</v>
      </c>
    </row>
    <row r="50" spans="3:23" x14ac:dyDescent="0.15">
      <c r="C50" s="66">
        <v>6</v>
      </c>
      <c r="D50" s="60">
        <f>基础信息!D55</f>
        <v>35.5</v>
      </c>
      <c r="E50" s="61">
        <f>基础信息!E55</f>
        <v>41.174058500102497</v>
      </c>
      <c r="F50" s="61">
        <f>基础信息!F55</f>
        <v>58.803150706157098</v>
      </c>
      <c r="G50" s="65">
        <f>SUM(门客升级!U50:Y50)+SUM(门客进修!Z50:AD50)</f>
        <v>53.879999999999995</v>
      </c>
      <c r="J50" s="108">
        <v>46</v>
      </c>
      <c r="K50" s="108">
        <f t="shared" si="1"/>
        <v>7.8965100195525872</v>
      </c>
      <c r="L50" s="108">
        <f t="shared" si="2"/>
        <v>9.8251902890035208</v>
      </c>
      <c r="M50" s="108">
        <f t="shared" si="3"/>
        <v>11.743210458613506</v>
      </c>
      <c r="N50" s="108">
        <f t="shared" si="4"/>
        <v>14.617486351752932</v>
      </c>
      <c r="O50" s="108">
        <f t="shared" si="5"/>
        <v>15.435098078454024</v>
      </c>
      <c r="S50" s="86">
        <v>4</v>
      </c>
      <c r="T50" s="85">
        <v>20</v>
      </c>
      <c r="U50" s="85">
        <f t="shared" ref="U50:U64" si="6">IFERROR(求节点($F$25:$F$40,$G$25:$G$40,T50),0)</f>
        <v>4.0019930929465506</v>
      </c>
      <c r="V50" s="85">
        <f>(U50-U49)*INDEX([3]小r将兵属性验证!$V$7:$V$166,T50,1)+V49</f>
        <v>2400792.5950343669</v>
      </c>
      <c r="W50" s="87">
        <f>IFERROR(求节点(付费投放!$Q$25:$Q$40,付费投放!$S$25:$S$40,T50),0)</f>
        <v>3882.4984197848694</v>
      </c>
    </row>
    <row r="51" spans="3:23" x14ac:dyDescent="0.15">
      <c r="C51" s="66">
        <v>7</v>
      </c>
      <c r="D51" s="60">
        <f>基础信息!D56</f>
        <v>39.5</v>
      </c>
      <c r="E51" s="61">
        <f>基础信息!E56</f>
        <v>74.77280729579401</v>
      </c>
      <c r="F51" s="61">
        <f>基础信息!F56</f>
        <v>67.298489171654538</v>
      </c>
      <c r="G51" s="65">
        <f>SUM(门客升级!U51:Y51)+SUM(门客进修!Z51:AD51)</f>
        <v>70.77</v>
      </c>
      <c r="J51" s="108">
        <v>47</v>
      </c>
      <c r="K51" s="108">
        <f t="shared" si="1"/>
        <v>8.3700974901031415</v>
      </c>
      <c r="L51" s="108">
        <f t="shared" si="2"/>
        <v>10.305548252663359</v>
      </c>
      <c r="M51" s="108">
        <f t="shared" si="3"/>
        <v>12.183112615091693</v>
      </c>
      <c r="N51" s="108">
        <f t="shared" si="4"/>
        <v>15.121602086366195</v>
      </c>
      <c r="O51" s="108">
        <f t="shared" si="5"/>
        <v>15.969727277726257</v>
      </c>
      <c r="S51" s="86">
        <v>5</v>
      </c>
      <c r="T51" s="85">
        <v>30</v>
      </c>
      <c r="U51" s="85">
        <f t="shared" si="6"/>
        <v>10.620087563434947</v>
      </c>
      <c r="V51" s="85">
        <f>(U51-U50)*INDEX([3]小r将兵属性验证!$V$7:$V$166,T51,1)+V50</f>
        <v>13741366.343544671</v>
      </c>
      <c r="W51" s="87">
        <f>IFERROR(求节点(付费投放!$Q$25:$Q$40,付费投放!$S$25:$S$40,T51),0)</f>
        <v>7870.0421164284953</v>
      </c>
    </row>
    <row r="52" spans="3:23" x14ac:dyDescent="0.15">
      <c r="C52" s="66">
        <v>8</v>
      </c>
      <c r="D52" s="60">
        <f>基础信息!D57</f>
        <v>43.5</v>
      </c>
      <c r="E52" s="61">
        <f>基础信息!E57</f>
        <v>135.40982620096435</v>
      </c>
      <c r="F52" s="61">
        <f>基础信息!F57</f>
        <v>75.878784655965617</v>
      </c>
      <c r="G52" s="65">
        <f>SUM(门客升级!U52:Y52)+SUM(门客进修!Z52:AD52)</f>
        <v>86.4</v>
      </c>
      <c r="J52" s="108">
        <v>48</v>
      </c>
      <c r="K52" s="108">
        <f t="shared" si="1"/>
        <v>8.8436849606536949</v>
      </c>
      <c r="L52" s="108">
        <f t="shared" si="2"/>
        <v>10.785906216323196</v>
      </c>
      <c r="M52" s="108">
        <f t="shared" si="3"/>
        <v>12.623014771569876</v>
      </c>
      <c r="N52" s="108">
        <f t="shared" si="4"/>
        <v>15.62571782097946</v>
      </c>
      <c r="O52" s="108">
        <f t="shared" si="5"/>
        <v>16.550133745007042</v>
      </c>
      <c r="S52" s="86">
        <v>6</v>
      </c>
      <c r="T52" s="85">
        <v>40</v>
      </c>
      <c r="U52" s="85">
        <f t="shared" si="6"/>
        <v>21.289232561381073</v>
      </c>
      <c r="V52" s="85">
        <f>(U52-U51)*INDEX([3]小r将兵属性验证!$V$7:$V$166,T52,1)+V51</f>
        <v>72362487.047109097</v>
      </c>
      <c r="W52" s="87">
        <f>IFERROR(求节点(付费投放!$Q$25:$Q$40,付费投放!$S$25:$S$40,T52),0)</f>
        <v>13958.621843956436</v>
      </c>
    </row>
    <row r="53" spans="3:23" x14ac:dyDescent="0.15">
      <c r="C53" s="66">
        <v>9</v>
      </c>
      <c r="D53" s="60">
        <f>基础信息!D58</f>
        <v>47.5</v>
      </c>
      <c r="E53" s="61">
        <f>基础信息!E58</f>
        <v>244.70123896107964</v>
      </c>
      <c r="F53" s="61">
        <f>基础信息!F58</f>
        <v>84.446314672957783</v>
      </c>
      <c r="G53" s="65">
        <f>SUM(门客升级!U53:Y53)+SUM(门客进修!Z53:AD53)</f>
        <v>112.104</v>
      </c>
      <c r="J53" s="108">
        <v>49</v>
      </c>
      <c r="K53" s="108">
        <f t="shared" si="1"/>
        <v>9.3172724312042465</v>
      </c>
      <c r="L53" s="108">
        <f t="shared" si="2"/>
        <v>11.266264179983034</v>
      </c>
      <c r="M53" s="108">
        <f t="shared" si="3"/>
        <v>13.062916928048061</v>
      </c>
      <c r="N53" s="108">
        <f t="shared" si="4"/>
        <v>16.191483289720932</v>
      </c>
      <c r="O53" s="108">
        <f t="shared" si="5"/>
        <v>17.130540212287826</v>
      </c>
      <c r="S53" s="86">
        <v>7</v>
      </c>
      <c r="T53" s="85">
        <v>50</v>
      </c>
      <c r="U53" s="85">
        <f t="shared" si="6"/>
        <v>35.239866430928615</v>
      </c>
      <c r="V53" s="85">
        <f>(U53-U52)*INDEX([3]小r将兵属性验证!$V$7:$V$166,T53,1)+V52</f>
        <v>213160502.48261714</v>
      </c>
      <c r="W53" s="87">
        <f>IFERROR(求节点(付费投放!$Q$25:$Q$40,付费投放!$S$25:$S$40,T53),0)</f>
        <v>24900.091423434591</v>
      </c>
    </row>
    <row r="54" spans="3:23" x14ac:dyDescent="0.15">
      <c r="C54" s="66">
        <v>10</v>
      </c>
      <c r="D54" s="60">
        <f>基础信息!D59</f>
        <v>52</v>
      </c>
      <c r="E54" s="61">
        <f>基础信息!E59</f>
        <v>473.91181132163672</v>
      </c>
      <c r="F54" s="61">
        <f>基础信息!F59</f>
        <v>94.309081972684396</v>
      </c>
      <c r="G54" s="65">
        <f>SUM(门客升级!U54:Y54)+SUM(门客进修!Z54:AD54)</f>
        <v>146.4</v>
      </c>
      <c r="J54" s="108">
        <v>50</v>
      </c>
      <c r="K54" s="108">
        <f t="shared" si="1"/>
        <v>9.7908599017548017</v>
      </c>
      <c r="L54" s="108">
        <f t="shared" si="2"/>
        <v>11.746622143642872</v>
      </c>
      <c r="M54" s="108">
        <f t="shared" si="3"/>
        <v>13.521500024293323</v>
      </c>
      <c r="N54" s="108">
        <f t="shared" si="4"/>
        <v>16.77742065528583</v>
      </c>
      <c r="O54" s="108">
        <f t="shared" si="5"/>
        <v>17.710946679568611</v>
      </c>
      <c r="S54" s="86">
        <v>8</v>
      </c>
      <c r="T54" s="85">
        <v>60</v>
      </c>
      <c r="U54" s="85">
        <f t="shared" si="6"/>
        <v>51.889492005217754</v>
      </c>
      <c r="V54" s="85">
        <f>(U54-U53)*INDEX([3]小r将兵属性验证!$V$7:$V$166,T54,1)+V53</f>
        <v>608761532.2808305</v>
      </c>
      <c r="W54" s="87">
        <f>IFERROR(求节点(付费投放!$Q$25:$Q$40,付费投放!$S$25:$S$40,T54),0)</f>
        <v>47146.616214935464</v>
      </c>
    </row>
    <row r="55" spans="3:23" x14ac:dyDescent="0.15">
      <c r="C55" s="66">
        <v>11</v>
      </c>
      <c r="D55" s="60">
        <f>基础信息!D60</f>
        <v>57</v>
      </c>
      <c r="E55" s="61">
        <f>基础信息!E60</f>
        <v>988.69490566221691</v>
      </c>
      <c r="F55" s="61">
        <f>基础信息!F60</f>
        <v>104.93378702762401</v>
      </c>
      <c r="G55" s="65">
        <f>SUM(门客升级!U55:Y55)+SUM(门客进修!Z55:AD55)</f>
        <v>167.64000000000001</v>
      </c>
      <c r="J55" s="108">
        <v>51</v>
      </c>
      <c r="K55" s="108">
        <f t="shared" si="1"/>
        <v>10.264447372305355</v>
      </c>
      <c r="L55" s="108">
        <f t="shared" si="2"/>
        <v>12.226980107302708</v>
      </c>
      <c r="M55" s="108">
        <f t="shared" si="3"/>
        <v>14.025694502368347</v>
      </c>
      <c r="N55" s="108">
        <f t="shared" si="4"/>
        <v>17.363358020850729</v>
      </c>
      <c r="O55" s="108">
        <f t="shared" si="5"/>
        <v>18.291353146849392</v>
      </c>
      <c r="S55" s="86">
        <v>9</v>
      </c>
      <c r="T55" s="85">
        <v>70</v>
      </c>
      <c r="U55" s="85">
        <f t="shared" si="6"/>
        <v>72.768929944288146</v>
      </c>
      <c r="V55" s="85">
        <f>(U55-U54)*INDEX([3]小r将兵属性验证!$V$7:$V$166,T55,1)+V54</f>
        <v>1864289955.9616346</v>
      </c>
      <c r="W55" s="87">
        <f>IFERROR(求节点(付费投放!$Q$25:$Q$40,付费投放!$S$25:$S$40,T55),0)</f>
        <v>91034.113667496218</v>
      </c>
    </row>
    <row r="56" spans="3:23" x14ac:dyDescent="0.15">
      <c r="C56" s="66">
        <v>12</v>
      </c>
      <c r="D56" s="60">
        <f>基础信息!D61</f>
        <v>62</v>
      </c>
      <c r="E56" s="61">
        <f>基础信息!E61</f>
        <v>2058.8113773623186</v>
      </c>
      <c r="F56" s="61">
        <f>基础信息!F61</f>
        <v>115.63935175516689</v>
      </c>
      <c r="G56" s="65">
        <f>SUM(门客升级!U56:Y56)+SUM(门客进修!Z56:AD56)</f>
        <v>184.32000000000005</v>
      </c>
      <c r="J56" s="108">
        <v>52</v>
      </c>
      <c r="K56" s="108">
        <f t="shared" si="1"/>
        <v>10.738034842855908</v>
      </c>
      <c r="L56" s="108">
        <f t="shared" si="2"/>
        <v>12.786708618405866</v>
      </c>
      <c r="M56" s="108">
        <f t="shared" si="3"/>
        <v>14.529888980443374</v>
      </c>
      <c r="N56" s="108">
        <f t="shared" si="4"/>
        <v>17.949295386415628</v>
      </c>
      <c r="O56" s="108">
        <f t="shared" si="5"/>
        <v>18.87175961413018</v>
      </c>
      <c r="S56" s="86">
        <v>10</v>
      </c>
      <c r="T56" s="85">
        <v>80</v>
      </c>
      <c r="U56" s="85">
        <f t="shared" si="6"/>
        <v>91.56259544882785</v>
      </c>
      <c r="V56" s="85">
        <f>(U56-U55)*INDEX([3]小r将兵属性验证!$V$7:$V$166,T56,1)+V55</f>
        <v>4379380881.7589111</v>
      </c>
      <c r="W56" s="87">
        <f>IFERROR(求节点(付费投放!$Q$25:$Q$40,付费投放!$S$25:$S$40,T56),0)</f>
        <v>163790.76673663617</v>
      </c>
    </row>
    <row r="57" spans="3:23" x14ac:dyDescent="0.15">
      <c r="C57" s="66">
        <v>13</v>
      </c>
      <c r="D57" s="60">
        <f>基础信息!D62</f>
        <v>67</v>
      </c>
      <c r="E57" s="61">
        <f>基础信息!E62</f>
        <v>4280.1298868004114</v>
      </c>
      <c r="F57" s="61">
        <f>基础信息!F62</f>
        <v>126.19151638854794</v>
      </c>
      <c r="G57" s="65">
        <f>SUM(门客升级!U57:Y57)+SUM(门客进修!Z57:AD57)</f>
        <v>195</v>
      </c>
      <c r="J57" s="108">
        <v>53</v>
      </c>
      <c r="K57" s="108">
        <f t="shared" si="1"/>
        <v>11.220543247621251</v>
      </c>
      <c r="L57" s="108">
        <f t="shared" si="2"/>
        <v>13.350432207989206</v>
      </c>
      <c r="M57" s="108">
        <f t="shared" si="3"/>
        <v>15.034083458518401</v>
      </c>
      <c r="N57" s="108">
        <f t="shared" si="4"/>
        <v>18.535232751980526</v>
      </c>
      <c r="O57" s="108">
        <f t="shared" si="5"/>
        <v>19.452166081410962</v>
      </c>
      <c r="S57" s="86">
        <v>11</v>
      </c>
      <c r="T57" s="85">
        <v>90</v>
      </c>
      <c r="U57" s="85">
        <f t="shared" si="6"/>
        <v>117.43929500406367</v>
      </c>
      <c r="V57" s="85">
        <f>(U57-U56)*INDEX([3]小r将兵属性验证!$V$7:$V$166,T57,1)+V56</f>
        <v>11293158165.018494</v>
      </c>
      <c r="W57" s="87">
        <f>IFERROR(求节点(付费投放!$Q$25:$Q$40,付费投放!$S$25:$S$40,T57),0)</f>
        <v>298358.44484719035</v>
      </c>
    </row>
    <row r="58" spans="3:23" x14ac:dyDescent="0.15">
      <c r="C58" s="66">
        <v>14</v>
      </c>
      <c r="D58" s="60">
        <f>基础信息!D63</f>
        <v>72</v>
      </c>
      <c r="E58" s="61">
        <f>基础信息!E63</f>
        <v>8884.9230377523691</v>
      </c>
      <c r="F58" s="61">
        <f>基础信息!F63</f>
        <v>136.8190741194654</v>
      </c>
      <c r="G58" s="65">
        <f>SUM(门客升级!U58:Y58)+SUM(门客进修!Z58:AD58)</f>
        <v>252</v>
      </c>
      <c r="J58" s="108">
        <v>54</v>
      </c>
      <c r="K58" s="108">
        <f t="shared" si="1"/>
        <v>11.705299012497781</v>
      </c>
      <c r="L58" s="108">
        <f t="shared" si="2"/>
        <v>13.914155797572546</v>
      </c>
      <c r="M58" s="108">
        <f t="shared" si="3"/>
        <v>15.538277936593426</v>
      </c>
      <c r="N58" s="108">
        <f t="shared" si="4"/>
        <v>19.121170117545422</v>
      </c>
      <c r="O58" s="108">
        <f t="shared" si="5"/>
        <v>20.032572548691746</v>
      </c>
      <c r="S58" s="86">
        <v>12</v>
      </c>
      <c r="T58" s="85">
        <v>100</v>
      </c>
      <c r="U58" s="85">
        <f t="shared" si="6"/>
        <v>146.82069568289353</v>
      </c>
      <c r="V58" s="85">
        <f>(U58-U57)*INDEX([3]小r将兵属性验证!$V$7:$V$166,T58,1)+V57</f>
        <v>24296097995.44381</v>
      </c>
      <c r="W58" s="87">
        <f>IFERROR(求节点(付费投放!$Q$25:$Q$40,付费投放!$S$25:$S$40,T58),0)</f>
        <v>553466.96445826802</v>
      </c>
    </row>
    <row r="59" spans="3:23" x14ac:dyDescent="0.15">
      <c r="C59" s="66">
        <v>15</v>
      </c>
      <c r="D59" s="60">
        <f>基础信息!D64</f>
        <v>77</v>
      </c>
      <c r="E59" s="61">
        <f>基础信息!E64</f>
        <v>18418.806603807832</v>
      </c>
      <c r="F59" s="61">
        <f>基础信息!F64</f>
        <v>147.45018844840658</v>
      </c>
      <c r="G59" s="65">
        <f>SUM(门客升级!U59:Y59)+SUM(门客进修!Z59:AD59)</f>
        <v>315</v>
      </c>
      <c r="J59" s="108">
        <v>55</v>
      </c>
      <c r="K59" s="108">
        <f t="shared" si="1"/>
        <v>12.190054777374309</v>
      </c>
      <c r="L59" s="108">
        <f t="shared" si="2"/>
        <v>14.477879387155886</v>
      </c>
      <c r="M59" s="108">
        <f t="shared" si="3"/>
        <v>16.042472414668453</v>
      </c>
      <c r="N59" s="108">
        <f t="shared" si="4"/>
        <v>19.70710748311032</v>
      </c>
      <c r="O59" s="108">
        <f t="shared" si="5"/>
        <v>20.612979015972531</v>
      </c>
      <c r="S59" s="86">
        <v>13</v>
      </c>
      <c r="T59" s="85">
        <v>110</v>
      </c>
      <c r="U59" s="85">
        <f t="shared" si="6"/>
        <v>169.39337213714049</v>
      </c>
      <c r="V59" s="85">
        <f>(U59-U58)*INDEX([3]小r将兵属性验证!$V$7:$V$166,T59,1)+V58</f>
        <v>38835291324.74028</v>
      </c>
      <c r="W59" s="87">
        <f>IFERROR(求节点(付费投放!$Q$25:$Q$40,付费投放!$S$25:$S$40,T59),0)</f>
        <v>1034446.3457091928</v>
      </c>
    </row>
    <row r="60" spans="3:23" x14ac:dyDescent="0.15">
      <c r="C60" s="66">
        <v>16</v>
      </c>
      <c r="D60" s="60">
        <f>基础信息!D65</f>
        <v>80</v>
      </c>
      <c r="E60" s="61">
        <f>基础信息!E65</f>
        <v>28507.724999999999</v>
      </c>
      <c r="F60" s="61">
        <f>基础信息!F65</f>
        <v>153.14946182958477</v>
      </c>
      <c r="G60" s="65">
        <f>SUM(门客升级!U60:Y60)+SUM(门客进修!Z60:AD60)</f>
        <v>384</v>
      </c>
      <c r="J60" s="108">
        <v>56</v>
      </c>
      <c r="K60" s="108">
        <f t="shared" si="1"/>
        <v>12.674810542250839</v>
      </c>
      <c r="L60" s="108">
        <f t="shared" si="2"/>
        <v>15.041602976739226</v>
      </c>
      <c r="M60" s="108">
        <f t="shared" si="3"/>
        <v>16.546666892743477</v>
      </c>
      <c r="N60" s="108">
        <f t="shared" si="4"/>
        <v>20.293044848675219</v>
      </c>
      <c r="O60" s="108">
        <f t="shared" si="5"/>
        <v>21.213199299426048</v>
      </c>
      <c r="S60" s="86">
        <v>14</v>
      </c>
      <c r="T60" s="85">
        <v>120</v>
      </c>
      <c r="U60" s="85">
        <f t="shared" si="6"/>
        <v>188.33755674055081</v>
      </c>
      <c r="V60" s="85">
        <f>(U60-U59)*INDEX([3]小r将兵属性验证!$V$7:$V$166,T60,1)+V59</f>
        <v>55963620575.448273</v>
      </c>
      <c r="W60" s="87">
        <f>IFERROR(求节点(付费投放!$Q$25:$Q$40,付费投放!$S$25:$S$40,T60),0)</f>
        <v>1954914.204494318</v>
      </c>
    </row>
    <row r="61" spans="3:23" x14ac:dyDescent="0.15">
      <c r="C61" s="66"/>
      <c r="D61" s="66"/>
      <c r="E61" s="65"/>
      <c r="F61" s="65"/>
      <c r="J61" s="108">
        <v>57</v>
      </c>
      <c r="K61" s="108">
        <f t="shared" si="1"/>
        <v>13.159566307127369</v>
      </c>
      <c r="L61" s="108">
        <f t="shared" si="2"/>
        <v>15.605326566322566</v>
      </c>
      <c r="M61" s="108">
        <f t="shared" si="3"/>
        <v>17.050861370818506</v>
      </c>
      <c r="N61" s="108">
        <f t="shared" si="4"/>
        <v>20.878982214240118</v>
      </c>
      <c r="O61" s="108">
        <f t="shared" si="5"/>
        <v>21.950313422476714</v>
      </c>
      <c r="S61" s="86">
        <v>15</v>
      </c>
      <c r="T61" s="85">
        <v>130</v>
      </c>
      <c r="U61" s="85">
        <f t="shared" si="6"/>
        <v>202.4816015519979</v>
      </c>
      <c r="V61" s="85">
        <f>(U61-U60)*INDEX([3]小r将兵属性验证!$V$7:$V$166,T61,1)+V60</f>
        <v>72383853963.733856</v>
      </c>
      <c r="W61" s="87">
        <f>IFERROR(求节点(付费投放!$Q$25:$Q$40,付费投放!$S$25:$S$40,T61),0)</f>
        <v>3735512.4430407924</v>
      </c>
    </row>
    <row r="62" spans="3:23" x14ac:dyDescent="0.15">
      <c r="C62" s="66"/>
      <c r="D62" s="66"/>
      <c r="E62" s="65"/>
      <c r="F62" s="65"/>
      <c r="J62" s="108">
        <v>58</v>
      </c>
      <c r="K62" s="108">
        <f t="shared" si="1"/>
        <v>13.644322072003897</v>
      </c>
      <c r="L62" s="108">
        <f t="shared" si="2"/>
        <v>16.169050155905904</v>
      </c>
      <c r="M62" s="108">
        <f t="shared" si="3"/>
        <v>17.555055848893531</v>
      </c>
      <c r="N62" s="108">
        <f t="shared" si="4"/>
        <v>21.553279663069933</v>
      </c>
      <c r="O62" s="108">
        <f t="shared" si="5"/>
        <v>22.687427545527385</v>
      </c>
      <c r="S62" s="86">
        <v>16</v>
      </c>
      <c r="T62" s="85">
        <v>140</v>
      </c>
      <c r="U62" s="85">
        <f t="shared" si="6"/>
        <v>223.02353157609431</v>
      </c>
      <c r="V62" s="85">
        <f>(U62-U61)*INDEX([3]小r将兵属性验证!$V$7:$V$166,T62,1)+V61</f>
        <v>102323406499.58188</v>
      </c>
      <c r="W62" s="87">
        <f>IFERROR(求节点(付费投放!$Q$25:$Q$40,付费投放!$S$25:$S$40,T62),0)</f>
        <v>7173023.8257420585</v>
      </c>
    </row>
    <row r="63" spans="3:23" x14ac:dyDescent="0.15">
      <c r="C63" s="66" t="s">
        <v>3</v>
      </c>
      <c r="D63" s="66"/>
      <c r="E63" s="65"/>
      <c r="F63" s="65"/>
      <c r="J63" s="108">
        <v>59</v>
      </c>
      <c r="K63" s="108">
        <f t="shared" si="1"/>
        <v>14.129077836880427</v>
      </c>
      <c r="L63" s="108">
        <f t="shared" si="2"/>
        <v>16.732773745489244</v>
      </c>
      <c r="M63" s="108">
        <f t="shared" si="3"/>
        <v>18.090455252470111</v>
      </c>
      <c r="N63" s="108">
        <f t="shared" si="4"/>
        <v>22.289320059719966</v>
      </c>
      <c r="O63" s="108">
        <f t="shared" si="5"/>
        <v>23.424541668578055</v>
      </c>
      <c r="S63" s="86">
        <v>17</v>
      </c>
      <c r="T63" s="85">
        <v>150</v>
      </c>
      <c r="U63" s="85">
        <f t="shared" si="6"/>
        <v>289.40105341246664</v>
      </c>
      <c r="V63" s="85">
        <f>(U63-U62)*INDEX([3]小r将兵属性验证!$V$7:$V$166,T63,1)+V62</f>
        <v>223946323413.50842</v>
      </c>
      <c r="W63" s="87">
        <f>IFERROR(求节点(付费投放!$Q$25:$Q$40,付费投放!$S$25:$S$40,T63),0)</f>
        <v>13682032.639689306</v>
      </c>
    </row>
    <row r="64" spans="3:23" x14ac:dyDescent="0.15">
      <c r="C64" s="66" t="s">
        <v>21</v>
      </c>
      <c r="D64" s="66" t="s">
        <v>121</v>
      </c>
      <c r="E64" s="65" t="s">
        <v>122</v>
      </c>
      <c r="F64" s="65" t="s">
        <v>103</v>
      </c>
      <c r="G64" s="66" t="s">
        <v>160</v>
      </c>
      <c r="J64" s="108">
        <v>60</v>
      </c>
      <c r="K64" s="108">
        <f t="shared" si="1"/>
        <v>14.613833601756959</v>
      </c>
      <c r="L64" s="108">
        <f t="shared" si="2"/>
        <v>17.296497335072583</v>
      </c>
      <c r="M64" s="108">
        <f t="shared" si="3"/>
        <v>18.75317163779901</v>
      </c>
      <c r="N64" s="108">
        <f t="shared" si="4"/>
        <v>23.025360456369992</v>
      </c>
      <c r="O64" s="108">
        <f t="shared" si="5"/>
        <v>24.161655791628721</v>
      </c>
      <c r="S64" s="86">
        <v>18</v>
      </c>
      <c r="T64" s="85">
        <v>160</v>
      </c>
      <c r="U64" s="85">
        <f t="shared" si="6"/>
        <v>348.75875935311649</v>
      </c>
      <c r="V64" s="85">
        <f>(U64-U63)*INDEX([3]小r将兵属性验证!$V$7:$V$166,T64,1)+V63</f>
        <v>346456760764.69727</v>
      </c>
      <c r="W64" s="87">
        <f>IFERROR(求节点(付费投放!$Q$25:$Q$40,付费投放!$S$25:$S$40,T64),0)</f>
        <v>18774644.448277954</v>
      </c>
    </row>
    <row r="65" spans="3:19" x14ac:dyDescent="0.15">
      <c r="C65" s="66">
        <v>1</v>
      </c>
      <c r="D65" s="60">
        <f>基础信息!D70</f>
        <v>16</v>
      </c>
      <c r="E65" s="61">
        <f>基础信息!E70</f>
        <v>1.0155087681570587</v>
      </c>
      <c r="F65" s="61">
        <f>基础信息!F70</f>
        <v>15.589627930182091</v>
      </c>
      <c r="G65" s="65">
        <f>SUM(门客升级!U65:Y65)+SUM(门客进修!Z65:AD65)</f>
        <v>4.5999999999999996</v>
      </c>
      <c r="J65" s="108">
        <v>61</v>
      </c>
      <c r="K65" s="108">
        <f t="shared" si="1"/>
        <v>15.098589366633488</v>
      </c>
      <c r="L65" s="108">
        <f t="shared" si="2"/>
        <v>17.995635716724127</v>
      </c>
      <c r="M65" s="108">
        <f t="shared" si="3"/>
        <v>19.415888023127906</v>
      </c>
      <c r="N65" s="108">
        <f t="shared" si="4"/>
        <v>23.761400853020021</v>
      </c>
      <c r="O65" s="108">
        <f t="shared" si="5"/>
        <v>24.898769914679388</v>
      </c>
      <c r="S65" s="86">
        <v>19</v>
      </c>
    </row>
    <row r="66" spans="3:19" x14ac:dyDescent="0.15">
      <c r="C66" s="66">
        <v>2</v>
      </c>
      <c r="D66" s="60">
        <f>基础信息!D71</f>
        <v>19.5</v>
      </c>
      <c r="E66" s="61">
        <f>基础信息!E71</f>
        <v>1.9291590128661831</v>
      </c>
      <c r="F66" s="61">
        <f>基础信息!F71</f>
        <v>22.124520244011151</v>
      </c>
      <c r="G66" s="65">
        <f>SUM(门客升级!U66:Y66)+SUM(门客进修!Z66:AD66)</f>
        <v>10.4</v>
      </c>
      <c r="J66" s="108">
        <v>62</v>
      </c>
      <c r="K66" s="108">
        <f t="shared" si="1"/>
        <v>15.773711808415753</v>
      </c>
      <c r="L66" s="108">
        <f t="shared" si="2"/>
        <v>18.706097949544205</v>
      </c>
      <c r="M66" s="108">
        <f t="shared" si="3"/>
        <v>20.078604408456801</v>
      </c>
      <c r="N66" s="108">
        <f t="shared" si="4"/>
        <v>24.497441249670047</v>
      </c>
      <c r="O66" s="108">
        <f t="shared" si="5"/>
        <v>25.635884037730055</v>
      </c>
      <c r="S66" s="86">
        <v>20</v>
      </c>
    </row>
    <row r="67" spans="3:19" x14ac:dyDescent="0.15">
      <c r="C67" s="66">
        <v>3</v>
      </c>
      <c r="D67" s="60">
        <f>基础信息!D72</f>
        <v>23.5</v>
      </c>
      <c r="E67" s="61">
        <f>基础信息!E72</f>
        <v>3.8620055508637692</v>
      </c>
      <c r="F67" s="61">
        <f>基础信息!F72</f>
        <v>30.385092920099169</v>
      </c>
      <c r="G67" s="65">
        <f>SUM(门客升级!U67:Y67)+SUM(门客进修!Z67:AD67)</f>
        <v>20.399999999999999</v>
      </c>
      <c r="J67" s="108">
        <v>63</v>
      </c>
      <c r="K67" s="108">
        <f t="shared" si="1"/>
        <v>16.499194105299985</v>
      </c>
      <c r="L67" s="108">
        <f t="shared" si="2"/>
        <v>19.416560182364279</v>
      </c>
      <c r="M67" s="108">
        <f t="shared" si="3"/>
        <v>20.7413207937857</v>
      </c>
      <c r="N67" s="108">
        <f t="shared" si="4"/>
        <v>25.233481646320076</v>
      </c>
      <c r="O67" s="108">
        <f t="shared" si="5"/>
        <v>26.372998160780725</v>
      </c>
      <c r="S67" s="86">
        <v>21</v>
      </c>
    </row>
    <row r="68" spans="3:19" x14ac:dyDescent="0.15">
      <c r="C68" s="66">
        <v>4</v>
      </c>
      <c r="D68" s="60">
        <f>基础信息!D73</f>
        <v>27.5</v>
      </c>
      <c r="E68" s="61">
        <f>基础信息!E73</f>
        <v>7.5480892551941539</v>
      </c>
      <c r="F68" s="61">
        <f>基础信息!F73</f>
        <v>39.22082982715331</v>
      </c>
      <c r="G68" s="65">
        <f>SUM(门客升级!U68:Y68)+SUM(门客进修!Z68:AD68)</f>
        <v>33.6</v>
      </c>
      <c r="J68" s="108">
        <v>64</v>
      </c>
      <c r="K68" s="108">
        <f t="shared" si="1"/>
        <v>17.224676402184215</v>
      </c>
      <c r="L68" s="108">
        <f t="shared" si="2"/>
        <v>20.127022415184356</v>
      </c>
      <c r="M68" s="108">
        <f t="shared" si="3"/>
        <v>21.404037179114596</v>
      </c>
      <c r="N68" s="108">
        <f t="shared" si="4"/>
        <v>25.969522042970102</v>
      </c>
      <c r="O68" s="108">
        <f t="shared" si="5"/>
        <v>27.110112283831395</v>
      </c>
      <c r="S68" s="86">
        <v>22</v>
      </c>
    </row>
    <row r="69" spans="3:19" x14ac:dyDescent="0.15">
      <c r="C69" s="66">
        <v>5</v>
      </c>
      <c r="D69" s="60">
        <f>基础信息!D74</f>
        <v>31.5</v>
      </c>
      <c r="E69" s="61">
        <f>基础信息!E74</f>
        <v>14.515695505432269</v>
      </c>
      <c r="F69" s="61">
        <f>基础信息!F74</f>
        <v>48.246535012671018</v>
      </c>
      <c r="G69" s="65">
        <f>SUM(门客升级!U69:Y69)+SUM(门客进修!Z69:AD69)</f>
        <v>47.25</v>
      </c>
      <c r="J69" s="108">
        <v>65</v>
      </c>
      <c r="K69" s="108">
        <f t="shared" si="1"/>
        <v>17.950158699068446</v>
      </c>
      <c r="L69" s="108">
        <f t="shared" si="2"/>
        <v>20.83748464800443</v>
      </c>
      <c r="M69" s="108">
        <f t="shared" si="3"/>
        <v>22.066753564443491</v>
      </c>
      <c r="N69" s="108">
        <f t="shared" si="4"/>
        <v>26.705562439620135</v>
      </c>
      <c r="O69" s="108">
        <f t="shared" si="5"/>
        <v>27.945005951214551</v>
      </c>
      <c r="S69" s="86">
        <v>23</v>
      </c>
    </row>
    <row r="70" spans="3:19" x14ac:dyDescent="0.15">
      <c r="C70" s="66">
        <v>6</v>
      </c>
      <c r="D70" s="60">
        <f>基础信息!D75</f>
        <v>35.5</v>
      </c>
      <c r="E70" s="61">
        <f>基础信息!E75</f>
        <v>27.449372333401666</v>
      </c>
      <c r="F70" s="61">
        <f>基础信息!F75</f>
        <v>57.411337115405701</v>
      </c>
      <c r="G70" s="65">
        <f>SUM(门客升级!U70:Y70)+SUM(门客进修!Z70:AD70)</f>
        <v>63.359999999999992</v>
      </c>
      <c r="J70" s="108">
        <v>66</v>
      </c>
      <c r="K70" s="108">
        <f t="shared" ref="K70:K133" si="7">IFERROR(求节点($F$5:$F$20,$G$5:$G$20,$J70)/3,0)</f>
        <v>18.675640995952676</v>
      </c>
      <c r="L70" s="108">
        <f t="shared" ref="L70:L133" si="8">IFERROR(求节点($F$25:$F$40,$G$25:$G$40,$J70)/3,0)</f>
        <v>21.547946880824508</v>
      </c>
      <c r="M70" s="108">
        <f t="shared" ref="M70:M133" si="9">IFERROR(求节点($F$45:$F$60,$G$45:$G$60,$J70)/3,0)</f>
        <v>22.72946994977239</v>
      </c>
      <c r="N70" s="108">
        <f t="shared" ref="N70:N133" si="10">IFERROR(求节点($F$65:$F$80,$G$65:$G$80,$J70)/3,0)</f>
        <v>27.456061639525995</v>
      </c>
      <c r="O70" s="108">
        <f t="shared" ref="O70:O133" si="11">IFERROR(求节点($F$85:$F$100,$G$85:$G$100,$J70)/3,0)</f>
        <v>28.833148353575726</v>
      </c>
      <c r="S70" s="86">
        <v>24</v>
      </c>
    </row>
    <row r="71" spans="3:19" x14ac:dyDescent="0.15">
      <c r="C71" s="66">
        <v>7</v>
      </c>
      <c r="D71" s="60">
        <f>基础信息!D76</f>
        <v>39.5</v>
      </c>
      <c r="E71" s="61">
        <f>基础信息!E76</f>
        <v>49.848538197196007</v>
      </c>
      <c r="F71" s="61">
        <f>基础信息!F76</f>
        <v>65.902718877121345</v>
      </c>
      <c r="G71" s="65">
        <f>SUM(门客升级!U71:Y71)+SUM(门客进修!Z71:AD71)</f>
        <v>82.109999999999985</v>
      </c>
      <c r="J71" s="108">
        <v>67</v>
      </c>
      <c r="K71" s="108">
        <f t="shared" si="7"/>
        <v>19.40112329283691</v>
      </c>
      <c r="L71" s="108">
        <f t="shared" si="8"/>
        <v>22.258409113644579</v>
      </c>
      <c r="M71" s="108">
        <f t="shared" si="9"/>
        <v>23.392186335101286</v>
      </c>
      <c r="N71" s="108">
        <f t="shared" si="10"/>
        <v>28.340731110635499</v>
      </c>
      <c r="O71" s="108">
        <f t="shared" si="11"/>
        <v>29.721290755936906</v>
      </c>
      <c r="S71" s="86">
        <v>25</v>
      </c>
    </row>
    <row r="72" spans="3:19" x14ac:dyDescent="0.15">
      <c r="C72" s="66">
        <v>8</v>
      </c>
      <c r="D72" s="60">
        <f>基础信息!D77</f>
        <v>43.5</v>
      </c>
      <c r="E72" s="61">
        <f>基础信息!E77</f>
        <v>90.273217467309593</v>
      </c>
      <c r="F72" s="61">
        <f>基础信息!F77</f>
        <v>74.536451869422805</v>
      </c>
      <c r="G72" s="65">
        <f>SUM(门客升级!U72:Y72)+SUM(门客进修!Z72:AD72)</f>
        <v>105.024</v>
      </c>
      <c r="J72" s="108">
        <v>68</v>
      </c>
      <c r="K72" s="108">
        <f t="shared" si="7"/>
        <v>20.126605589721141</v>
      </c>
      <c r="L72" s="108">
        <f t="shared" si="8"/>
        <v>22.968871346464656</v>
      </c>
      <c r="M72" s="108">
        <f t="shared" si="9"/>
        <v>24.015961019916237</v>
      </c>
      <c r="N72" s="108">
        <f t="shared" si="10"/>
        <v>29.225400581745003</v>
      </c>
      <c r="O72" s="108">
        <f t="shared" si="11"/>
        <v>30.609433158298089</v>
      </c>
      <c r="S72" s="86">
        <v>26</v>
      </c>
    </row>
    <row r="73" spans="3:19" x14ac:dyDescent="0.15">
      <c r="C73" s="66">
        <v>9</v>
      </c>
      <c r="D73" s="60">
        <f>基础信息!D78</f>
        <v>47.5</v>
      </c>
      <c r="E73" s="61">
        <f>基础信息!E78</f>
        <v>163.13415930738643</v>
      </c>
      <c r="F73" s="61">
        <f>基础信息!F78</f>
        <v>83.136424497546074</v>
      </c>
      <c r="G73" s="65">
        <f>SUM(门客升级!U73:Y73)+SUM(门客进修!Z73:AD73)</f>
        <v>125.712</v>
      </c>
      <c r="J73" s="108">
        <v>69</v>
      </c>
      <c r="K73" s="108">
        <f t="shared" si="7"/>
        <v>20.852087886605371</v>
      </c>
      <c r="L73" s="108">
        <f t="shared" si="8"/>
        <v>23.639764400049788</v>
      </c>
      <c r="M73" s="108">
        <f t="shared" si="9"/>
        <v>24.623166215766009</v>
      </c>
      <c r="N73" s="108">
        <f t="shared" si="10"/>
        <v>30.110070052854507</v>
      </c>
      <c r="O73" s="108">
        <f t="shared" si="11"/>
        <v>31.497575560659268</v>
      </c>
      <c r="S73" s="86">
        <v>27</v>
      </c>
    </row>
    <row r="74" spans="3:19" x14ac:dyDescent="0.15">
      <c r="C74" s="66">
        <v>10</v>
      </c>
      <c r="D74" s="60">
        <f>基础信息!D79</f>
        <v>52</v>
      </c>
      <c r="E74" s="61">
        <f>基础信息!E79</f>
        <v>315.94120754775781</v>
      </c>
      <c r="F74" s="61">
        <f>基础信息!F79</f>
        <v>93.208444061349098</v>
      </c>
      <c r="G74" s="65">
        <f>SUM(门客升级!U74:Y74)+SUM(门客进修!Z74:AD74)</f>
        <v>157.19999999999999</v>
      </c>
      <c r="J74" s="108">
        <v>70</v>
      </c>
      <c r="K74" s="108">
        <f t="shared" si="7"/>
        <v>21.569485656846791</v>
      </c>
      <c r="L74" s="108">
        <f t="shared" si="8"/>
        <v>24.256309981429382</v>
      </c>
      <c r="M74" s="108">
        <f t="shared" si="9"/>
        <v>25.230371411615778</v>
      </c>
      <c r="N74" s="108">
        <f t="shared" si="10"/>
        <v>30.994739523964011</v>
      </c>
      <c r="O74" s="108">
        <f t="shared" si="11"/>
        <v>32.385717963020447</v>
      </c>
      <c r="S74" s="86">
        <v>28</v>
      </c>
    </row>
    <row r="75" spans="3:19" x14ac:dyDescent="0.15">
      <c r="C75" s="66">
        <v>11</v>
      </c>
      <c r="D75" s="60">
        <f>基础信息!D80</f>
        <v>57</v>
      </c>
      <c r="E75" s="61">
        <f>基础信息!E80</f>
        <v>659.12993710814465</v>
      </c>
      <c r="F75" s="61">
        <f>基础信息!F80</f>
        <v>103.87052361677672</v>
      </c>
      <c r="G75" s="65">
        <f>SUM(门客升级!U75:Y75)+SUM(门客进修!Z75:AD75)</f>
        <v>168.96</v>
      </c>
      <c r="J75" s="108">
        <v>71</v>
      </c>
      <c r="K75" s="108">
        <f t="shared" si="7"/>
        <v>22.265834357405087</v>
      </c>
      <c r="L75" s="108">
        <f t="shared" si="8"/>
        <v>24.872855562808979</v>
      </c>
      <c r="M75" s="108">
        <f t="shared" si="9"/>
        <v>25.83757660746555</v>
      </c>
      <c r="N75" s="108">
        <f t="shared" si="10"/>
        <v>31.879408995073515</v>
      </c>
      <c r="O75" s="108">
        <f t="shared" si="11"/>
        <v>33.27386036538163</v>
      </c>
      <c r="S75" s="86">
        <v>29</v>
      </c>
    </row>
    <row r="76" spans="3:19" x14ac:dyDescent="0.15">
      <c r="C76" s="66">
        <v>12</v>
      </c>
      <c r="D76" s="60">
        <f>基础信息!D81</f>
        <v>62</v>
      </c>
      <c r="E76" s="61">
        <f>基础信息!E81</f>
        <v>1372.540918241546</v>
      </c>
      <c r="F76" s="61">
        <f>基础信息!F81</f>
        <v>114.60606674176169</v>
      </c>
      <c r="G76" s="65">
        <f>SUM(门客升级!U76:Y76)+SUM(门客进修!Z76:AD76)</f>
        <v>180</v>
      </c>
      <c r="J76" s="108">
        <v>72</v>
      </c>
      <c r="K76" s="108">
        <f t="shared" si="7"/>
        <v>22.962183057963387</v>
      </c>
      <c r="L76" s="108">
        <f t="shared" si="8"/>
        <v>25.489401144188577</v>
      </c>
      <c r="M76" s="108">
        <f t="shared" si="9"/>
        <v>26.444781803315319</v>
      </c>
      <c r="N76" s="108">
        <f t="shared" si="10"/>
        <v>32.764078466183015</v>
      </c>
      <c r="O76" s="108">
        <f t="shared" si="11"/>
        <v>34.162002767742806</v>
      </c>
      <c r="S76" s="86">
        <v>30</v>
      </c>
    </row>
    <row r="77" spans="3:19" x14ac:dyDescent="0.15">
      <c r="C77" s="66">
        <v>13</v>
      </c>
      <c r="D77" s="60">
        <f>基础信息!D82</f>
        <v>67</v>
      </c>
      <c r="E77" s="61">
        <f>基础信息!E82</f>
        <v>2853.4199245336076</v>
      </c>
      <c r="F77" s="61">
        <f>基础信息!F82</f>
        <v>125.19410714767859</v>
      </c>
      <c r="G77" s="65">
        <f>SUM(门客升级!U77:Y77)+SUM(门客进修!Z77:AD77)</f>
        <v>214.5</v>
      </c>
      <c r="J77" s="108">
        <v>73</v>
      </c>
      <c r="K77" s="108">
        <f t="shared" si="7"/>
        <v>23.65853175852169</v>
      </c>
      <c r="L77" s="108">
        <f t="shared" si="8"/>
        <v>26.105946725568174</v>
      </c>
      <c r="M77" s="108">
        <f t="shared" si="9"/>
        <v>27.051986999165084</v>
      </c>
      <c r="N77" s="108">
        <f t="shared" si="10"/>
        <v>33.648747937292519</v>
      </c>
      <c r="O77" s="108">
        <f t="shared" si="11"/>
        <v>35.050145170103981</v>
      </c>
      <c r="S77" s="86">
        <v>31</v>
      </c>
    </row>
    <row r="78" spans="3:19" x14ac:dyDescent="0.15">
      <c r="C78" s="66">
        <v>14</v>
      </c>
      <c r="D78" s="60">
        <f>基础信息!D83</f>
        <v>72</v>
      </c>
      <c r="E78" s="61">
        <f>基础信息!E83</f>
        <v>5923.2820251682469</v>
      </c>
      <c r="F78" s="61">
        <f>基础信息!F83</f>
        <v>135.89542876835631</v>
      </c>
      <c r="G78" s="65">
        <f>SUM(门客升级!U78:Y78)+SUM(门客进修!Z78:AD78)</f>
        <v>294</v>
      </c>
      <c r="J78" s="108">
        <v>74</v>
      </c>
      <c r="K78" s="108">
        <f t="shared" si="7"/>
        <v>24.35488045907999</v>
      </c>
      <c r="L78" s="108">
        <f t="shared" si="8"/>
        <v>26.722492306947768</v>
      </c>
      <c r="M78" s="108">
        <f t="shared" si="9"/>
        <v>27.659192195014857</v>
      </c>
      <c r="N78" s="108">
        <f t="shared" si="10"/>
        <v>34.533417408402023</v>
      </c>
      <c r="O78" s="108">
        <f t="shared" si="11"/>
        <v>35.868912134939507</v>
      </c>
      <c r="S78" s="86">
        <v>32</v>
      </c>
    </row>
    <row r="79" spans="3:19" x14ac:dyDescent="0.15">
      <c r="C79" s="66">
        <v>15</v>
      </c>
      <c r="D79" s="60">
        <f>基础信息!D84</f>
        <v>77</v>
      </c>
      <c r="E79" s="61">
        <f>基础信息!E84</f>
        <v>12279.204402538555</v>
      </c>
      <c r="F79" s="61">
        <f>基础信息!F84</f>
        <v>146.55064673623977</v>
      </c>
      <c r="G79" s="65">
        <f>SUM(门客升级!U79:Y79)+SUM(门客进修!Z79:AD79)</f>
        <v>360</v>
      </c>
      <c r="J79" s="108">
        <v>75</v>
      </c>
      <c r="K79" s="108">
        <f t="shared" si="7"/>
        <v>25.051229159638286</v>
      </c>
      <c r="L79" s="108">
        <f t="shared" si="8"/>
        <v>27.339037888327365</v>
      </c>
      <c r="M79" s="108">
        <f t="shared" si="9"/>
        <v>28.266397390864626</v>
      </c>
      <c r="N79" s="108">
        <f t="shared" si="10"/>
        <v>35.379702102633082</v>
      </c>
      <c r="O79" s="108">
        <f t="shared" si="11"/>
        <v>36.681756720466829</v>
      </c>
      <c r="S79" s="86">
        <v>33</v>
      </c>
    </row>
    <row r="80" spans="3:19" x14ac:dyDescent="0.15">
      <c r="C80" s="66">
        <v>16</v>
      </c>
      <c r="D80" s="60">
        <f>基础信息!D85</f>
        <v>80</v>
      </c>
      <c r="E80" s="61">
        <f>基础信息!E85</f>
        <v>19005.150000000001</v>
      </c>
      <c r="F80" s="61">
        <f>基础信息!F85</f>
        <v>152.12605579164665</v>
      </c>
      <c r="G80" s="65">
        <f>SUM(门客升级!U80:Y80)+SUM(门客进修!Z80:AD80)</f>
        <v>432</v>
      </c>
      <c r="J80" s="108">
        <v>76</v>
      </c>
      <c r="K80" s="108">
        <f t="shared" si="7"/>
        <v>25.747577860196586</v>
      </c>
      <c r="L80" s="108">
        <f t="shared" si="8"/>
        <v>27.955583469706962</v>
      </c>
      <c r="M80" s="108">
        <f t="shared" si="9"/>
        <v>28.921221993459813</v>
      </c>
      <c r="N80" s="108">
        <f t="shared" si="10"/>
        <v>36.181565119900014</v>
      </c>
      <c r="O80" s="108">
        <f t="shared" si="11"/>
        <v>37.494601305994159</v>
      </c>
      <c r="S80" s="86">
        <v>34</v>
      </c>
    </row>
    <row r="81" spans="3:23" x14ac:dyDescent="0.15">
      <c r="C81" s="66"/>
      <c r="D81" s="66"/>
      <c r="E81" s="65"/>
      <c r="F81" s="65"/>
      <c r="J81" s="108">
        <v>77</v>
      </c>
      <c r="K81" s="108">
        <f t="shared" si="7"/>
        <v>26.443926560754885</v>
      </c>
      <c r="L81" s="108">
        <f t="shared" si="8"/>
        <v>28.572129051086552</v>
      </c>
      <c r="M81" s="108">
        <f t="shared" si="9"/>
        <v>29.921276849761096</v>
      </c>
      <c r="N81" s="108">
        <f t="shared" si="10"/>
        <v>36.983428137166953</v>
      </c>
      <c r="O81" s="108">
        <f t="shared" si="11"/>
        <v>38.307445891521489</v>
      </c>
      <c r="S81" s="86">
        <v>35</v>
      </c>
    </row>
    <row r="82" spans="3:23" x14ac:dyDescent="0.15">
      <c r="C82" s="66"/>
      <c r="D82" s="66"/>
      <c r="E82" s="65"/>
      <c r="F82" s="65"/>
      <c r="J82" s="108">
        <v>78</v>
      </c>
      <c r="K82" s="108">
        <f t="shared" si="7"/>
        <v>27.140275261313182</v>
      </c>
      <c r="L82" s="108">
        <f t="shared" si="8"/>
        <v>29.219191158257559</v>
      </c>
      <c r="M82" s="108">
        <f t="shared" si="9"/>
        <v>30.921331706062375</v>
      </c>
      <c r="N82" s="108">
        <f t="shared" si="10"/>
        <v>37.785291154433892</v>
      </c>
      <c r="O82" s="108">
        <f t="shared" si="11"/>
        <v>39.120290477048819</v>
      </c>
      <c r="S82" s="86">
        <v>36</v>
      </c>
    </row>
    <row r="83" spans="3:23" x14ac:dyDescent="0.15">
      <c r="C83" s="66" t="s">
        <v>4</v>
      </c>
      <c r="D83" s="66"/>
      <c r="E83" s="65"/>
      <c r="F83" s="65"/>
      <c r="J83" s="108">
        <v>79</v>
      </c>
      <c r="K83" s="108">
        <f t="shared" si="7"/>
        <v>27.852148359996118</v>
      </c>
      <c r="L83" s="108">
        <f t="shared" si="8"/>
        <v>29.870028153933422</v>
      </c>
      <c r="M83" s="108">
        <f t="shared" si="9"/>
        <v>31.921386562363654</v>
      </c>
      <c r="N83" s="108">
        <f t="shared" si="10"/>
        <v>38.587154171700831</v>
      </c>
      <c r="O83" s="108">
        <f t="shared" si="11"/>
        <v>39.933135062576149</v>
      </c>
      <c r="S83" s="86">
        <v>37</v>
      </c>
    </row>
    <row r="84" spans="3:23" x14ac:dyDescent="0.15">
      <c r="C84" s="66" t="s">
        <v>21</v>
      </c>
      <c r="D84" s="66" t="s">
        <v>121</v>
      </c>
      <c r="E84" s="65" t="s">
        <v>122</v>
      </c>
      <c r="F84" s="65" t="s">
        <v>103</v>
      </c>
      <c r="G84" s="66" t="s">
        <v>160</v>
      </c>
      <c r="J84" s="108">
        <v>80</v>
      </c>
      <c r="K84" s="108">
        <f t="shared" si="7"/>
        <v>28.56889567485571</v>
      </c>
      <c r="L84" s="108">
        <f t="shared" si="8"/>
        <v>30.520865149609282</v>
      </c>
      <c r="M84" s="108">
        <f t="shared" si="9"/>
        <v>32.921441418664934</v>
      </c>
      <c r="N84" s="108">
        <f t="shared" si="10"/>
        <v>39.389017188967763</v>
      </c>
      <c r="O84" s="108">
        <f t="shared" si="11"/>
        <v>40.745979648103479</v>
      </c>
      <c r="S84" s="86">
        <v>38</v>
      </c>
    </row>
    <row r="85" spans="3:23" x14ac:dyDescent="0.15">
      <c r="C85" s="66">
        <v>1</v>
      </c>
      <c r="D85" s="60">
        <f>基础信息!D90</f>
        <v>16</v>
      </c>
      <c r="E85" s="61">
        <f>基础信息!E90</f>
        <v>0.50775438407852935</v>
      </c>
      <c r="F85" s="61">
        <f>基础信息!F90</f>
        <v>14.671687356650759</v>
      </c>
      <c r="G85" s="65">
        <f>SUM(门客升级!U85:Y85)+SUM(门客进修!Z85:AD85)</f>
        <v>4.5999999999999996</v>
      </c>
      <c r="J85" s="108">
        <v>81</v>
      </c>
      <c r="K85" s="108">
        <f t="shared" si="7"/>
        <v>29.285642989715303</v>
      </c>
      <c r="L85" s="108">
        <f t="shared" si="8"/>
        <v>31.171702145285149</v>
      </c>
      <c r="M85" s="108">
        <f t="shared" si="9"/>
        <v>33.921496274966209</v>
      </c>
      <c r="N85" s="108">
        <f t="shared" si="10"/>
        <v>40.190880206234702</v>
      </c>
      <c r="O85" s="108">
        <f t="shared" si="11"/>
        <v>41.558824233630808</v>
      </c>
      <c r="S85" s="86">
        <v>39</v>
      </c>
    </row>
    <row r="86" spans="3:23" x14ac:dyDescent="0.15">
      <c r="C86" s="66">
        <v>2</v>
      </c>
      <c r="D86" s="60">
        <f>基础信息!D91</f>
        <v>19.5</v>
      </c>
      <c r="E86" s="61">
        <f>基础信息!E91</f>
        <v>0.96457950643309154</v>
      </c>
      <c r="F86" s="61">
        <f>基础信息!F91</f>
        <v>20.922787117743994</v>
      </c>
      <c r="G86" s="65">
        <f>SUM(门客升级!U86:Y86)+SUM(门客进修!Z86:AD86)</f>
        <v>10.4</v>
      </c>
      <c r="J86" s="108">
        <v>82</v>
      </c>
      <c r="K86" s="108">
        <f t="shared" si="7"/>
        <v>30.002390304574892</v>
      </c>
      <c r="L86" s="108">
        <f t="shared" si="8"/>
        <v>31.822539140961009</v>
      </c>
      <c r="M86" s="108">
        <f t="shared" si="9"/>
        <v>34.921551131267492</v>
      </c>
      <c r="N86" s="108">
        <f t="shared" si="10"/>
        <v>40.992743223501641</v>
      </c>
      <c r="O86" s="108">
        <f t="shared" si="11"/>
        <v>42.40086929747104</v>
      </c>
      <c r="S86" s="86">
        <v>40</v>
      </c>
    </row>
    <row r="87" spans="3:23" x14ac:dyDescent="0.15">
      <c r="C87" s="66">
        <v>3</v>
      </c>
      <c r="D87" s="60">
        <f>基础信息!D92</f>
        <v>23.5</v>
      </c>
      <c r="E87" s="61">
        <f>基础信息!E92</f>
        <v>1.9310027754318846</v>
      </c>
      <c r="F87" s="61">
        <f>基础信息!F92</f>
        <v>28.96506192552858</v>
      </c>
      <c r="G87" s="65">
        <f>SUM(门客升级!U87:Y87)+SUM(门客进修!Z87:AD87)</f>
        <v>20.399999999999999</v>
      </c>
      <c r="J87" s="108">
        <v>83</v>
      </c>
      <c r="K87" s="108">
        <f t="shared" si="7"/>
        <v>30.719137619434488</v>
      </c>
      <c r="L87" s="108">
        <f t="shared" si="8"/>
        <v>32.473376136636865</v>
      </c>
      <c r="M87" s="108">
        <f t="shared" si="9"/>
        <v>35.921605987568775</v>
      </c>
      <c r="N87" s="108">
        <f t="shared" si="10"/>
        <v>41.79460624076858</v>
      </c>
      <c r="O87" s="108">
        <f t="shared" si="11"/>
        <v>43.308026125455939</v>
      </c>
      <c r="S87" s="86">
        <v>41</v>
      </c>
    </row>
    <row r="88" spans="3:23" x14ac:dyDescent="0.15">
      <c r="C88" s="66">
        <v>4</v>
      </c>
      <c r="D88" s="60">
        <f>基础信息!D93</f>
        <v>27.5</v>
      </c>
      <c r="E88" s="61">
        <f>基础信息!E93</f>
        <v>3.7740446275970769</v>
      </c>
      <c r="F88" s="61">
        <f>基础信息!F93</f>
        <v>37.642488096871389</v>
      </c>
      <c r="G88" s="65">
        <f>SUM(门客升级!U88:Y88)+SUM(门客进修!Z88:AD88)</f>
        <v>33.6</v>
      </c>
      <c r="J88" s="108">
        <v>84</v>
      </c>
      <c r="K88" s="108">
        <f t="shared" si="7"/>
        <v>31.435884934294076</v>
      </c>
      <c r="L88" s="108">
        <f t="shared" si="8"/>
        <v>33.124213132312732</v>
      </c>
      <c r="M88" s="108">
        <f t="shared" si="9"/>
        <v>36.92166084387005</v>
      </c>
      <c r="N88" s="108">
        <f t="shared" si="10"/>
        <v>42.803927607997416</v>
      </c>
      <c r="O88" s="108">
        <f t="shared" si="11"/>
        <v>44.215182953440838</v>
      </c>
      <c r="S88" s="86">
        <v>42</v>
      </c>
    </row>
    <row r="89" spans="3:23" x14ac:dyDescent="0.15">
      <c r="C89" s="66">
        <v>5</v>
      </c>
      <c r="D89" s="60">
        <f>基础信息!D94</f>
        <v>31.5</v>
      </c>
      <c r="E89" s="61">
        <f>基础信息!E94</f>
        <v>7.2578477527161347</v>
      </c>
      <c r="F89" s="61">
        <f>基础信息!F94</f>
        <v>46.621425173369133</v>
      </c>
      <c r="G89" s="65">
        <f>SUM(门客升级!U89:Y89)+SUM(门客进修!Z89:AD89)</f>
        <v>47.25</v>
      </c>
      <c r="J89" s="108">
        <v>85</v>
      </c>
      <c r="K89" s="108">
        <f t="shared" si="7"/>
        <v>32.152632249153669</v>
      </c>
      <c r="L89" s="108">
        <f t="shared" si="8"/>
        <v>33.775050127988592</v>
      </c>
      <c r="M89" s="108">
        <f t="shared" si="9"/>
        <v>38.009780391485265</v>
      </c>
      <c r="N89" s="108">
        <f t="shared" si="10"/>
        <v>43.846022486140889</v>
      </c>
      <c r="O89" s="108">
        <f t="shared" si="11"/>
        <v>45.12233978142573</v>
      </c>
      <c r="S89" s="86">
        <v>43</v>
      </c>
    </row>
    <row r="90" spans="3:23" x14ac:dyDescent="0.15">
      <c r="C90" s="66">
        <v>6</v>
      </c>
      <c r="D90" s="60">
        <f>基础信息!D95</f>
        <v>35.5</v>
      </c>
      <c r="E90" s="61">
        <f>基础信息!E95</f>
        <v>13.724686166700833</v>
      </c>
      <c r="F90" s="61">
        <f>基础信息!F95</f>
        <v>55.873561913262044</v>
      </c>
      <c r="G90" s="65">
        <f>SUM(门客升级!U90:Y90)+SUM(门客进修!Z90:AD90)</f>
        <v>63.359999999999992</v>
      </c>
      <c r="J90" s="108">
        <v>86</v>
      </c>
      <c r="K90" s="108">
        <f t="shared" si="7"/>
        <v>32.869379564013258</v>
      </c>
      <c r="L90" s="108">
        <f t="shared" si="8"/>
        <v>34.59492484006622</v>
      </c>
      <c r="M90" s="108">
        <f t="shared" si="9"/>
        <v>39.168887126196211</v>
      </c>
      <c r="N90" s="108">
        <f t="shared" si="10"/>
        <v>44.888117364284362</v>
      </c>
      <c r="O90" s="108">
        <f t="shared" si="11"/>
        <v>46.029496609410636</v>
      </c>
      <c r="S90" s="86">
        <v>44</v>
      </c>
    </row>
    <row r="91" spans="3:23" x14ac:dyDescent="0.15">
      <c r="C91" s="66">
        <v>7</v>
      </c>
      <c r="D91" s="60">
        <f>基础信息!D96</f>
        <v>39.5</v>
      </c>
      <c r="E91" s="61">
        <f>基础信息!E96</f>
        <v>24.924269098598003</v>
      </c>
      <c r="F91" s="61">
        <f>基础信息!F96</f>
        <v>64.352574598751431</v>
      </c>
      <c r="G91" s="65">
        <f>SUM(门客升级!U91:Y91)+SUM(门客进修!Z91:AD91)</f>
        <v>82.109999999999985</v>
      </c>
      <c r="J91" s="108">
        <v>87</v>
      </c>
      <c r="K91" s="108">
        <f t="shared" si="7"/>
        <v>33.580090197110586</v>
      </c>
      <c r="L91" s="108">
        <f t="shared" si="8"/>
        <v>35.732801547054976</v>
      </c>
      <c r="M91" s="108">
        <f t="shared" si="9"/>
        <v>40.327993860907156</v>
      </c>
      <c r="N91" s="108">
        <f t="shared" si="10"/>
        <v>45.930212242427835</v>
      </c>
      <c r="O91" s="108">
        <f t="shared" si="11"/>
        <v>46.936653437395535</v>
      </c>
      <c r="S91" s="86">
        <v>45</v>
      </c>
    </row>
    <row r="92" spans="3:23" x14ac:dyDescent="0.15">
      <c r="C92" s="66">
        <v>8</v>
      </c>
      <c r="D92" s="60">
        <f>基础信息!D97</f>
        <v>43.5</v>
      </c>
      <c r="E92" s="61">
        <f>基础信息!E97</f>
        <v>45.136608733654796</v>
      </c>
      <c r="F92" s="61">
        <f>基础信息!F97</f>
        <v>73.078652735991781</v>
      </c>
      <c r="G92" s="65">
        <f>SUM(门客升级!U92:Y92)+SUM(门客进修!Z92:AD92)</f>
        <v>105.36000000000001</v>
      </c>
      <c r="J92" s="108">
        <v>88</v>
      </c>
      <c r="K92" s="108">
        <f t="shared" si="7"/>
        <v>34.272949420535632</v>
      </c>
      <c r="L92" s="108">
        <f t="shared" si="8"/>
        <v>36.870678254043725</v>
      </c>
      <c r="M92" s="108">
        <f t="shared" si="9"/>
        <v>41.487100595618102</v>
      </c>
      <c r="N92" s="108">
        <f t="shared" si="10"/>
        <v>46.972307120571308</v>
      </c>
      <c r="O92" s="108">
        <f t="shared" si="11"/>
        <v>47.843810265380426</v>
      </c>
      <c r="S92" s="86">
        <v>1</v>
      </c>
      <c r="T92" s="85" t="s">
        <v>2</v>
      </c>
    </row>
    <row r="93" spans="3:23" x14ac:dyDescent="0.15">
      <c r="C93" s="66">
        <v>9</v>
      </c>
      <c r="D93" s="60">
        <f>基础信息!D98</f>
        <v>47.5</v>
      </c>
      <c r="E93" s="61">
        <f>基础信息!E98</f>
        <v>81.567079653693213</v>
      </c>
      <c r="F93" s="61">
        <f>基础信息!F98</f>
        <v>81.690385070357735</v>
      </c>
      <c r="G93" s="65">
        <f>SUM(门客升级!U93:Y93)+SUM(门客进修!Z93:AD93)</f>
        <v>126.36</v>
      </c>
      <c r="J93" s="108">
        <v>89</v>
      </c>
      <c r="K93" s="108">
        <f t="shared" si="7"/>
        <v>34.965808643960685</v>
      </c>
      <c r="L93" s="108">
        <f t="shared" si="8"/>
        <v>38.008554961032473</v>
      </c>
      <c r="M93" s="108">
        <f t="shared" si="9"/>
        <v>42.646207330329048</v>
      </c>
      <c r="N93" s="108">
        <f t="shared" si="10"/>
        <v>48.014401998714781</v>
      </c>
      <c r="O93" s="108">
        <f t="shared" si="11"/>
        <v>48.750967093365325</v>
      </c>
      <c r="S93" s="86">
        <v>2</v>
      </c>
      <c r="T93" s="85" t="s">
        <v>102</v>
      </c>
      <c r="U93" s="85" t="s">
        <v>210</v>
      </c>
      <c r="V93" s="85" t="s">
        <v>208</v>
      </c>
      <c r="W93" s="87" t="s">
        <v>209</v>
      </c>
    </row>
    <row r="94" spans="3:23" x14ac:dyDescent="0.15">
      <c r="C94" s="66">
        <v>10</v>
      </c>
      <c r="D94" s="60">
        <f>基础信息!D99</f>
        <v>52</v>
      </c>
      <c r="E94" s="61">
        <f>基础信息!E99</f>
        <v>157.97060377387891</v>
      </c>
      <c r="F94" s="61">
        <f>基础信息!F99</f>
        <v>92.03038330510195</v>
      </c>
      <c r="G94" s="65">
        <f>SUM(门客升级!U94:Y94)+SUM(门客进修!Z94:AD94)</f>
        <v>154.5</v>
      </c>
      <c r="J94" s="108">
        <v>90</v>
      </c>
      <c r="K94" s="108">
        <f t="shared" si="7"/>
        <v>35.658667867385738</v>
      </c>
      <c r="L94" s="108">
        <f t="shared" si="8"/>
        <v>39.146431668021222</v>
      </c>
      <c r="M94" s="108">
        <f t="shared" si="9"/>
        <v>43.805314065039994</v>
      </c>
      <c r="N94" s="108">
        <f t="shared" si="10"/>
        <v>49.056496876858255</v>
      </c>
      <c r="O94" s="108">
        <f t="shared" si="11"/>
        <v>49.658123921350217</v>
      </c>
      <c r="S94" s="86">
        <v>3</v>
      </c>
      <c r="T94" s="85">
        <v>10</v>
      </c>
      <c r="U94" s="85">
        <f>IFERROR(求节点($F$45:$F$60,$G$45:$G$60,T94),0)</f>
        <v>0</v>
      </c>
      <c r="V94" s="17">
        <f>U94*INDEX([3]中r将兵属性验证!$V$7:$V$166,T94,1)</f>
        <v>0</v>
      </c>
      <c r="W94" s="87">
        <f>IFERROR(求节点(付费投放!$Q$45:$Q$60,付费投放!$S$45:$S$60,T94),0)</f>
        <v>0</v>
      </c>
    </row>
    <row r="95" spans="3:23" x14ac:dyDescent="0.15">
      <c r="C95" s="66">
        <v>11</v>
      </c>
      <c r="D95" s="60">
        <f>基础信息!D100</f>
        <v>57</v>
      </c>
      <c r="E95" s="61">
        <f>基础信息!E100</f>
        <v>329.56496855407232</v>
      </c>
      <c r="F95" s="61">
        <f>基础信息!F100</f>
        <v>102.71853803916484</v>
      </c>
      <c r="G95" s="65">
        <f>SUM(门客升级!U95:Y95)+SUM(门客进修!Z95:AD95)</f>
        <v>165</v>
      </c>
      <c r="J95" s="108">
        <v>91</v>
      </c>
      <c r="K95" s="108">
        <f t="shared" si="7"/>
        <v>36.351527090810784</v>
      </c>
      <c r="L95" s="108">
        <f t="shared" si="8"/>
        <v>40.284308375009971</v>
      </c>
      <c r="M95" s="108">
        <f t="shared" si="9"/>
        <v>44.96442079975094</v>
      </c>
      <c r="N95" s="108">
        <f t="shared" si="10"/>
        <v>50.098591755001735</v>
      </c>
      <c r="O95" s="108">
        <f t="shared" si="11"/>
        <v>50.565280749335123</v>
      </c>
      <c r="S95" s="86">
        <v>4</v>
      </c>
      <c r="T95" s="85">
        <v>20</v>
      </c>
      <c r="U95" s="85">
        <f t="shared" ref="U95:U109" si="12">IFERROR(求节点($F$45:$F$60,$G$45:$G$60,T95),0)</f>
        <v>6.7628278937161399</v>
      </c>
      <c r="V95" s="85">
        <f>(U95-U94)*INDEX([3]中r将兵属性验证!$V$7:$V$166,T95,1)+V94</f>
        <v>4326747.0072745308</v>
      </c>
      <c r="W95" s="87">
        <f>IFERROR(求节点(付费投放!$Q$45:$Q$60,付费投放!$S$45:$S$60,T95),0)</f>
        <v>7863.7452882998377</v>
      </c>
    </row>
    <row r="96" spans="3:23" x14ac:dyDescent="0.15">
      <c r="C96" s="66">
        <v>12</v>
      </c>
      <c r="D96" s="60">
        <f>基础信息!D101</f>
        <v>62</v>
      </c>
      <c r="E96" s="61">
        <f>基础信息!E101</f>
        <v>686.27045912077301</v>
      </c>
      <c r="F96" s="61">
        <f>基础信息!F101</f>
        <v>113.4549371467006</v>
      </c>
      <c r="G96" s="65">
        <f>SUM(门客升级!U96:Y96)+SUM(门客进修!Z96:AD96)</f>
        <v>216</v>
      </c>
      <c r="J96" s="108">
        <v>92</v>
      </c>
      <c r="K96" s="108">
        <f t="shared" si="7"/>
        <v>37.044386314235837</v>
      </c>
      <c r="L96" s="108">
        <f t="shared" si="8"/>
        <v>41.42218508199872</v>
      </c>
      <c r="M96" s="108">
        <f t="shared" si="9"/>
        <v>46.123527534461886</v>
      </c>
      <c r="N96" s="108">
        <f t="shared" si="10"/>
        <v>51.140686633145208</v>
      </c>
      <c r="O96" s="108">
        <f t="shared" si="11"/>
        <v>51.472437577320022</v>
      </c>
      <c r="S96" s="86">
        <v>5</v>
      </c>
      <c r="T96" s="85">
        <v>30</v>
      </c>
      <c r="U96" s="85">
        <f t="shared" si="12"/>
        <v>15.828461679464606</v>
      </c>
      <c r="V96" s="85">
        <f>(U96-U95)*INDEX([3]中r将兵属性验证!$V$7:$V$166,T96,1)+V95</f>
        <v>21699970.371941574</v>
      </c>
      <c r="W96" s="87">
        <f>IFERROR(求节点(付费投放!$Q$45:$Q$60,付费投放!$S$45:$S$60,T96),0)</f>
        <v>15673.955748502041</v>
      </c>
    </row>
    <row r="97" spans="3:23" x14ac:dyDescent="0.15">
      <c r="C97" s="66">
        <v>13</v>
      </c>
      <c r="D97" s="60">
        <f>基础信息!D102</f>
        <v>67</v>
      </c>
      <c r="E97" s="61">
        <f>基础信息!E102</f>
        <v>1426.7099622668038</v>
      </c>
      <c r="F97" s="61">
        <f>基础信息!F102</f>
        <v>124.11624751239822</v>
      </c>
      <c r="G97" s="65">
        <f>SUM(门客升级!U97:Y97)+SUM(门客进修!Z97:AD97)</f>
        <v>273</v>
      </c>
      <c r="J97" s="108">
        <v>93</v>
      </c>
      <c r="K97" s="108">
        <f t="shared" si="7"/>
        <v>37.73724553766089</v>
      </c>
      <c r="L97" s="108">
        <f t="shared" si="8"/>
        <v>42.560061788987475</v>
      </c>
      <c r="M97" s="108">
        <f t="shared" si="9"/>
        <v>47.282634269172831</v>
      </c>
      <c r="N97" s="108">
        <f t="shared" si="10"/>
        <v>52.182781511288681</v>
      </c>
      <c r="O97" s="108">
        <f t="shared" si="11"/>
        <v>51.817515840346857</v>
      </c>
      <c r="S97" s="86">
        <v>6</v>
      </c>
      <c r="T97" s="85">
        <v>40</v>
      </c>
      <c r="U97" s="85">
        <f t="shared" si="12"/>
        <v>27.382481642458341</v>
      </c>
      <c r="V97" s="85">
        <f>(U97-U96)*INDEX([3]中r将兵属性验证!$V$7:$V$166,T97,1)+V96</f>
        <v>91392447.177546382</v>
      </c>
      <c r="W97" s="87">
        <f>IFERROR(求节点(付费投放!$Q$45:$Q$60,付费投放!$S$45:$S$60,T97),0)</f>
        <v>28397.211744287502</v>
      </c>
    </row>
    <row r="98" spans="3:23" x14ac:dyDescent="0.15">
      <c r="C98" s="66">
        <v>14</v>
      </c>
      <c r="D98" s="60">
        <f>基础信息!D103</f>
        <v>72</v>
      </c>
      <c r="E98" s="61">
        <f>基础信息!E103</f>
        <v>2961.6410125841235</v>
      </c>
      <c r="F98" s="61">
        <f>基础信息!F103</f>
        <v>134.91256595481366</v>
      </c>
      <c r="G98" s="65">
        <f>SUM(门客升级!U98:Y98)+SUM(门客进修!Z98:AD98)</f>
        <v>378</v>
      </c>
      <c r="J98" s="108">
        <v>94</v>
      </c>
      <c r="K98" s="108">
        <f t="shared" si="7"/>
        <v>38.430104761085936</v>
      </c>
      <c r="L98" s="108">
        <f t="shared" si="8"/>
        <v>43.697938495976224</v>
      </c>
      <c r="M98" s="108">
        <f t="shared" si="9"/>
        <v>48.441741003883777</v>
      </c>
      <c r="N98" s="108">
        <f t="shared" si="10"/>
        <v>52.691021959025989</v>
      </c>
      <c r="O98" s="108">
        <f t="shared" si="11"/>
        <v>52.144981159392579</v>
      </c>
      <c r="S98" s="86">
        <v>7</v>
      </c>
      <c r="T98" s="85">
        <v>50</v>
      </c>
      <c r="U98" s="85">
        <f t="shared" si="12"/>
        <v>40.564500072879966</v>
      </c>
      <c r="V98" s="85">
        <f>(U98-U97)*INDEX([3]中r将兵属性验证!$V$7:$V$166,T98,1)+V97</f>
        <v>253253226.44805157</v>
      </c>
      <c r="W98" s="87">
        <f>IFERROR(求节点(付费投放!$Q$45:$Q$60,付费投放!$S$45:$S$60,T98),0)</f>
        <v>50881.350846454385</v>
      </c>
    </row>
    <row r="99" spans="3:23" x14ac:dyDescent="0.15">
      <c r="C99" s="66">
        <v>15</v>
      </c>
      <c r="D99" s="60">
        <f>基础信息!D104</f>
        <v>77</v>
      </c>
      <c r="E99" s="61">
        <f>基础信息!E104</f>
        <v>6139.6022012692774</v>
      </c>
      <c r="F99" s="61">
        <f>基础信息!F104</f>
        <v>145.53468456757108</v>
      </c>
      <c r="G99" s="65">
        <f>SUM(门客升级!U99:Y99)+SUM(门客进修!Z99:AD99)</f>
        <v>405</v>
      </c>
      <c r="J99" s="108">
        <v>95</v>
      </c>
      <c r="K99" s="108">
        <f t="shared" si="7"/>
        <v>39.122963984510989</v>
      </c>
      <c r="L99" s="108">
        <f t="shared" si="8"/>
        <v>44.835815202964973</v>
      </c>
      <c r="M99" s="108">
        <f t="shared" si="9"/>
        <v>49.260408040326752</v>
      </c>
      <c r="N99" s="108">
        <f t="shared" si="10"/>
        <v>53.058680067336063</v>
      </c>
      <c r="O99" s="108">
        <f t="shared" si="11"/>
        <v>52.472446478438307</v>
      </c>
      <c r="S99" s="86">
        <v>8</v>
      </c>
      <c r="T99" s="85">
        <v>60</v>
      </c>
      <c r="U99" s="85">
        <f t="shared" si="12"/>
        <v>56.259514913397027</v>
      </c>
      <c r="V99" s="85">
        <f>(U99-U98)*INDEX([3]中r将兵属性验证!$V$7:$V$166,T99,1)+V98</f>
        <v>682941575.211344</v>
      </c>
      <c r="W99" s="87">
        <f>IFERROR(求节点(付费投放!$Q$45:$Q$60,付费投放!$S$45:$S$60,T99),0)</f>
        <v>97584.23719088902</v>
      </c>
    </row>
    <row r="100" spans="3:23" x14ac:dyDescent="0.15">
      <c r="C100" s="66">
        <v>16</v>
      </c>
      <c r="D100" s="60">
        <f>基础信息!D105</f>
        <v>80</v>
      </c>
      <c r="E100" s="61">
        <f>基础信息!E105</f>
        <v>9502.5750000000007</v>
      </c>
      <c r="F100" s="61">
        <f>基础信息!F105</f>
        <v>151.0810487166913</v>
      </c>
      <c r="G100" s="65">
        <f>SUM(门客升级!U100:Y100)+SUM(门客进修!Z100:AD100)</f>
        <v>432</v>
      </c>
      <c r="J100" s="108">
        <v>96</v>
      </c>
      <c r="K100" s="108">
        <f t="shared" si="7"/>
        <v>39.815823207936042</v>
      </c>
      <c r="L100" s="108">
        <f t="shared" si="8"/>
        <v>45.743413926952435</v>
      </c>
      <c r="M100" s="108">
        <f t="shared" si="9"/>
        <v>49.926779479664582</v>
      </c>
      <c r="N100" s="108">
        <f t="shared" si="10"/>
        <v>53.42633817564613</v>
      </c>
      <c r="O100" s="108">
        <f t="shared" si="11"/>
        <v>52.799911797484036</v>
      </c>
      <c r="S100" s="86">
        <v>9</v>
      </c>
      <c r="T100" s="85">
        <v>70</v>
      </c>
      <c r="U100" s="85">
        <f t="shared" si="12"/>
        <v>75.691114234847333</v>
      </c>
      <c r="V100" s="85">
        <f>(U100-U99)*INDEX([3]中r将兵属性验证!$V$7:$V$166,T100,1)+V99</f>
        <v>2087253104.6267128</v>
      </c>
      <c r="W100" s="87">
        <f>IFERROR(求节点(付费投放!$Q$45:$Q$60,付费投放!$S$45:$S$60,T100),0)</f>
        <v>190358.84126902578</v>
      </c>
    </row>
    <row r="101" spans="3:23" x14ac:dyDescent="0.15">
      <c r="J101" s="108">
        <v>97</v>
      </c>
      <c r="K101" s="108">
        <f t="shared" si="7"/>
        <v>40.624319724018243</v>
      </c>
      <c r="L101" s="108">
        <f t="shared" si="8"/>
        <v>46.542618418788784</v>
      </c>
      <c r="M101" s="108">
        <f t="shared" si="9"/>
        <v>50.593150919002404</v>
      </c>
      <c r="N101" s="108">
        <f t="shared" si="10"/>
        <v>53.793996283956204</v>
      </c>
      <c r="O101" s="108">
        <f t="shared" si="11"/>
        <v>53.127377116529765</v>
      </c>
      <c r="S101" s="86">
        <v>10</v>
      </c>
      <c r="T101" s="85">
        <v>80</v>
      </c>
      <c r="U101" s="85">
        <f t="shared" si="12"/>
        <v>98.764324255994808</v>
      </c>
      <c r="V101" s="85">
        <f>(U101-U100)*INDEX([3]中r将兵属性验证!$V$7:$V$166,T101,1)+V100</f>
        <v>5644015525.8585281</v>
      </c>
      <c r="W101" s="87">
        <f>IFERROR(求节点(付费投放!$Q$45:$Q$60,付费投放!$S$45:$S$60,T101),0)</f>
        <v>353821.59143531125</v>
      </c>
    </row>
    <row r="102" spans="3:23" x14ac:dyDescent="0.15">
      <c r="J102" s="108">
        <v>98</v>
      </c>
      <c r="K102" s="108">
        <f t="shared" si="7"/>
        <v>41.474684612765827</v>
      </c>
      <c r="L102" s="108">
        <f t="shared" si="8"/>
        <v>47.341822910625147</v>
      </c>
      <c r="M102" s="108">
        <f t="shared" si="9"/>
        <v>51.259522358340234</v>
      </c>
      <c r="N102" s="108">
        <f t="shared" si="10"/>
        <v>54.161654392266279</v>
      </c>
      <c r="O102" s="108">
        <f t="shared" si="11"/>
        <v>53.454842435575493</v>
      </c>
      <c r="S102" s="86">
        <v>11</v>
      </c>
      <c r="T102" s="85">
        <v>90</v>
      </c>
      <c r="U102" s="85">
        <f t="shared" si="12"/>
        <v>131.41594219511998</v>
      </c>
      <c r="V102" s="85">
        <f>(U102-U101)*INDEX([3]中r将兵属性验证!$V$7:$V$166,T102,1)+V101</f>
        <v>15822648365.757895</v>
      </c>
      <c r="W102" s="87">
        <f>IFERROR(求节点(付费投放!$Q$45:$Q$60,付费投放!$S$45:$S$60,T102),0)</f>
        <v>658240.04726333229</v>
      </c>
    </row>
    <row r="103" spans="3:23" x14ac:dyDescent="0.15">
      <c r="J103" s="108">
        <v>99</v>
      </c>
      <c r="K103" s="108">
        <f t="shared" si="7"/>
        <v>42.325049501513412</v>
      </c>
      <c r="L103" s="108">
        <f t="shared" si="8"/>
        <v>48.141027402461496</v>
      </c>
      <c r="M103" s="108">
        <f t="shared" si="9"/>
        <v>51.925893797678064</v>
      </c>
      <c r="N103" s="108">
        <f t="shared" si="10"/>
        <v>54.529312500576346</v>
      </c>
      <c r="O103" s="108">
        <f t="shared" si="11"/>
        <v>53.782307754621208</v>
      </c>
      <c r="S103" s="86">
        <v>12</v>
      </c>
      <c r="T103" s="85">
        <v>100</v>
      </c>
      <c r="U103" s="85">
        <f t="shared" si="12"/>
        <v>157.77679571104767</v>
      </c>
      <c r="V103" s="85">
        <f>(U103-U102)*INDEX([3]中r将兵属性验证!$V$7:$V$166,T103,1)+V102</f>
        <v>29584242286.274357</v>
      </c>
      <c r="W103" s="87">
        <f>IFERROR(求节点(付费投放!$Q$45:$Q$60,付费投放!$S$45:$S$60,T103),0)</f>
        <v>1250763.7122129134</v>
      </c>
    </row>
    <row r="104" spans="3:23" x14ac:dyDescent="0.15">
      <c r="J104" s="108">
        <v>100</v>
      </c>
      <c r="K104" s="108">
        <f t="shared" si="7"/>
        <v>43.17541439026099</v>
      </c>
      <c r="L104" s="108">
        <f t="shared" si="8"/>
        <v>48.940231894297845</v>
      </c>
      <c r="M104" s="108">
        <f t="shared" si="9"/>
        <v>52.592265237015887</v>
      </c>
      <c r="N104" s="108">
        <f t="shared" si="10"/>
        <v>54.89697060888642</v>
      </c>
      <c r="O104" s="108">
        <f t="shared" si="11"/>
        <v>54.109773073666936</v>
      </c>
      <c r="S104" s="86">
        <v>13</v>
      </c>
      <c r="T104" s="85">
        <v>110</v>
      </c>
      <c r="U104" s="85">
        <f t="shared" si="12"/>
        <v>175.53350534323724</v>
      </c>
      <c r="V104" s="85">
        <f>(U104-U103)*INDEX([3]中r将兵属性验证!$V$7:$V$166,T104,1)+V103</f>
        <v>43013006624.424141</v>
      </c>
      <c r="W104" s="87">
        <f>IFERROR(求节点(付费投放!$Q$45:$Q$60,付费投放!$S$45:$S$60,T104),0)</f>
        <v>2392510.4237810457</v>
      </c>
    </row>
    <row r="105" spans="3:23" x14ac:dyDescent="0.15">
      <c r="J105" s="108">
        <v>101</v>
      </c>
      <c r="K105" s="108">
        <f t="shared" si="7"/>
        <v>44.025779279008582</v>
      </c>
      <c r="L105" s="108">
        <f t="shared" si="8"/>
        <v>49.739436386134201</v>
      </c>
      <c r="M105" s="108">
        <f t="shared" si="9"/>
        <v>53.258636676353717</v>
      </c>
      <c r="N105" s="108">
        <f t="shared" si="10"/>
        <v>55.264628717196494</v>
      </c>
      <c r="O105" s="108">
        <f t="shared" si="11"/>
        <v>54.437238392712665</v>
      </c>
      <c r="S105" s="86">
        <v>14</v>
      </c>
      <c r="T105" s="85">
        <v>120</v>
      </c>
      <c r="U105" s="85">
        <f t="shared" si="12"/>
        <v>188.73347580073681</v>
      </c>
      <c r="V105" s="85">
        <f>(U105-U104)*INDEX([3]中r将兵属性验证!$V$7:$V$166,T105,1)+V104</f>
        <v>56592185006.346519</v>
      </c>
      <c r="W105" s="87">
        <f>IFERROR(求节点(付费投放!$Q$45:$Q$60,付费投放!$S$45:$S$60,T105),0)</f>
        <v>4613154.2237396976</v>
      </c>
    </row>
    <row r="106" spans="3:23" x14ac:dyDescent="0.15">
      <c r="J106" s="108">
        <v>102</v>
      </c>
      <c r="K106" s="108">
        <f t="shared" si="7"/>
        <v>44.876144167756159</v>
      </c>
      <c r="L106" s="108">
        <f t="shared" si="8"/>
        <v>50.53864087797055</v>
      </c>
      <c r="M106" s="108">
        <f t="shared" si="9"/>
        <v>53.925008115691547</v>
      </c>
      <c r="N106" s="108">
        <f t="shared" si="10"/>
        <v>55.632286825506561</v>
      </c>
      <c r="O106" s="108">
        <f t="shared" si="11"/>
        <v>54.764703711758393</v>
      </c>
      <c r="S106" s="86">
        <v>15</v>
      </c>
      <c r="T106" s="85">
        <v>130</v>
      </c>
      <c r="U106" s="85">
        <f t="shared" si="12"/>
        <v>215.42647721604303</v>
      </c>
      <c r="V106" s="85">
        <f>(U106-U105)*INDEX([3]中r将兵属性验证!$V$7:$V$166,T106,1)+V105</f>
        <v>91801146920.542358</v>
      </c>
      <c r="W106" s="87">
        <f>IFERROR(求节点(付费投放!$Q$45:$Q$60,付费投放!$S$45:$S$60,T106),0)</f>
        <v>8968266.1943733655</v>
      </c>
    </row>
    <row r="107" spans="3:23" x14ac:dyDescent="0.15">
      <c r="J107" s="108">
        <v>103</v>
      </c>
      <c r="K107" s="108">
        <f t="shared" si="7"/>
        <v>45.726509056503744</v>
      </c>
      <c r="L107" s="108">
        <f t="shared" si="8"/>
        <v>51.337845369806907</v>
      </c>
      <c r="M107" s="108">
        <f t="shared" si="9"/>
        <v>54.59137955502937</v>
      </c>
      <c r="N107" s="108">
        <f t="shared" si="10"/>
        <v>55.999944933816636</v>
      </c>
      <c r="O107" s="108">
        <f t="shared" si="11"/>
        <v>55.445666492673439</v>
      </c>
      <c r="S107" s="86">
        <v>16</v>
      </c>
      <c r="T107" s="85">
        <v>140</v>
      </c>
      <c r="U107" s="85">
        <f t="shared" si="12"/>
        <v>270.85017170101668</v>
      </c>
      <c r="V107" s="85">
        <f>(U107-U106)*INDEX([3]中r将兵属性验证!$V$7:$V$166,T107,1)+V106</f>
        <v>179404829130.11472</v>
      </c>
      <c r="W107" s="87">
        <f>IFERROR(求节点(付费投放!$Q$45:$Q$60,付费投放!$S$45:$S$60,T107),0)</f>
        <v>17426220.920112628</v>
      </c>
    </row>
    <row r="108" spans="3:23" x14ac:dyDescent="0.15">
      <c r="J108" s="108">
        <v>104</v>
      </c>
      <c r="K108" s="108">
        <f t="shared" si="7"/>
        <v>46.576873945251329</v>
      </c>
      <c r="L108" s="108">
        <f t="shared" si="8"/>
        <v>52.137049861643256</v>
      </c>
      <c r="M108" s="108">
        <f t="shared" si="9"/>
        <v>55.2577509943672</v>
      </c>
      <c r="N108" s="108">
        <f t="shared" si="10"/>
        <v>56.364382765242006</v>
      </c>
      <c r="O108" s="108">
        <f t="shared" si="11"/>
        <v>57.029065156390025</v>
      </c>
      <c r="S108" s="86">
        <v>17</v>
      </c>
      <c r="T108" s="85">
        <v>150</v>
      </c>
      <c r="U108" s="85">
        <f t="shared" si="12"/>
        <v>345.87007505921315</v>
      </c>
      <c r="V108" s="85">
        <f>(U108-U107)*INDEX([3]中r将兵属性验证!$V$7:$V$166,T108,1)+V107</f>
        <v>324497065381.76123</v>
      </c>
      <c r="W108" s="87">
        <f>IFERROR(求节点(付费投放!$Q$45:$Q$60,付费投放!$S$45:$S$60,T108),0)</f>
        <v>33592030.866933778</v>
      </c>
    </row>
    <row r="109" spans="3:23" x14ac:dyDescent="0.15">
      <c r="J109" s="108">
        <v>105</v>
      </c>
      <c r="K109" s="108">
        <f t="shared" si="7"/>
        <v>47.427238833998906</v>
      </c>
      <c r="L109" s="108">
        <f t="shared" si="8"/>
        <v>52.936254353479619</v>
      </c>
      <c r="M109" s="108">
        <f t="shared" si="9"/>
        <v>55.914388108967614</v>
      </c>
      <c r="N109" s="108">
        <f t="shared" si="10"/>
        <v>56.707169334785526</v>
      </c>
      <c r="O109" s="108">
        <f t="shared" si="11"/>
        <v>58.612463820106598</v>
      </c>
      <c r="S109" s="86">
        <v>18</v>
      </c>
      <c r="T109" s="85">
        <v>160</v>
      </c>
      <c r="U109" s="85">
        <f t="shared" si="12"/>
        <v>401.17672805384473</v>
      </c>
      <c r="V109" s="85">
        <f>(U109-U108)*INDEX([3]中r将兵属性验证!$V$7:$V$166,T109,1)+V108</f>
        <v>440466862508.77222</v>
      </c>
      <c r="W109" s="87">
        <f>IFERROR(求节点(付费投放!$Q$45:$Q$60,付费投放!$S$45:$S$60,T109),0)</f>
        <v>43471294.816051871</v>
      </c>
    </row>
    <row r="110" spans="3:23" x14ac:dyDescent="0.15">
      <c r="J110" s="108">
        <v>106</v>
      </c>
      <c r="K110" s="108">
        <f t="shared" si="7"/>
        <v>48.277603722746498</v>
      </c>
      <c r="L110" s="108">
        <f t="shared" si="8"/>
        <v>53.727481441454266</v>
      </c>
      <c r="M110" s="108">
        <f t="shared" si="9"/>
        <v>56.433744176723245</v>
      </c>
      <c r="N110" s="108">
        <f t="shared" si="10"/>
        <v>57.049955904329032</v>
      </c>
      <c r="O110" s="108">
        <f t="shared" si="11"/>
        <v>60.195862483823184</v>
      </c>
      <c r="S110" s="86">
        <v>19</v>
      </c>
    </row>
    <row r="111" spans="3:23" x14ac:dyDescent="0.15">
      <c r="J111" s="108">
        <v>107</v>
      </c>
      <c r="K111" s="108">
        <f t="shared" si="7"/>
        <v>49.106164259411969</v>
      </c>
      <c r="L111" s="108">
        <f t="shared" si="8"/>
        <v>54.41172542585241</v>
      </c>
      <c r="M111" s="108">
        <f t="shared" si="9"/>
        <v>56.953100244478868</v>
      </c>
      <c r="N111" s="108">
        <f t="shared" si="10"/>
        <v>57.392742473872538</v>
      </c>
      <c r="O111" s="108">
        <f t="shared" si="11"/>
        <v>61.779261147539756</v>
      </c>
      <c r="S111" s="86">
        <v>20</v>
      </c>
    </row>
    <row r="112" spans="3:23" x14ac:dyDescent="0.15">
      <c r="J112" s="108">
        <v>108</v>
      </c>
      <c r="K112" s="108">
        <f t="shared" si="7"/>
        <v>49.790932243945967</v>
      </c>
      <c r="L112" s="108">
        <f t="shared" si="8"/>
        <v>55.095969410250547</v>
      </c>
      <c r="M112" s="108">
        <f t="shared" si="9"/>
        <v>57.472456312234499</v>
      </c>
      <c r="N112" s="108">
        <f t="shared" si="10"/>
        <v>57.735529043416044</v>
      </c>
      <c r="O112" s="108">
        <f t="shared" si="11"/>
        <v>63.362659811256343</v>
      </c>
      <c r="S112" s="86">
        <v>21</v>
      </c>
    </row>
    <row r="113" spans="10:19" x14ac:dyDescent="0.15">
      <c r="J113" s="108">
        <v>109</v>
      </c>
      <c r="K113" s="108">
        <f t="shared" si="7"/>
        <v>50.475700228479958</v>
      </c>
      <c r="L113" s="108">
        <f t="shared" si="8"/>
        <v>55.78021339464869</v>
      </c>
      <c r="M113" s="108">
        <f t="shared" si="9"/>
        <v>57.991812379990115</v>
      </c>
      <c r="N113" s="108">
        <f t="shared" si="10"/>
        <v>58.078315612959557</v>
      </c>
      <c r="O113" s="108">
        <f t="shared" si="11"/>
        <v>64.946058474972915</v>
      </c>
      <c r="S113" s="86">
        <v>22</v>
      </c>
    </row>
    <row r="114" spans="10:19" x14ac:dyDescent="0.15">
      <c r="J114" s="108">
        <v>110</v>
      </c>
      <c r="K114" s="108">
        <f t="shared" si="7"/>
        <v>51.160468213013957</v>
      </c>
      <c r="L114" s="108">
        <f t="shared" si="8"/>
        <v>56.464457379046827</v>
      </c>
      <c r="M114" s="108">
        <f t="shared" si="9"/>
        <v>58.511168447745746</v>
      </c>
      <c r="N114" s="108">
        <f t="shared" si="10"/>
        <v>58.421102182503063</v>
      </c>
      <c r="O114" s="108">
        <f t="shared" si="11"/>
        <v>66.529457138689494</v>
      </c>
      <c r="S114" s="86">
        <v>23</v>
      </c>
    </row>
    <row r="115" spans="10:19" x14ac:dyDescent="0.15">
      <c r="J115" s="108">
        <v>111</v>
      </c>
      <c r="K115" s="108">
        <f t="shared" si="7"/>
        <v>51.845236197547955</v>
      </c>
      <c r="L115" s="108">
        <f t="shared" si="8"/>
        <v>57.148701363444964</v>
      </c>
      <c r="M115" s="108">
        <f t="shared" si="9"/>
        <v>59.030524515501376</v>
      </c>
      <c r="N115" s="108">
        <f t="shared" si="10"/>
        <v>58.763888752046569</v>
      </c>
      <c r="O115" s="108">
        <f t="shared" si="11"/>
        <v>68.112855802406074</v>
      </c>
      <c r="S115" s="86">
        <v>24</v>
      </c>
    </row>
    <row r="116" spans="10:19" x14ac:dyDescent="0.15">
      <c r="J116" s="108">
        <v>112</v>
      </c>
      <c r="K116" s="108">
        <f t="shared" si="7"/>
        <v>52.530004182081939</v>
      </c>
      <c r="L116" s="108">
        <f t="shared" si="8"/>
        <v>57.832945347843115</v>
      </c>
      <c r="M116" s="108">
        <f t="shared" si="9"/>
        <v>59.549880583257</v>
      </c>
      <c r="N116" s="108">
        <f t="shared" si="10"/>
        <v>59.106675321590082</v>
      </c>
      <c r="O116" s="108">
        <f t="shared" si="11"/>
        <v>69.696254466122653</v>
      </c>
      <c r="S116" s="86">
        <v>25</v>
      </c>
    </row>
    <row r="117" spans="10:19" x14ac:dyDescent="0.15">
      <c r="J117" s="108">
        <v>113</v>
      </c>
      <c r="K117" s="108">
        <f t="shared" si="7"/>
        <v>53.214772166615937</v>
      </c>
      <c r="L117" s="108">
        <f t="shared" si="8"/>
        <v>58.517189332241252</v>
      </c>
      <c r="M117" s="108">
        <f t="shared" si="9"/>
        <v>60.069236651012631</v>
      </c>
      <c r="N117" s="108">
        <f t="shared" si="10"/>
        <v>59.449461891133588</v>
      </c>
      <c r="O117" s="108">
        <f t="shared" si="11"/>
        <v>71.279653129839232</v>
      </c>
      <c r="S117" s="86">
        <v>26</v>
      </c>
    </row>
    <row r="118" spans="10:19" x14ac:dyDescent="0.15">
      <c r="J118" s="108">
        <v>114</v>
      </c>
      <c r="K118" s="108">
        <f t="shared" si="7"/>
        <v>53.899540151149928</v>
      </c>
      <c r="L118" s="108">
        <f t="shared" si="8"/>
        <v>59.201433316639395</v>
      </c>
      <c r="M118" s="108">
        <f t="shared" si="9"/>
        <v>60.588592718768261</v>
      </c>
      <c r="N118" s="108">
        <f t="shared" si="10"/>
        <v>59.792248460677094</v>
      </c>
      <c r="O118" s="108">
        <f t="shared" si="11"/>
        <v>72.971380989527262</v>
      </c>
      <c r="S118" s="86">
        <v>27</v>
      </c>
    </row>
    <row r="119" spans="10:19" x14ac:dyDescent="0.15">
      <c r="J119" s="108">
        <v>115</v>
      </c>
      <c r="K119" s="108">
        <f t="shared" si="7"/>
        <v>54.584308135683926</v>
      </c>
      <c r="L119" s="108">
        <f t="shared" si="8"/>
        <v>59.885677301037532</v>
      </c>
      <c r="M119" s="108">
        <f t="shared" si="9"/>
        <v>61.107948786523885</v>
      </c>
      <c r="N119" s="108">
        <f t="shared" si="10"/>
        <v>60.427863164104366</v>
      </c>
      <c r="O119" s="108">
        <f t="shared" si="11"/>
        <v>74.753525899324828</v>
      </c>
      <c r="S119" s="86">
        <v>28</v>
      </c>
    </row>
    <row r="120" spans="10:19" x14ac:dyDescent="0.15">
      <c r="J120" s="108">
        <v>116</v>
      </c>
      <c r="K120" s="108">
        <f t="shared" si="7"/>
        <v>55.269076120217925</v>
      </c>
      <c r="L120" s="108">
        <f t="shared" si="8"/>
        <v>60.569921285435669</v>
      </c>
      <c r="M120" s="108">
        <f t="shared" si="9"/>
        <v>61.561672452640146</v>
      </c>
      <c r="N120" s="108">
        <f t="shared" si="10"/>
        <v>61.51399426666169</v>
      </c>
      <c r="O120" s="108">
        <f t="shared" si="11"/>
        <v>76.535670809122379</v>
      </c>
      <c r="S120" s="86">
        <v>29</v>
      </c>
    </row>
    <row r="121" spans="10:19" x14ac:dyDescent="0.15">
      <c r="J121" s="108">
        <v>117</v>
      </c>
      <c r="K121" s="108">
        <f t="shared" si="7"/>
        <v>55.953844104751916</v>
      </c>
      <c r="L121" s="108">
        <f t="shared" si="8"/>
        <v>61.188020729592068</v>
      </c>
      <c r="M121" s="108">
        <f t="shared" si="9"/>
        <v>61.899043989541504</v>
      </c>
      <c r="N121" s="108">
        <f t="shared" si="10"/>
        <v>62.600125369219008</v>
      </c>
      <c r="O121" s="108">
        <f t="shared" si="11"/>
        <v>78.317815718919945</v>
      </c>
      <c r="S121" s="86">
        <v>30</v>
      </c>
    </row>
    <row r="122" spans="10:19" x14ac:dyDescent="0.15">
      <c r="J122" s="108">
        <v>118</v>
      </c>
      <c r="K122" s="108">
        <f t="shared" si="7"/>
        <v>56.575447005852105</v>
      </c>
      <c r="L122" s="108">
        <f t="shared" si="8"/>
        <v>61.718409013122574</v>
      </c>
      <c r="M122" s="108">
        <f t="shared" si="9"/>
        <v>62.236415526442869</v>
      </c>
      <c r="N122" s="108">
        <f t="shared" si="10"/>
        <v>63.686256471776339</v>
      </c>
      <c r="O122" s="108">
        <f t="shared" si="11"/>
        <v>80.099960628717511</v>
      </c>
      <c r="S122" s="86">
        <v>31</v>
      </c>
    </row>
    <row r="123" spans="10:19" x14ac:dyDescent="0.15">
      <c r="J123" s="108">
        <v>119</v>
      </c>
      <c r="K123" s="108">
        <f t="shared" si="7"/>
        <v>57.147167263753595</v>
      </c>
      <c r="L123" s="108">
        <f t="shared" si="8"/>
        <v>62.248797296653095</v>
      </c>
      <c r="M123" s="108">
        <f t="shared" si="9"/>
        <v>62.573787063344234</v>
      </c>
      <c r="N123" s="108">
        <f t="shared" si="10"/>
        <v>64.772387574333663</v>
      </c>
      <c r="O123" s="108">
        <f t="shared" si="11"/>
        <v>81.882105538515077</v>
      </c>
      <c r="S123" s="86">
        <v>32</v>
      </c>
    </row>
    <row r="124" spans="10:19" x14ac:dyDescent="0.15">
      <c r="J124" s="108">
        <v>120</v>
      </c>
      <c r="K124" s="108">
        <f t="shared" si="7"/>
        <v>57.71888752165507</v>
      </c>
      <c r="L124" s="108">
        <f t="shared" si="8"/>
        <v>62.779185580183601</v>
      </c>
      <c r="M124" s="108">
        <f t="shared" si="9"/>
        <v>62.911158600245606</v>
      </c>
      <c r="N124" s="108">
        <f t="shared" si="10"/>
        <v>65.858518676890981</v>
      </c>
      <c r="O124" s="108">
        <f t="shared" si="11"/>
        <v>83.664250448312643</v>
      </c>
      <c r="S124" s="86">
        <v>33</v>
      </c>
    </row>
    <row r="125" spans="10:19" x14ac:dyDescent="0.15">
      <c r="J125" s="108">
        <v>121</v>
      </c>
      <c r="K125" s="108">
        <f t="shared" si="7"/>
        <v>58.290607779556559</v>
      </c>
      <c r="L125" s="108">
        <f t="shared" si="8"/>
        <v>63.309573863714114</v>
      </c>
      <c r="M125" s="108">
        <f t="shared" si="9"/>
        <v>63.248530137146965</v>
      </c>
      <c r="N125" s="108">
        <f t="shared" si="10"/>
        <v>66.944649779448312</v>
      </c>
      <c r="O125" s="108">
        <f t="shared" si="11"/>
        <v>85.446395358110195</v>
      </c>
      <c r="S125" s="86">
        <v>34</v>
      </c>
    </row>
    <row r="126" spans="10:19" x14ac:dyDescent="0.15">
      <c r="J126" s="108">
        <v>122</v>
      </c>
      <c r="K126" s="108">
        <f t="shared" si="7"/>
        <v>58.862328037458042</v>
      </c>
      <c r="L126" s="108">
        <f t="shared" si="8"/>
        <v>63.839962147244627</v>
      </c>
      <c r="M126" s="108">
        <f t="shared" si="9"/>
        <v>63.58590167404833</v>
      </c>
      <c r="N126" s="108">
        <f t="shared" si="10"/>
        <v>68.030780882005629</v>
      </c>
      <c r="O126" s="108">
        <f t="shared" si="11"/>
        <v>87.228540267907761</v>
      </c>
      <c r="S126" s="86">
        <v>35</v>
      </c>
    </row>
    <row r="127" spans="10:19" x14ac:dyDescent="0.15">
      <c r="J127" s="108">
        <v>123</v>
      </c>
      <c r="K127" s="108">
        <f t="shared" si="7"/>
        <v>59.434048295359531</v>
      </c>
      <c r="L127" s="108">
        <f t="shared" si="8"/>
        <v>64.370350430775133</v>
      </c>
      <c r="M127" s="108">
        <f t="shared" si="9"/>
        <v>63.923273210949695</v>
      </c>
      <c r="N127" s="108">
        <f t="shared" si="10"/>
        <v>69.116911984562947</v>
      </c>
      <c r="O127" s="108">
        <f t="shared" si="11"/>
        <v>89.010685177705327</v>
      </c>
      <c r="S127" s="86">
        <v>36</v>
      </c>
    </row>
    <row r="128" spans="10:19" x14ac:dyDescent="0.15">
      <c r="J128" s="108">
        <v>124</v>
      </c>
      <c r="K128" s="108">
        <f t="shared" si="7"/>
        <v>60.005768553261021</v>
      </c>
      <c r="L128" s="108">
        <f t="shared" si="8"/>
        <v>64.90073871430566</v>
      </c>
      <c r="M128" s="108">
        <f t="shared" si="9"/>
        <v>64.26064474785106</v>
      </c>
      <c r="N128" s="108">
        <f t="shared" si="10"/>
        <v>70.203043087120264</v>
      </c>
      <c r="O128" s="108">
        <f t="shared" si="11"/>
        <v>90.792830087502878</v>
      </c>
      <c r="S128" s="86">
        <v>37</v>
      </c>
    </row>
    <row r="129" spans="10:23" x14ac:dyDescent="0.15">
      <c r="J129" s="108">
        <v>125</v>
      </c>
      <c r="K129" s="108">
        <f t="shared" si="7"/>
        <v>60.577488811162503</v>
      </c>
      <c r="L129" s="108">
        <f t="shared" si="8"/>
        <v>65.431126997836159</v>
      </c>
      <c r="M129" s="108">
        <f t="shared" si="9"/>
        <v>64.598016284752418</v>
      </c>
      <c r="N129" s="108">
        <f t="shared" si="10"/>
        <v>71.289174189677595</v>
      </c>
      <c r="O129" s="108">
        <f t="shared" si="11"/>
        <v>93.864989323077268</v>
      </c>
      <c r="S129" s="86">
        <v>38</v>
      </c>
    </row>
    <row r="130" spans="10:23" x14ac:dyDescent="0.15">
      <c r="J130" s="108">
        <v>126</v>
      </c>
      <c r="K130" s="108">
        <f t="shared" si="7"/>
        <v>61.149209069063978</v>
      </c>
      <c r="L130" s="108">
        <f t="shared" si="8"/>
        <v>65.961515281366687</v>
      </c>
      <c r="M130" s="108">
        <f t="shared" si="9"/>
        <v>64.935387821653777</v>
      </c>
      <c r="N130" s="108">
        <f t="shared" si="10"/>
        <v>73.495656363159071</v>
      </c>
      <c r="O130" s="108">
        <f t="shared" si="11"/>
        <v>97.106835160311519</v>
      </c>
      <c r="S130" s="86">
        <v>39</v>
      </c>
    </row>
    <row r="131" spans="10:23" x14ac:dyDescent="0.15">
      <c r="J131" s="108">
        <v>127</v>
      </c>
      <c r="K131" s="108">
        <f t="shared" si="7"/>
        <v>61.720929326965468</v>
      </c>
      <c r="L131" s="108">
        <f t="shared" si="8"/>
        <v>66.491903564897186</v>
      </c>
      <c r="M131" s="108">
        <f t="shared" si="9"/>
        <v>66.445410978375648</v>
      </c>
      <c r="N131" s="108">
        <f t="shared" si="10"/>
        <v>75.971986010965864</v>
      </c>
      <c r="O131" s="108">
        <f t="shared" si="11"/>
        <v>100.34868099754578</v>
      </c>
      <c r="S131" s="86">
        <v>40</v>
      </c>
    </row>
    <row r="132" spans="10:23" x14ac:dyDescent="0.15">
      <c r="J132" s="108">
        <v>128</v>
      </c>
      <c r="K132" s="108">
        <f t="shared" si="7"/>
        <v>62.292649584866957</v>
      </c>
      <c r="L132" s="108">
        <f t="shared" si="8"/>
        <v>66.843453574564776</v>
      </c>
      <c r="M132" s="108">
        <f t="shared" si="9"/>
        <v>68.23321589847744</v>
      </c>
      <c r="N132" s="108">
        <f t="shared" si="10"/>
        <v>78.448315658772643</v>
      </c>
      <c r="O132" s="108">
        <f t="shared" si="11"/>
        <v>103.59052683478005</v>
      </c>
      <c r="S132" s="86">
        <v>41</v>
      </c>
    </row>
    <row r="133" spans="10:23" x14ac:dyDescent="0.15">
      <c r="J133" s="108">
        <v>129</v>
      </c>
      <c r="K133" s="108">
        <f t="shared" si="7"/>
        <v>62.928315342029059</v>
      </c>
      <c r="L133" s="108">
        <f t="shared" si="8"/>
        <v>67.168660379282045</v>
      </c>
      <c r="M133" s="108">
        <f t="shared" si="9"/>
        <v>70.021020818579231</v>
      </c>
      <c r="N133" s="108">
        <f t="shared" si="10"/>
        <v>80.924645306579436</v>
      </c>
      <c r="O133" s="108">
        <f t="shared" si="11"/>
        <v>106.8323726720143</v>
      </c>
      <c r="S133" s="86">
        <v>42</v>
      </c>
    </row>
    <row r="134" spans="10:23" x14ac:dyDescent="0.15">
      <c r="J134" s="108">
        <v>130</v>
      </c>
      <c r="K134" s="108">
        <f t="shared" ref="K134:K164" si="13">IFERROR(求节点($F$5:$F$20,$G$5:$G$20,$J134)/3,0)</f>
        <v>63.564358043835803</v>
      </c>
      <c r="L134" s="108">
        <f t="shared" ref="L134:L164" si="14">IFERROR(求节点($F$25:$F$40,$G$25:$G$40,$J134)/3,0)</f>
        <v>67.493867183999299</v>
      </c>
      <c r="M134" s="108">
        <f t="shared" ref="M134:M164" si="15">IFERROR(求节点($F$45:$F$60,$G$45:$G$60,$J134)/3,0)</f>
        <v>71.808825738681008</v>
      </c>
      <c r="N134" s="108">
        <f t="shared" ref="N134:N164" si="16">IFERROR(求节点($F$65:$F$80,$G$65:$G$80,$J134)/3,0)</f>
        <v>83.400974954386228</v>
      </c>
      <c r="O134" s="108">
        <f t="shared" ref="O134:O164" si="17">IFERROR(求节点($F$85:$F$100,$G$85:$G$100,$J134)/3,0)</f>
        <v>110.07421850924858</v>
      </c>
      <c r="S134" s="86">
        <v>43</v>
      </c>
    </row>
    <row r="135" spans="10:23" x14ac:dyDescent="0.15">
      <c r="J135" s="108">
        <v>131</v>
      </c>
      <c r="K135" s="108">
        <f t="shared" si="13"/>
        <v>64.200400745642568</v>
      </c>
      <c r="L135" s="108">
        <f t="shared" si="14"/>
        <v>67.819073988716553</v>
      </c>
      <c r="M135" s="108">
        <f t="shared" si="15"/>
        <v>73.5966306587828</v>
      </c>
      <c r="N135" s="108">
        <f t="shared" si="16"/>
        <v>85.877304602193007</v>
      </c>
      <c r="O135" s="108">
        <f t="shared" si="17"/>
        <v>113.31606434648285</v>
      </c>
      <c r="S135" s="86">
        <v>44</v>
      </c>
    </row>
    <row r="136" spans="10:23" x14ac:dyDescent="0.15">
      <c r="J136" s="108">
        <v>132</v>
      </c>
      <c r="K136" s="108">
        <f t="shared" si="13"/>
        <v>64.836443447449312</v>
      </c>
      <c r="L136" s="108">
        <f t="shared" si="14"/>
        <v>68.144280793433808</v>
      </c>
      <c r="M136" s="108">
        <f t="shared" si="15"/>
        <v>75.384435578884577</v>
      </c>
      <c r="N136" s="108">
        <f t="shared" si="16"/>
        <v>88.3536342499998</v>
      </c>
      <c r="O136" s="108">
        <f t="shared" si="17"/>
        <v>116.55791018371711</v>
      </c>
      <c r="S136" s="86">
        <v>45</v>
      </c>
    </row>
    <row r="137" spans="10:23" x14ac:dyDescent="0.15">
      <c r="J137" s="108">
        <v>133</v>
      </c>
      <c r="K137" s="108">
        <f t="shared" si="13"/>
        <v>65.472486149256071</v>
      </c>
      <c r="L137" s="108">
        <f t="shared" si="14"/>
        <v>68.469487598151062</v>
      </c>
      <c r="M137" s="108">
        <f t="shared" si="15"/>
        <v>77.172240498986369</v>
      </c>
      <c r="N137" s="108">
        <f t="shared" si="16"/>
        <v>90.829963897806579</v>
      </c>
      <c r="O137" s="108">
        <f t="shared" si="17"/>
        <v>119.79975602095136</v>
      </c>
      <c r="S137" s="86">
        <v>1</v>
      </c>
      <c r="T137" s="85" t="s">
        <v>3</v>
      </c>
    </row>
    <row r="138" spans="10:23" x14ac:dyDescent="0.15">
      <c r="J138" s="108">
        <v>134</v>
      </c>
      <c r="K138" s="108">
        <f t="shared" si="13"/>
        <v>66.108528851062815</v>
      </c>
      <c r="L138" s="108">
        <f t="shared" si="14"/>
        <v>68.794694402868316</v>
      </c>
      <c r="M138" s="108">
        <f t="shared" si="15"/>
        <v>78.960045419088161</v>
      </c>
      <c r="N138" s="108">
        <f t="shared" si="16"/>
        <v>93.306293545613357</v>
      </c>
      <c r="O138" s="108">
        <f t="shared" si="17"/>
        <v>123.04160185818563</v>
      </c>
      <c r="S138" s="86">
        <v>2</v>
      </c>
      <c r="T138" s="85" t="s">
        <v>102</v>
      </c>
      <c r="U138" s="85" t="s">
        <v>210</v>
      </c>
      <c r="V138" s="85" t="s">
        <v>208</v>
      </c>
      <c r="W138" s="87" t="s">
        <v>209</v>
      </c>
    </row>
    <row r="139" spans="10:23" x14ac:dyDescent="0.15">
      <c r="J139" s="108">
        <v>135</v>
      </c>
      <c r="K139" s="108">
        <f t="shared" si="13"/>
        <v>66.744571552869573</v>
      </c>
      <c r="L139" s="108">
        <f t="shared" si="14"/>
        <v>69.119901207585571</v>
      </c>
      <c r="M139" s="108">
        <f t="shared" si="15"/>
        <v>80.747850339189938</v>
      </c>
      <c r="N139" s="108">
        <f t="shared" si="16"/>
        <v>95.78262319342015</v>
      </c>
      <c r="O139" s="108">
        <f t="shared" si="17"/>
        <v>126.07408186966882</v>
      </c>
      <c r="S139" s="86">
        <v>3</v>
      </c>
      <c r="T139" s="85">
        <v>10</v>
      </c>
      <c r="U139" s="85">
        <f>IFERROR(求节点($F$65:$F$80,$G$65:$G$80,T139),0)</f>
        <v>0</v>
      </c>
      <c r="V139" s="17">
        <f>U139*INDEX([3]大r将兵属性验证!$V$7:$V$166,T139,1)</f>
        <v>0</v>
      </c>
      <c r="W139" s="87">
        <f>IFERROR(求节点(付费投放!$Q$65:$Q$80,付费投放!$S$65:$S$80,T139),0)</f>
        <v>0</v>
      </c>
    </row>
    <row r="140" spans="10:23" x14ac:dyDescent="0.15">
      <c r="J140" s="108">
        <v>136</v>
      </c>
      <c r="K140" s="108">
        <f t="shared" si="13"/>
        <v>67.380614254676331</v>
      </c>
      <c r="L140" s="108">
        <f t="shared" si="14"/>
        <v>69.445108012302825</v>
      </c>
      <c r="M140" s="108">
        <f t="shared" si="15"/>
        <v>82.535655259291715</v>
      </c>
      <c r="N140" s="108">
        <f t="shared" si="16"/>
        <v>98.215909904714806</v>
      </c>
      <c r="O140" s="108">
        <f t="shared" si="17"/>
        <v>126.92137046887451</v>
      </c>
      <c r="S140" s="86">
        <v>4</v>
      </c>
      <c r="T140" s="85">
        <v>20</v>
      </c>
      <c r="U140" s="85">
        <f t="shared" ref="U140:U154" si="18">IFERROR(求节点($F$65:$F$80,$G$65:$G$80,T140),0)</f>
        <v>8.5143962557441775</v>
      </c>
      <c r="V140" s="85">
        <f>(U140-U139)*INDEX([3]大r将兵属性验证!$V$7:$V$166,T140,1)+V139</f>
        <v>6163983.2595917778</v>
      </c>
      <c r="W140" s="87">
        <f>IFERROR(求节点(付费投放!$Q$65:$Q$80,付费投放!$S$65:$S$80,T140),0)</f>
        <v>20692.022443927905</v>
      </c>
    </row>
    <row r="141" spans="10:23" x14ac:dyDescent="0.15">
      <c r="J141" s="108">
        <v>137</v>
      </c>
      <c r="K141" s="108">
        <f t="shared" si="13"/>
        <v>68.016656956483075</v>
      </c>
      <c r="L141" s="108">
        <f t="shared" si="14"/>
        <v>69.770314817020079</v>
      </c>
      <c r="M141" s="108">
        <f t="shared" si="15"/>
        <v>84.357389016209098</v>
      </c>
      <c r="N141" s="108">
        <f t="shared" si="16"/>
        <v>100.28062599652179</v>
      </c>
      <c r="O141" s="108">
        <f t="shared" si="17"/>
        <v>127.76865906808023</v>
      </c>
      <c r="S141" s="86">
        <v>5</v>
      </c>
      <c r="T141" s="85">
        <v>30</v>
      </c>
      <c r="U141" s="85">
        <f t="shared" si="18"/>
        <v>19.933818131987504</v>
      </c>
      <c r="V141" s="85">
        <f>(U141-U140)*INDEX([3]大r将兵属性验证!$V$7:$V$166,T141,1)+V140</f>
        <v>32705995.581446107</v>
      </c>
      <c r="W141" s="87">
        <f>IFERROR(求节点(付费投放!$Q$65:$Q$80,付费投放!$S$65:$S$80,T141),0)</f>
        <v>38779.110408047411</v>
      </c>
    </row>
    <row r="142" spans="10:23" x14ac:dyDescent="0.15">
      <c r="J142" s="108">
        <v>138</v>
      </c>
      <c r="K142" s="108">
        <f t="shared" si="13"/>
        <v>68.652699658289833</v>
      </c>
      <c r="L142" s="108">
        <f t="shared" si="14"/>
        <v>70.555914599958655</v>
      </c>
      <c r="M142" s="108">
        <f t="shared" si="15"/>
        <v>86.332722866474583</v>
      </c>
      <c r="N142" s="108">
        <f t="shared" si="16"/>
        <v>102.34534208832879</v>
      </c>
      <c r="O142" s="108">
        <f t="shared" si="17"/>
        <v>128.61594766728592</v>
      </c>
      <c r="S142" s="86">
        <v>6</v>
      </c>
      <c r="T142" s="85">
        <v>40</v>
      </c>
      <c r="U142" s="85">
        <f t="shared" si="18"/>
        <v>34.778375832220057</v>
      </c>
      <c r="V142" s="85">
        <f>(U142-U141)*INDEX([3]大r将兵属性验证!$V$7:$V$166,T142,1)+V141</f>
        <v>147229487.75718543</v>
      </c>
      <c r="W142" s="87">
        <f>IFERROR(求节点(付费投放!$Q$65:$Q$80,付费投放!$S$65:$S$80,T142),0)</f>
        <v>74341.721699990681</v>
      </c>
    </row>
    <row r="143" spans="10:23" x14ac:dyDescent="0.15">
      <c r="J143" s="108">
        <v>139</v>
      </c>
      <c r="K143" s="108">
        <f t="shared" si="13"/>
        <v>69.258351643294574</v>
      </c>
      <c r="L143" s="108">
        <f t="shared" si="14"/>
        <v>72.448545895995053</v>
      </c>
      <c r="M143" s="108">
        <f t="shared" si="15"/>
        <v>88.308056716740069</v>
      </c>
      <c r="N143" s="108">
        <f t="shared" si="16"/>
        <v>104.41005818013578</v>
      </c>
      <c r="O143" s="108">
        <f t="shared" si="17"/>
        <v>129.46323626649161</v>
      </c>
      <c r="S143" s="86">
        <v>7</v>
      </c>
      <c r="T143" s="85">
        <v>50</v>
      </c>
      <c r="U143" s="85">
        <f t="shared" si="18"/>
        <v>50.332261965857491</v>
      </c>
      <c r="V143" s="85">
        <f>(U143-U142)*INDEX([3]大r将兵属性验证!$V$7:$V$166,T143,1)+V142</f>
        <v>396639122.44986928</v>
      </c>
      <c r="W143" s="87">
        <f>IFERROR(求节点(付费投放!$Q$65:$Q$80,付费投放!$S$65:$S$80,T143),0)</f>
        <v>136659.2834772791</v>
      </c>
    </row>
    <row r="144" spans="10:23" x14ac:dyDescent="0.15">
      <c r="J144" s="108">
        <v>140</v>
      </c>
      <c r="K144" s="108">
        <f t="shared" si="13"/>
        <v>69.829254357610793</v>
      </c>
      <c r="L144" s="108">
        <f t="shared" si="14"/>
        <v>74.341177192031438</v>
      </c>
      <c r="M144" s="108">
        <f t="shared" si="15"/>
        <v>90.283390567005554</v>
      </c>
      <c r="N144" s="108">
        <f t="shared" si="16"/>
        <v>106.47477427194279</v>
      </c>
      <c r="O144" s="108">
        <f t="shared" si="17"/>
        <v>130.31052486569732</v>
      </c>
      <c r="S144" s="86">
        <v>8</v>
      </c>
      <c r="T144" s="85">
        <v>60</v>
      </c>
      <c r="U144" s="85">
        <f t="shared" si="18"/>
        <v>69.076081369109971</v>
      </c>
      <c r="V144" s="85">
        <f>(U144-U143)*INDEX([3]大r将兵属性验证!$V$7:$V$166,T144,1)+V143</f>
        <v>1101929833.2962685</v>
      </c>
      <c r="W144" s="87">
        <f>IFERROR(求节点(付费投放!$Q$65:$Q$80,付费投放!$S$65:$S$80,T144),0)</f>
        <v>252619.74648457771</v>
      </c>
    </row>
    <row r="145" spans="10:23" x14ac:dyDescent="0.15">
      <c r="J145" s="108">
        <v>141</v>
      </c>
      <c r="K145" s="108">
        <f t="shared" si="13"/>
        <v>70.400157071927012</v>
      </c>
      <c r="L145" s="108">
        <f t="shared" si="14"/>
        <v>76.233808488067822</v>
      </c>
      <c r="M145" s="108">
        <f t="shared" si="15"/>
        <v>92.25872441727104</v>
      </c>
      <c r="N145" s="108">
        <f t="shared" si="16"/>
        <v>108.53949036374978</v>
      </c>
      <c r="O145" s="108">
        <f t="shared" si="17"/>
        <v>131.157813464903</v>
      </c>
      <c r="S145" s="86">
        <v>9</v>
      </c>
      <c r="T145" s="85">
        <v>70</v>
      </c>
      <c r="U145" s="85">
        <f t="shared" si="18"/>
        <v>92.984218571892029</v>
      </c>
      <c r="V145" s="85">
        <f>(U145-U144)*INDEX([3]大r将兵属性验证!$V$7:$V$166,T145,1)+V144</f>
        <v>3235838843.6323862</v>
      </c>
      <c r="W145" s="87">
        <f>IFERROR(求节点(付费投放!$Q$65:$Q$80,付费投放!$S$65:$S$80,T145),0)</f>
        <v>493728.62594527553</v>
      </c>
    </row>
    <row r="146" spans="10:23" x14ac:dyDescent="0.15">
      <c r="J146" s="108">
        <v>142</v>
      </c>
      <c r="K146" s="108">
        <f t="shared" si="13"/>
        <v>70.971059786243245</v>
      </c>
      <c r="L146" s="108">
        <f t="shared" si="14"/>
        <v>78.126439784104221</v>
      </c>
      <c r="M146" s="108">
        <f t="shared" si="15"/>
        <v>94.234058267536525</v>
      </c>
      <c r="N146" s="108">
        <f t="shared" si="16"/>
        <v>110.60420645555678</v>
      </c>
      <c r="O146" s="108">
        <f t="shared" si="17"/>
        <v>132.00510206410871</v>
      </c>
      <c r="S146" s="86">
        <v>10</v>
      </c>
      <c r="T146" s="85">
        <v>80</v>
      </c>
      <c r="U146" s="85">
        <f t="shared" si="18"/>
        <v>118.1670515669033</v>
      </c>
      <c r="V146" s="85">
        <f>(U146-U145)*INDEX([3]大r将兵属性验证!$V$7:$V$166,T146,1)+V145</f>
        <v>8265287887.00457</v>
      </c>
      <c r="W146" s="87">
        <f>IFERROR(求节点(付费投放!$Q$65:$Q$80,付费投放!$S$65:$S$80,T146),0)</f>
        <v>944624.29627524456</v>
      </c>
    </row>
    <row r="147" spans="10:23" x14ac:dyDescent="0.15">
      <c r="J147" s="108">
        <v>143</v>
      </c>
      <c r="K147" s="108">
        <f t="shared" si="13"/>
        <v>71.541962500559464</v>
      </c>
      <c r="L147" s="108">
        <f t="shared" si="14"/>
        <v>80.019071080140606</v>
      </c>
      <c r="M147" s="108">
        <f t="shared" si="15"/>
        <v>96.209392117802039</v>
      </c>
      <c r="N147" s="108">
        <f t="shared" si="16"/>
        <v>112.66892254736376</v>
      </c>
      <c r="O147" s="108">
        <f t="shared" si="17"/>
        <v>132.8523906633144</v>
      </c>
      <c r="S147" s="86">
        <v>11</v>
      </c>
      <c r="T147" s="85">
        <v>90</v>
      </c>
      <c r="U147" s="85">
        <f t="shared" si="18"/>
        <v>147.16949063057476</v>
      </c>
      <c r="V147" s="85">
        <f>(U147-U146)*INDEX([3]大r将兵属性验证!$V$7:$V$166,T147,1)+V146</f>
        <v>20136231748.87439</v>
      </c>
      <c r="W147" s="87">
        <f>IFERROR(求节点(付费投放!$Q$65:$Q$80,付费投放!$S$65:$S$80,T147),0)</f>
        <v>1789108.8288262249</v>
      </c>
    </row>
    <row r="148" spans="10:23" x14ac:dyDescent="0.15">
      <c r="J148" s="108">
        <v>144</v>
      </c>
      <c r="K148" s="108">
        <f t="shared" si="13"/>
        <v>72.112865214875697</v>
      </c>
      <c r="L148" s="108">
        <f t="shared" si="14"/>
        <v>81.91170237617699</v>
      </c>
      <c r="M148" s="108">
        <f t="shared" si="15"/>
        <v>98.184725968067525</v>
      </c>
      <c r="N148" s="108">
        <f t="shared" si="16"/>
        <v>114.73363863917075</v>
      </c>
      <c r="O148" s="108">
        <f t="shared" si="17"/>
        <v>133.69967926252011</v>
      </c>
      <c r="S148" s="86">
        <v>12</v>
      </c>
      <c r="T148" s="85">
        <v>100</v>
      </c>
      <c r="U148" s="85">
        <f t="shared" si="18"/>
        <v>164.69091182665926</v>
      </c>
      <c r="V148" s="85">
        <f>(U148-U147)*INDEX([3]大r将兵属性验证!$V$7:$V$166,T148,1)+V147</f>
        <v>31598719250.339256</v>
      </c>
      <c r="W148" s="87">
        <f>IFERROR(求节点(付费投放!$Q$65:$Q$80,付费投放!$S$65:$S$80,T148),0)</f>
        <v>3489094.2463929709</v>
      </c>
    </row>
    <row r="149" spans="10:23" x14ac:dyDescent="0.15">
      <c r="J149" s="108">
        <v>145</v>
      </c>
      <c r="K149" s="108">
        <f t="shared" si="13"/>
        <v>72.683767929191916</v>
      </c>
      <c r="L149" s="108">
        <f t="shared" si="14"/>
        <v>83.804333672213389</v>
      </c>
      <c r="M149" s="108">
        <f t="shared" si="15"/>
        <v>100.16005981833301</v>
      </c>
      <c r="N149" s="108">
        <f t="shared" si="16"/>
        <v>116.79835473097775</v>
      </c>
      <c r="O149" s="108">
        <f t="shared" si="17"/>
        <v>134.54696786172579</v>
      </c>
      <c r="S149" s="86">
        <v>13</v>
      </c>
      <c r="T149" s="85">
        <v>110</v>
      </c>
      <c r="U149" s="85">
        <f t="shared" si="18"/>
        <v>175.26330654750919</v>
      </c>
      <c r="V149" s="85">
        <f>(U149-U148)*INDEX([3]大r将兵属性验证!$V$7:$V$166,T149,1)+V148</f>
        <v>40805888357.553055</v>
      </c>
      <c r="W149" s="87">
        <f>IFERROR(求节点(付费投放!$Q$65:$Q$80,付费投放!$S$65:$S$80,T149),0)</f>
        <v>6831310.5274903886</v>
      </c>
    </row>
    <row r="150" spans="10:23" x14ac:dyDescent="0.15">
      <c r="J150" s="108">
        <v>146</v>
      </c>
      <c r="K150" s="108">
        <f t="shared" si="13"/>
        <v>73.254670643508149</v>
      </c>
      <c r="L150" s="108">
        <f t="shared" si="14"/>
        <v>85.696964968249759</v>
      </c>
      <c r="M150" s="108">
        <f t="shared" si="15"/>
        <v>102.1353936685985</v>
      </c>
      <c r="N150" s="108">
        <f t="shared" si="16"/>
        <v>118.86307082278474</v>
      </c>
      <c r="O150" s="108">
        <f t="shared" si="17"/>
        <v>135.75506021228782</v>
      </c>
      <c r="S150" s="86">
        <v>14</v>
      </c>
      <c r="T150" s="85">
        <v>120</v>
      </c>
      <c r="U150" s="85">
        <f t="shared" si="18"/>
        <v>197.57555603067294</v>
      </c>
      <c r="V150" s="85">
        <f>(U150-U149)*INDEX([3]大r将兵属性验证!$V$7:$V$166,T150,1)+V149</f>
        <v>65611445825.881821</v>
      </c>
      <c r="W150" s="87">
        <f>IFERROR(求节点(付费投放!$Q$65:$Q$80,付费投放!$S$65:$S$80,T150),0)</f>
        <v>13434243.484635541</v>
      </c>
    </row>
    <row r="151" spans="10:23" x14ac:dyDescent="0.15">
      <c r="J151" s="108">
        <v>147</v>
      </c>
      <c r="K151" s="108">
        <f t="shared" si="13"/>
        <v>73.825573357824368</v>
      </c>
      <c r="L151" s="108">
        <f t="shared" si="14"/>
        <v>87.589596264286158</v>
      </c>
      <c r="M151" s="108">
        <f t="shared" si="15"/>
        <v>104.110727518864</v>
      </c>
      <c r="N151" s="108">
        <f t="shared" si="16"/>
        <v>121.93429364968064</v>
      </c>
      <c r="O151" s="108">
        <f t="shared" si="17"/>
        <v>137.37774486804156</v>
      </c>
      <c r="S151" s="86">
        <v>15</v>
      </c>
      <c r="T151" s="85">
        <v>130</v>
      </c>
      <c r="U151" s="85">
        <f t="shared" si="18"/>
        <v>250.20292486315867</v>
      </c>
      <c r="V151" s="85">
        <f>(U151-U150)*INDEX([3]大r将兵属性验证!$V$7:$V$166,T151,1)+V150</f>
        <v>137627968299.52014</v>
      </c>
      <c r="W151" s="87">
        <f>IFERROR(求节点(付费投放!$Q$65:$Q$80,付费投放!$S$65:$S$80,T151),0)</f>
        <v>26452411.899850991</v>
      </c>
    </row>
    <row r="152" spans="10:23" x14ac:dyDescent="0.15">
      <c r="J152" s="108">
        <v>148</v>
      </c>
      <c r="K152" s="108">
        <f t="shared" si="13"/>
        <v>74.396476072140601</v>
      </c>
      <c r="L152" s="108">
        <f t="shared" si="14"/>
        <v>89.482227560322542</v>
      </c>
      <c r="M152" s="108">
        <f t="shared" si="15"/>
        <v>107.21882068833737</v>
      </c>
      <c r="N152" s="108">
        <f t="shared" si="16"/>
        <v>126.23891054173191</v>
      </c>
      <c r="O152" s="108">
        <f t="shared" si="17"/>
        <v>139.0004295237953</v>
      </c>
      <c r="S152" s="86">
        <v>16</v>
      </c>
      <c r="T152" s="85">
        <v>140</v>
      </c>
      <c r="U152" s="85">
        <f t="shared" si="18"/>
        <v>319.42432281582836</v>
      </c>
      <c r="V152" s="85">
        <f>(U152-U151)*INDEX([3]大r将兵属性验证!$V$7:$V$166,T152,1)+V151</f>
        <v>249547715779.57382</v>
      </c>
      <c r="W152" s="87">
        <f>IFERROR(求节点(付费投放!$Q$65:$Q$80,付费投放!$S$65:$S$80,T152),0)</f>
        <v>51922143.815383352</v>
      </c>
    </row>
    <row r="153" spans="10:23" x14ac:dyDescent="0.15">
      <c r="J153" s="108">
        <v>149</v>
      </c>
      <c r="K153" s="108">
        <f t="shared" si="13"/>
        <v>74.96737878645682</v>
      </c>
      <c r="L153" s="108">
        <f t="shared" si="14"/>
        <v>92.721121193205803</v>
      </c>
      <c r="M153" s="108">
        <f t="shared" si="15"/>
        <v>111.25442285403756</v>
      </c>
      <c r="N153" s="108">
        <f t="shared" si="16"/>
        <v>130.54352743378317</v>
      </c>
      <c r="O153" s="108">
        <f t="shared" si="17"/>
        <v>140.62311417954902</v>
      </c>
      <c r="S153" s="86">
        <v>17</v>
      </c>
      <c r="T153" s="85">
        <v>150</v>
      </c>
      <c r="U153" s="85">
        <f t="shared" si="18"/>
        <v>404.54443297750328</v>
      </c>
      <c r="V153" s="85">
        <f>(U153-U152)*INDEX([3]大r将兵属性验证!$V$7:$V$166,T153,1)+V152</f>
        <v>416732778576.901</v>
      </c>
      <c r="W153" s="87">
        <f>IFERROR(求节点(付费投放!$Q$65:$Q$80,付费投放!$S$65:$S$80,T153),0)</f>
        <v>101389284.19183986</v>
      </c>
    </row>
    <row r="154" spans="10:23" x14ac:dyDescent="0.15">
      <c r="J154" s="108">
        <v>150</v>
      </c>
      <c r="K154" s="108">
        <f t="shared" si="13"/>
        <v>78.145110018901264</v>
      </c>
      <c r="L154" s="108">
        <f t="shared" si="14"/>
        <v>96.467017804155546</v>
      </c>
      <c r="M154" s="108">
        <f t="shared" si="15"/>
        <v>115.29002501973771</v>
      </c>
      <c r="N154" s="108">
        <f t="shared" si="16"/>
        <v>134.84814432583443</v>
      </c>
      <c r="O154" s="108">
        <f t="shared" si="17"/>
        <v>142.24579883530276</v>
      </c>
      <c r="S154" s="86">
        <v>18</v>
      </c>
      <c r="T154" s="85">
        <v>160</v>
      </c>
      <c r="U154" s="85">
        <f t="shared" si="18"/>
        <v>454.36003477712876</v>
      </c>
      <c r="V154" s="85">
        <f>(U154-U153)*INDEX([3]大r将兵属性验证!$V$7:$V$166,T154,1)+V153</f>
        <v>521677183693.76563</v>
      </c>
      <c r="W154" s="87">
        <f>IFERROR(求节点(付费投放!$Q$65:$Q$80,付费投放!$S$65:$S$80,T154),0)</f>
        <v>123150190.21347708</v>
      </c>
    </row>
    <row r="155" spans="10:23" x14ac:dyDescent="0.15">
      <c r="J155" s="108">
        <v>151</v>
      </c>
      <c r="K155" s="108">
        <f t="shared" si="13"/>
        <v>81.48082161968118</v>
      </c>
      <c r="L155" s="108">
        <f t="shared" si="14"/>
        <v>100.21291441510527</v>
      </c>
      <c r="M155" s="108">
        <f t="shared" si="15"/>
        <v>119.32562718543788</v>
      </c>
      <c r="N155" s="108">
        <f t="shared" si="16"/>
        <v>139.15276121788568</v>
      </c>
      <c r="O155" s="108">
        <f t="shared" si="17"/>
        <v>143.86848349105648</v>
      </c>
      <c r="S155" s="86">
        <v>19</v>
      </c>
    </row>
    <row r="156" spans="10:23" x14ac:dyDescent="0.15">
      <c r="J156" s="108">
        <v>152</v>
      </c>
      <c r="K156" s="108">
        <f t="shared" si="13"/>
        <v>84.81653322046111</v>
      </c>
      <c r="L156" s="108">
        <f t="shared" si="14"/>
        <v>103.95881102605502</v>
      </c>
      <c r="M156" s="108">
        <f t="shared" si="15"/>
        <v>123.36122935113804</v>
      </c>
      <c r="N156" s="108">
        <f t="shared" si="16"/>
        <v>143.45737810993694</v>
      </c>
      <c r="O156" s="108">
        <f t="shared" si="17"/>
        <v>144.87588076678364</v>
      </c>
      <c r="S156" s="86">
        <v>20</v>
      </c>
    </row>
    <row r="157" spans="10:23" x14ac:dyDescent="0.15">
      <c r="J157" s="108">
        <v>153</v>
      </c>
      <c r="K157" s="108">
        <f t="shared" si="13"/>
        <v>88.152244821241041</v>
      </c>
      <c r="L157" s="108">
        <f t="shared" si="14"/>
        <v>107.70470763700477</v>
      </c>
      <c r="M157" s="108">
        <f t="shared" si="15"/>
        <v>127.39683151683822</v>
      </c>
      <c r="N157" s="108">
        <f t="shared" si="16"/>
        <v>144.82726108520978</v>
      </c>
      <c r="O157" s="108">
        <f t="shared" si="17"/>
        <v>145.82901156130197</v>
      </c>
      <c r="S157" s="86">
        <v>21</v>
      </c>
    </row>
    <row r="158" spans="10:23" x14ac:dyDescent="0.15">
      <c r="J158" s="108">
        <v>154</v>
      </c>
      <c r="K158" s="108">
        <f t="shared" si="13"/>
        <v>91.487956422020957</v>
      </c>
      <c r="L158" s="108">
        <f t="shared" si="14"/>
        <v>111.45060424795452</v>
      </c>
      <c r="M158" s="108">
        <f t="shared" si="15"/>
        <v>128.71086691727518</v>
      </c>
      <c r="N158" s="108">
        <f t="shared" si="16"/>
        <v>145.77384449099546</v>
      </c>
      <c r="O158" s="108">
        <f t="shared" si="17"/>
        <v>146.78214235582027</v>
      </c>
      <c r="S158" s="86">
        <v>22</v>
      </c>
    </row>
    <row r="159" spans="10:23" x14ac:dyDescent="0.15">
      <c r="J159" s="108">
        <v>155</v>
      </c>
      <c r="K159" s="108">
        <f t="shared" si="13"/>
        <v>94.823668022800902</v>
      </c>
      <c r="L159" s="108">
        <f t="shared" si="14"/>
        <v>112.62001604111055</v>
      </c>
      <c r="M159" s="108">
        <f t="shared" si="15"/>
        <v>129.54665176738737</v>
      </c>
      <c r="N159" s="108">
        <f t="shared" si="16"/>
        <v>146.72042789678116</v>
      </c>
      <c r="O159" s="108">
        <f t="shared" si="17"/>
        <v>147.7352731503386</v>
      </c>
      <c r="S159" s="86">
        <v>23</v>
      </c>
    </row>
    <row r="160" spans="10:23" x14ac:dyDescent="0.15">
      <c r="J160" s="108">
        <v>156</v>
      </c>
      <c r="K160" s="108">
        <f t="shared" si="13"/>
        <v>96.40003047369764</v>
      </c>
      <c r="L160" s="108">
        <f t="shared" si="14"/>
        <v>113.34659678976287</v>
      </c>
      <c r="M160" s="108">
        <f t="shared" si="15"/>
        <v>130.38243661749954</v>
      </c>
      <c r="N160" s="108">
        <f t="shared" si="16"/>
        <v>147.66701130256683</v>
      </c>
      <c r="O160" s="108">
        <f t="shared" si="17"/>
        <v>148.6884039448569</v>
      </c>
      <c r="S160" s="86">
        <v>24</v>
      </c>
    </row>
    <row r="161" spans="10:19" x14ac:dyDescent="0.15">
      <c r="J161" s="108">
        <v>157</v>
      </c>
      <c r="K161" s="108">
        <f t="shared" si="13"/>
        <v>97.017979386990575</v>
      </c>
      <c r="L161" s="108">
        <f t="shared" si="14"/>
        <v>114.07317753841518</v>
      </c>
      <c r="M161" s="108">
        <f t="shared" si="15"/>
        <v>131.2182214676117</v>
      </c>
      <c r="N161" s="108">
        <f t="shared" si="16"/>
        <v>148.61359470835254</v>
      </c>
      <c r="O161" s="108">
        <f t="shared" si="17"/>
        <v>149.6415347393752</v>
      </c>
      <c r="S161" s="86">
        <v>25</v>
      </c>
    </row>
    <row r="162" spans="10:19" x14ac:dyDescent="0.15">
      <c r="J162" s="108">
        <v>158</v>
      </c>
      <c r="K162" s="108">
        <f t="shared" si="13"/>
        <v>97.63592830028351</v>
      </c>
      <c r="L162" s="108">
        <f t="shared" si="14"/>
        <v>114.79975828706752</v>
      </c>
      <c r="M162" s="108">
        <f t="shared" si="15"/>
        <v>132.05400631772389</v>
      </c>
      <c r="N162" s="108">
        <f t="shared" si="16"/>
        <v>149.56017811413821</v>
      </c>
      <c r="O162" s="108">
        <f t="shared" si="17"/>
        <v>150.59466553389353</v>
      </c>
      <c r="S162" s="86">
        <v>26</v>
      </c>
    </row>
    <row r="163" spans="10:19" x14ac:dyDescent="0.15">
      <c r="J163" s="108">
        <v>159</v>
      </c>
      <c r="K163" s="108">
        <f t="shared" si="13"/>
        <v>98.253877213576445</v>
      </c>
      <c r="L163" s="108">
        <f t="shared" si="14"/>
        <v>115.52633903571984</v>
      </c>
      <c r="M163" s="108">
        <f t="shared" si="15"/>
        <v>132.88979116783608</v>
      </c>
      <c r="N163" s="108">
        <f t="shared" si="16"/>
        <v>150.50676151992391</v>
      </c>
      <c r="O163" s="108">
        <f t="shared" si="17"/>
        <v>151.54779632841183</v>
      </c>
      <c r="S163" s="86">
        <v>27</v>
      </c>
    </row>
    <row r="164" spans="10:19" x14ac:dyDescent="0.15">
      <c r="J164" s="108">
        <v>160</v>
      </c>
      <c r="K164" s="108">
        <f t="shared" si="13"/>
        <v>98.871826126869351</v>
      </c>
      <c r="L164" s="108">
        <f t="shared" si="14"/>
        <v>116.25291978437217</v>
      </c>
      <c r="M164" s="108">
        <f t="shared" si="15"/>
        <v>133.72557601794824</v>
      </c>
      <c r="N164" s="108">
        <f t="shared" si="16"/>
        <v>151.45334492570959</v>
      </c>
      <c r="O164" s="108">
        <f t="shared" si="17"/>
        <v>152.50092712293016</v>
      </c>
      <c r="S164" s="86">
        <v>28</v>
      </c>
    </row>
    <row r="165" spans="10:19" x14ac:dyDescent="0.15">
      <c r="S165" s="86">
        <v>29</v>
      </c>
    </row>
    <row r="166" spans="10:19" x14ac:dyDescent="0.15">
      <c r="S166" s="86">
        <v>30</v>
      </c>
    </row>
    <row r="167" spans="10:19" x14ac:dyDescent="0.15">
      <c r="S167" s="86">
        <v>31</v>
      </c>
    </row>
    <row r="168" spans="10:19" x14ac:dyDescent="0.15">
      <c r="S168" s="86">
        <v>32</v>
      </c>
    </row>
    <row r="169" spans="10:19" x14ac:dyDescent="0.15">
      <c r="S169" s="86">
        <v>33</v>
      </c>
    </row>
    <row r="170" spans="10:19" x14ac:dyDescent="0.15">
      <c r="S170" s="86">
        <v>34</v>
      </c>
    </row>
    <row r="171" spans="10:19" x14ac:dyDescent="0.15">
      <c r="S171" s="86">
        <v>35</v>
      </c>
    </row>
    <row r="172" spans="10:19" x14ac:dyDescent="0.15">
      <c r="S172" s="86">
        <v>36</v>
      </c>
    </row>
    <row r="173" spans="10:19" x14ac:dyDescent="0.15">
      <c r="S173" s="86">
        <v>37</v>
      </c>
    </row>
    <row r="174" spans="10:19" x14ac:dyDescent="0.15">
      <c r="S174" s="86">
        <v>38</v>
      </c>
    </row>
    <row r="175" spans="10:19" x14ac:dyDescent="0.15">
      <c r="S175" s="86">
        <v>39</v>
      </c>
    </row>
    <row r="176" spans="10:19" x14ac:dyDescent="0.15">
      <c r="S176" s="86">
        <v>40</v>
      </c>
    </row>
    <row r="177" spans="19:23" x14ac:dyDescent="0.15">
      <c r="S177" s="86">
        <v>41</v>
      </c>
    </row>
    <row r="178" spans="19:23" x14ac:dyDescent="0.15">
      <c r="S178" s="86">
        <v>42</v>
      </c>
    </row>
    <row r="179" spans="19:23" x14ac:dyDescent="0.15">
      <c r="S179" s="86">
        <v>43</v>
      </c>
    </row>
    <row r="180" spans="19:23" x14ac:dyDescent="0.15">
      <c r="S180" s="86">
        <v>44</v>
      </c>
    </row>
    <row r="181" spans="19:23" x14ac:dyDescent="0.15">
      <c r="S181" s="86">
        <v>45</v>
      </c>
    </row>
    <row r="182" spans="19:23" x14ac:dyDescent="0.15">
      <c r="S182" s="86">
        <v>1</v>
      </c>
      <c r="T182" s="85" t="s">
        <v>4</v>
      </c>
    </row>
    <row r="183" spans="19:23" x14ac:dyDescent="0.15">
      <c r="S183" s="86">
        <v>2</v>
      </c>
      <c r="T183" s="85" t="s">
        <v>102</v>
      </c>
      <c r="U183" s="85" t="s">
        <v>210</v>
      </c>
      <c r="V183" s="85" t="s">
        <v>208</v>
      </c>
      <c r="W183" s="87" t="s">
        <v>209</v>
      </c>
    </row>
    <row r="184" spans="19:23" x14ac:dyDescent="0.15">
      <c r="S184" s="86">
        <v>3</v>
      </c>
      <c r="T184" s="85">
        <v>10</v>
      </c>
      <c r="U184" s="85">
        <f>IFERROR(求节点($F$85:$F$100,$G$85:$G$100,T184),0)</f>
        <v>0</v>
      </c>
      <c r="V184" s="17">
        <f>U184*INDEX([3]超r将兵属性验证!$V$7:$V$166,T184,1)</f>
        <v>0</v>
      </c>
      <c r="W184" s="87">
        <f>IFERROR(求节点(付费投放!$Q$85:$Q$100,付费投放!$S$85:$S$100,T184),0)</f>
        <v>0</v>
      </c>
    </row>
    <row r="185" spans="19:23" x14ac:dyDescent="0.15">
      <c r="S185" s="86">
        <v>4</v>
      </c>
      <c r="T185" s="85">
        <v>20</v>
      </c>
      <c r="U185" s="85">
        <f t="shared" ref="U185:U199" si="19">IFERROR(求节点($F$85:$F$100,$G$85:$G$100,T185),0)</f>
        <v>9.5438042124640248</v>
      </c>
      <c r="V185" s="85">
        <f>(U185-U184)*INDEX([3]超r将兵属性验证!$V$7:$V$166,T185,1)+V184</f>
        <v>7540441.0522903232</v>
      </c>
      <c r="W185" s="87">
        <f>IFERROR(求节点(付费投放!$Q$85:$Q$100,付费投放!$S$85:$S$100,T185),0)</f>
        <v>19737.14596931891</v>
      </c>
    </row>
    <row r="186" spans="19:23" x14ac:dyDescent="0.15">
      <c r="S186" s="86">
        <v>5</v>
      </c>
      <c r="T186" s="85">
        <v>30</v>
      </c>
      <c r="U186" s="85">
        <f t="shared" si="19"/>
        <v>21.974335789584561</v>
      </c>
      <c r="V186" s="85">
        <f>(U186-U185)*INDEX([3]超r将兵属性验证!$V$7:$V$166,T186,1)+V185</f>
        <v>41149825.011741415</v>
      </c>
      <c r="W186" s="87">
        <f>IFERROR(求节点(付费投放!$Q$85:$Q$100,付费投放!$S$85:$S$100,T186),0)</f>
        <v>47318.005642111268</v>
      </c>
    </row>
    <row r="187" spans="19:23" x14ac:dyDescent="0.15">
      <c r="S187" s="86">
        <v>6</v>
      </c>
      <c r="T187" s="85">
        <v>40</v>
      </c>
      <c r="U187" s="85">
        <f t="shared" si="19"/>
        <v>37.183947320661865</v>
      </c>
      <c r="V187" s="85">
        <f>(U187-U186)*INDEX([3]超r将兵属性验证!$V$7:$V$166,T187,1)+V186</f>
        <v>179254111.19829172</v>
      </c>
      <c r="W187" s="87">
        <f>IFERROR(求节点(付费投放!$Q$85:$Q$100,付费投放!$S$85:$S$100,T187),0)</f>
        <v>103152.56212007673</v>
      </c>
    </row>
    <row r="188" spans="19:23" x14ac:dyDescent="0.15">
      <c r="S188" s="86">
        <v>7</v>
      </c>
      <c r="T188" s="85">
        <v>50</v>
      </c>
      <c r="U188" s="85">
        <f t="shared" si="19"/>
        <v>53.132840038705829</v>
      </c>
      <c r="V188" s="85">
        <f>(U188-U187)*INDEX([3]超r将兵属性验证!$V$7:$V$166,T188,1)+V187</f>
        <v>480438780.41938543</v>
      </c>
      <c r="W188" s="87">
        <f>IFERROR(求节点(付费投放!$Q$85:$Q$100,付费投放!$S$85:$S$100,T188),0)</f>
        <v>211625.11926266388</v>
      </c>
    </row>
    <row r="189" spans="19:23" x14ac:dyDescent="0.15">
      <c r="S189" s="86">
        <v>8</v>
      </c>
      <c r="T189" s="85">
        <v>60</v>
      </c>
      <c r="U189" s="85">
        <f t="shared" si="19"/>
        <v>72.484967374886168</v>
      </c>
      <c r="V189" s="85">
        <f>(U189-U188)*INDEX([3]超r将兵属性验证!$V$7:$V$166,T189,1)+V188</f>
        <v>1302525678.8154888</v>
      </c>
      <c r="W189" s="87">
        <f>IFERROR(求节点(付费投放!$Q$85:$Q$100,付费投放!$S$85:$S$100,T189),0)</f>
        <v>421852.86820340028</v>
      </c>
    </row>
    <row r="190" spans="19:23" x14ac:dyDescent="0.15">
      <c r="S190" s="86">
        <v>9</v>
      </c>
      <c r="T190" s="85">
        <v>70</v>
      </c>
      <c r="U190" s="85">
        <f t="shared" si="19"/>
        <v>97.157153889061334</v>
      </c>
      <c r="V190" s="85">
        <f>(U190-U189)*INDEX([3]超r将兵属性验证!$V$7:$V$166,T190,1)+V189</f>
        <v>3641591525.3209004</v>
      </c>
      <c r="W190" s="87">
        <f>IFERROR(求节点(付费投放!$Q$85:$Q$100,付费投放!$S$85:$S$100,T190),0)</f>
        <v>815874.98294889578</v>
      </c>
    </row>
    <row r="191" spans="19:23" x14ac:dyDescent="0.15">
      <c r="S191" s="86">
        <v>10</v>
      </c>
      <c r="T191" s="85">
        <v>80</v>
      </c>
      <c r="U191" s="85">
        <f t="shared" si="19"/>
        <v>122.23793894431044</v>
      </c>
      <c r="V191" s="85">
        <f>(U191-U190)*INDEX([3]超r将兵属性验证!$V$7:$V$166,T191,1)+V190</f>
        <v>9197799856.2539825</v>
      </c>
      <c r="W191" s="87">
        <f>IFERROR(求节点(付费投放!$Q$85:$Q$100,付费投放!$S$85:$S$100,T191),0)</f>
        <v>1563258.0306712708</v>
      </c>
    </row>
    <row r="192" spans="19:23" x14ac:dyDescent="0.15">
      <c r="S192" s="86">
        <v>11</v>
      </c>
      <c r="T192" s="85">
        <v>90</v>
      </c>
      <c r="U192" s="85">
        <f t="shared" si="19"/>
        <v>148.97437176405066</v>
      </c>
      <c r="V192" s="85">
        <f>(U192-U191)*INDEX([3]超r将兵属性验证!$V$7:$V$166,T192,1)+V191</f>
        <v>20995248303.469025</v>
      </c>
      <c r="W192" s="87">
        <f>IFERROR(求节点(付费投放!$Q$85:$Q$100,付费投放!$S$85:$S$100,T192),0)</f>
        <v>2939749.0886736461</v>
      </c>
    </row>
    <row r="193" spans="19:23" x14ac:dyDescent="0.15">
      <c r="S193" s="86">
        <v>12</v>
      </c>
      <c r="T193" s="85">
        <v>100</v>
      </c>
      <c r="U193" s="85">
        <f t="shared" si="19"/>
        <v>162.32931922100082</v>
      </c>
      <c r="V193" s="85">
        <f>(U193-U192)*INDEX([3]超r将兵属性验证!$V$7:$V$166,T193,1)+V192</f>
        <v>30009581687.598412</v>
      </c>
      <c r="W193" s="87">
        <f>IFERROR(求节点(付费投放!$Q$85:$Q$100,付费投放!$S$85:$S$100,T193),0)</f>
        <v>5775990.1120822299</v>
      </c>
    </row>
    <row r="194" spans="19:23" x14ac:dyDescent="0.15">
      <c r="S194" s="86">
        <v>13</v>
      </c>
      <c r="T194" s="85">
        <v>110</v>
      </c>
      <c r="U194" s="85">
        <f t="shared" si="19"/>
        <v>199.5883714160685</v>
      </c>
      <c r="V194" s="85">
        <f>(U194-U193)*INDEX([3]超r将兵属性验证!$V$7:$V$166,T194,1)+V193</f>
        <v>62989955103.792351</v>
      </c>
      <c r="W194" s="87">
        <f>IFERROR(求节点(付费投放!$Q$85:$Q$100,付费投放!$S$85:$S$100,T194),0)</f>
        <v>11401898.273724321</v>
      </c>
    </row>
    <row r="195" spans="19:23" x14ac:dyDescent="0.15">
      <c r="S195" s="86">
        <v>14</v>
      </c>
      <c r="T195" s="85">
        <v>120</v>
      </c>
      <c r="U195" s="85">
        <f t="shared" si="19"/>
        <v>250.99275134493791</v>
      </c>
      <c r="V195" s="85">
        <f>(U195-U194)*INDEX([3]超r将兵属性验证!$V$7:$V$166,T195,1)+V194</f>
        <v>121120988332.75043</v>
      </c>
      <c r="W195" s="87">
        <f>IFERROR(求节点(付费投放!$Q$85:$Q$100,付费投放!$S$85:$S$100,T195),0)</f>
        <v>22558371.353930168</v>
      </c>
    </row>
    <row r="196" spans="19:23" x14ac:dyDescent="0.15">
      <c r="S196" s="86">
        <v>15</v>
      </c>
      <c r="T196" s="85">
        <v>130</v>
      </c>
      <c r="U196" s="85">
        <f t="shared" si="19"/>
        <v>330.22265552774576</v>
      </c>
      <c r="V196" s="85">
        <f>(U196-U195)*INDEX([3]超r将兵属性验证!$V$7:$V$166,T196,1)+V195</f>
        <v>231216415039.70441</v>
      </c>
      <c r="W196" s="87">
        <f>IFERROR(求节点(付费投放!$Q$85:$Q$100,付费投放!$S$85:$S$100,T196),0)</f>
        <v>44464787.725834079</v>
      </c>
    </row>
    <row r="197" spans="19:23" x14ac:dyDescent="0.15">
      <c r="S197" s="86">
        <v>16</v>
      </c>
      <c r="T197" s="85">
        <v>140</v>
      </c>
      <c r="U197" s="85">
        <f t="shared" si="19"/>
        <v>390.93157459709192</v>
      </c>
      <c r="V197" s="85">
        <f>(U197-U196)*INDEX([3]超r将兵属性验证!$V$7:$V$166,T197,1)+V196</f>
        <v>330494455377.42249</v>
      </c>
      <c r="W197" s="87">
        <f>IFERROR(求节点(付费投放!$Q$85:$Q$100,付费投放!$S$85:$S$100,T197),0)</f>
        <v>87679542.751962706</v>
      </c>
    </row>
    <row r="198" spans="19:23" x14ac:dyDescent="0.15">
      <c r="S198" s="86">
        <v>17</v>
      </c>
      <c r="T198" s="85">
        <v>150</v>
      </c>
      <c r="U198" s="85">
        <f t="shared" si="19"/>
        <v>426.73739650590829</v>
      </c>
      <c r="V198" s="85">
        <f>(U198-U197)*INDEX([3]超r将兵属性验证!$V$7:$V$166,T198,1)+V197</f>
        <v>401710989019.88745</v>
      </c>
      <c r="W198" s="87">
        <f>IFERROR(求节点(付费投放!$Q$85:$Q$100,付费投放!$S$85:$S$100,T198),0)</f>
        <v>172426391.74579504</v>
      </c>
    </row>
    <row r="199" spans="19:23" x14ac:dyDescent="0.15">
      <c r="S199" s="86">
        <v>18</v>
      </c>
      <c r="T199" s="85">
        <v>160</v>
      </c>
      <c r="U199" s="85">
        <f t="shared" si="19"/>
        <v>457.50278136879047</v>
      </c>
      <c r="V199" s="85">
        <f>(U199-U198)*INDEX([3]超r将兵属性验证!$V$7:$V$166,T199,1)+V198</f>
        <v>466523114056.80383</v>
      </c>
      <c r="W199" s="87">
        <f>IFERROR(求节点(付费投放!$Q$85:$Q$100,付费投放!$S$85:$S$100,T199),0)</f>
        <v>196078451.3213897</v>
      </c>
    </row>
    <row r="200" spans="19:23" x14ac:dyDescent="0.15">
      <c r="S200" s="86">
        <v>19</v>
      </c>
    </row>
    <row r="201" spans="19:23" x14ac:dyDescent="0.15">
      <c r="S201" s="86">
        <v>20</v>
      </c>
    </row>
    <row r="202" spans="19:23" x14ac:dyDescent="0.15">
      <c r="S202" s="86">
        <v>21</v>
      </c>
    </row>
    <row r="203" spans="19:23" x14ac:dyDescent="0.15">
      <c r="S203" s="86">
        <v>22</v>
      </c>
    </row>
    <row r="204" spans="19:23" x14ac:dyDescent="0.15">
      <c r="S204" s="86">
        <v>23</v>
      </c>
    </row>
    <row r="205" spans="19:23" x14ac:dyDescent="0.15">
      <c r="S205" s="86">
        <v>24</v>
      </c>
    </row>
    <row r="206" spans="19:23" x14ac:dyDescent="0.15">
      <c r="S206" s="86">
        <v>25</v>
      </c>
    </row>
    <row r="207" spans="19:23" x14ac:dyDescent="0.15">
      <c r="S207" s="86">
        <v>26</v>
      </c>
    </row>
    <row r="208" spans="19:23" x14ac:dyDescent="0.15">
      <c r="S208" s="86">
        <v>27</v>
      </c>
    </row>
    <row r="209" spans="19:19" x14ac:dyDescent="0.15">
      <c r="S209" s="86">
        <v>28</v>
      </c>
    </row>
    <row r="210" spans="19:19" x14ac:dyDescent="0.15">
      <c r="S210" s="86">
        <v>29</v>
      </c>
    </row>
    <row r="211" spans="19:19" x14ac:dyDescent="0.15">
      <c r="S211" s="86">
        <v>30</v>
      </c>
    </row>
    <row r="212" spans="19:19" x14ac:dyDescent="0.15">
      <c r="S212" s="86">
        <v>31</v>
      </c>
    </row>
    <row r="213" spans="19:19" x14ac:dyDescent="0.15">
      <c r="S213" s="86">
        <v>32</v>
      </c>
    </row>
    <row r="214" spans="19:19" x14ac:dyDescent="0.15">
      <c r="S214" s="86">
        <v>33</v>
      </c>
    </row>
    <row r="215" spans="19:19" x14ac:dyDescent="0.15">
      <c r="S215" s="86">
        <v>34</v>
      </c>
    </row>
    <row r="216" spans="19:19" x14ac:dyDescent="0.15">
      <c r="S216" s="86">
        <v>35</v>
      </c>
    </row>
    <row r="217" spans="19:19" x14ac:dyDescent="0.15">
      <c r="S217" s="86">
        <v>36</v>
      </c>
    </row>
    <row r="218" spans="19:19" x14ac:dyDescent="0.15">
      <c r="S218" s="86">
        <v>37</v>
      </c>
    </row>
    <row r="219" spans="19:19" x14ac:dyDescent="0.15">
      <c r="S219" s="86">
        <v>38</v>
      </c>
    </row>
    <row r="220" spans="19:19" x14ac:dyDescent="0.15">
      <c r="S220" s="86">
        <v>39</v>
      </c>
    </row>
    <row r="221" spans="19:19" x14ac:dyDescent="0.15">
      <c r="S221" s="86">
        <v>40</v>
      </c>
    </row>
    <row r="222" spans="19:19" x14ac:dyDescent="0.15">
      <c r="S222" s="86">
        <v>41</v>
      </c>
    </row>
    <row r="223" spans="19:19" x14ac:dyDescent="0.15">
      <c r="S223" s="86">
        <v>42</v>
      </c>
    </row>
    <row r="224" spans="19:19" x14ac:dyDescent="0.15">
      <c r="S224" s="86">
        <v>43</v>
      </c>
    </row>
    <row r="225" spans="19:19" x14ac:dyDescent="0.15">
      <c r="S225" s="86">
        <v>44</v>
      </c>
    </row>
    <row r="226" spans="19:19" x14ac:dyDescent="0.15">
      <c r="S226" s="86">
        <v>45</v>
      </c>
    </row>
  </sheetData>
  <mergeCells count="1">
    <mergeCell ref="K3:O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2549D-D129-42C3-A4CE-847D4ADFA480}">
  <sheetPr codeName="Sheet9"/>
  <dimension ref="A1:AY166"/>
  <sheetViews>
    <sheetView workbookViewId="0">
      <selection activeCell="AN9" sqref="V9:AN9"/>
    </sheetView>
  </sheetViews>
  <sheetFormatPr defaultColWidth="9" defaultRowHeight="11.25" x14ac:dyDescent="0.15"/>
  <cols>
    <col min="1" max="8" width="9" style="9"/>
    <col min="9" max="9" width="9" style="83"/>
    <col min="10" max="10" width="10.5" style="83" bestFit="1" customWidth="1"/>
    <col min="11" max="11" width="10.5" style="83" customWidth="1"/>
    <col min="12" max="12" width="8.25" style="81" bestFit="1" customWidth="1"/>
    <col min="13" max="13" width="10.5" style="81" customWidth="1"/>
    <col min="14" max="18" width="9" style="83"/>
    <col min="19" max="19" width="9" style="9" customWidth="1"/>
    <col min="20" max="20" width="4.25" style="12" customWidth="1"/>
    <col min="21" max="21" width="9" style="9"/>
    <col min="22" max="22" width="20.5" style="9" bestFit="1" customWidth="1"/>
    <col min="23" max="33" width="9" style="9"/>
    <col min="34" max="34" width="10.5" style="83" bestFit="1" customWidth="1"/>
    <col min="35" max="35" width="10.5" style="83" customWidth="1"/>
    <col min="36" max="36" width="8.25" style="81" bestFit="1" customWidth="1"/>
    <col min="37" max="37" width="10.5" style="81" customWidth="1"/>
    <col min="38" max="43" width="9" style="83"/>
    <col min="44" max="44" width="4.25" style="12" customWidth="1"/>
    <col min="45" max="45" width="9" style="9"/>
    <col min="46" max="46" width="10.5" style="9" bestFit="1" customWidth="1"/>
    <col min="47" max="16384" width="9" style="9"/>
  </cols>
  <sheetData>
    <row r="1" spans="1:51" x14ac:dyDescent="0.15">
      <c r="A1" s="9" t="s">
        <v>120</v>
      </c>
      <c r="U1" s="9" t="s">
        <v>125</v>
      </c>
    </row>
    <row r="3" spans="1:51" x14ac:dyDescent="0.15">
      <c r="C3" s="127" t="s">
        <v>124</v>
      </c>
      <c r="D3" s="127"/>
      <c r="E3" s="127"/>
      <c r="F3" s="127"/>
      <c r="G3" s="127"/>
      <c r="J3" s="84" t="s">
        <v>0</v>
      </c>
      <c r="K3" s="84"/>
      <c r="L3" s="90"/>
      <c r="M3" s="90"/>
      <c r="N3" s="127" t="s">
        <v>124</v>
      </c>
      <c r="O3" s="127"/>
      <c r="P3" s="127"/>
      <c r="Q3" s="127"/>
      <c r="R3" s="127"/>
      <c r="V3" s="9" t="s">
        <v>128</v>
      </c>
      <c r="W3" s="57">
        <f>[4]商店!$I$9</f>
        <v>300000</v>
      </c>
      <c r="AH3" s="84" t="s">
        <v>0</v>
      </c>
      <c r="AI3" s="84"/>
      <c r="AJ3" s="90"/>
      <c r="AK3" s="90"/>
      <c r="AL3" s="127" t="s">
        <v>197</v>
      </c>
      <c r="AM3" s="127"/>
      <c r="AN3" s="127"/>
      <c r="AO3" s="127"/>
      <c r="AP3" s="127"/>
    </row>
    <row r="4" spans="1:51" x14ac:dyDescent="0.15">
      <c r="B4" s="9" t="s">
        <v>119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J4" s="84" t="s">
        <v>21</v>
      </c>
      <c r="K4" s="84" t="s">
        <v>121</v>
      </c>
      <c r="L4" s="90" t="s">
        <v>122</v>
      </c>
      <c r="M4" s="90" t="s">
        <v>103</v>
      </c>
      <c r="N4" s="83" t="s">
        <v>8</v>
      </c>
      <c r="O4" s="83" t="s">
        <v>9</v>
      </c>
      <c r="P4" s="83" t="s">
        <v>10</v>
      </c>
      <c r="Q4" s="83" t="s">
        <v>11</v>
      </c>
      <c r="R4" s="83" t="s">
        <v>12</v>
      </c>
      <c r="AH4" s="84" t="s">
        <v>21</v>
      </c>
      <c r="AI4" s="84" t="s">
        <v>121</v>
      </c>
      <c r="AJ4" s="90" t="s">
        <v>122</v>
      </c>
      <c r="AK4" s="90" t="s">
        <v>103</v>
      </c>
      <c r="AL4" s="83" t="s">
        <v>8</v>
      </c>
      <c r="AM4" s="83" t="s">
        <v>9</v>
      </c>
      <c r="AN4" s="83" t="s">
        <v>10</v>
      </c>
      <c r="AO4" s="83" t="s">
        <v>11</v>
      </c>
      <c r="AP4" s="83" t="s">
        <v>12</v>
      </c>
    </row>
    <row r="5" spans="1:51" x14ac:dyDescent="0.15">
      <c r="B5" s="9">
        <v>1</v>
      </c>
      <c r="C5" s="9">
        <v>1</v>
      </c>
      <c r="J5" s="83">
        <v>1</v>
      </c>
      <c r="K5" s="60">
        <f>基础信息!D10</f>
        <v>16</v>
      </c>
      <c r="L5" s="61">
        <f>基础信息!E10</f>
        <v>2.5387719203926467</v>
      </c>
      <c r="M5" s="61">
        <f>基础信息!F10</f>
        <v>18.226342304552581</v>
      </c>
      <c r="N5" s="83">
        <f>C5</f>
        <v>1</v>
      </c>
      <c r="O5" s="83">
        <f t="shared" ref="O5:R5" si="0">D5</f>
        <v>0</v>
      </c>
      <c r="P5" s="83">
        <f t="shared" si="0"/>
        <v>0</v>
      </c>
      <c r="Q5" s="83">
        <f t="shared" si="0"/>
        <v>0</v>
      </c>
      <c r="R5" s="83">
        <f t="shared" si="0"/>
        <v>0</v>
      </c>
      <c r="W5" s="122" t="s">
        <v>126</v>
      </c>
      <c r="X5" s="122"/>
      <c r="Y5" s="122"/>
      <c r="Z5" s="122"/>
      <c r="AA5" s="122"/>
      <c r="AB5" s="122" t="s">
        <v>127</v>
      </c>
      <c r="AC5" s="122"/>
      <c r="AD5" s="122"/>
      <c r="AE5" s="122"/>
      <c r="AF5" s="122"/>
      <c r="AH5" s="83">
        <v>1</v>
      </c>
      <c r="AI5" s="60">
        <f>基础信息!D10</f>
        <v>16</v>
      </c>
      <c r="AJ5" s="61">
        <f>基础信息!E10</f>
        <v>2.5387719203926467</v>
      </c>
      <c r="AK5" s="61">
        <f>基础信息!F10</f>
        <v>18.226342304552581</v>
      </c>
      <c r="AN5" s="83">
        <f>求节点($V$7:$V$166,$AB$7:$AB$166,AK5)</f>
        <v>0</v>
      </c>
      <c r="AU5" s="127"/>
      <c r="AV5" s="127"/>
      <c r="AW5" s="127"/>
      <c r="AX5" s="127"/>
      <c r="AY5" s="127"/>
    </row>
    <row r="6" spans="1:51" x14ac:dyDescent="0.15">
      <c r="B6" s="9">
        <v>2</v>
      </c>
      <c r="C6" s="9">
        <v>2</v>
      </c>
      <c r="J6" s="83">
        <v>2</v>
      </c>
      <c r="K6" s="60">
        <f>基础信息!D11</f>
        <v>19.5</v>
      </c>
      <c r="L6" s="61">
        <f>基础信息!E11</f>
        <v>4.8228975321654577</v>
      </c>
      <c r="M6" s="61">
        <f>基础信息!F11</f>
        <v>25.408961498441148</v>
      </c>
      <c r="N6" s="83">
        <f t="shared" ref="N6:N20" si="1">C6</f>
        <v>2</v>
      </c>
      <c r="O6" s="83">
        <f t="shared" ref="O6:O20" si="2">D6</f>
        <v>0</v>
      </c>
      <c r="P6" s="83">
        <f t="shared" ref="P6:P20" si="3">E6</f>
        <v>0</v>
      </c>
      <c r="Q6" s="83">
        <f t="shared" ref="Q6:Q20" si="4">F6</f>
        <v>0</v>
      </c>
      <c r="R6" s="83">
        <f t="shared" ref="R6:R20" si="5">G6</f>
        <v>0</v>
      </c>
      <c r="V6" s="9" t="s">
        <v>123</v>
      </c>
      <c r="W6" s="58" t="s">
        <v>0</v>
      </c>
      <c r="X6" s="58" t="s">
        <v>1</v>
      </c>
      <c r="Y6" s="58" t="s">
        <v>2</v>
      </c>
      <c r="Z6" s="58" t="s">
        <v>3</v>
      </c>
      <c r="AA6" s="58" t="s">
        <v>4</v>
      </c>
      <c r="AB6" s="58" t="s">
        <v>0</v>
      </c>
      <c r="AC6" s="58" t="s">
        <v>1</v>
      </c>
      <c r="AD6" s="58" t="s">
        <v>2</v>
      </c>
      <c r="AE6" s="58" t="s">
        <v>3</v>
      </c>
      <c r="AF6" s="58" t="s">
        <v>4</v>
      </c>
      <c r="AH6" s="83">
        <v>2</v>
      </c>
      <c r="AI6" s="60">
        <f>基础信息!D11</f>
        <v>19.5</v>
      </c>
      <c r="AJ6" s="61">
        <f>基础信息!E11</f>
        <v>4.8228975321654577</v>
      </c>
      <c r="AK6" s="61">
        <f>基础信息!F11</f>
        <v>25.408961498441148</v>
      </c>
      <c r="AN6" s="83">
        <f t="shared" ref="AN6:AN20" si="6">求节点($V$7:$V$166,$AB$7:$AB$166,AK6)</f>
        <v>0</v>
      </c>
    </row>
    <row r="7" spans="1:51" x14ac:dyDescent="0.15">
      <c r="B7" s="9">
        <v>3</v>
      </c>
      <c r="C7" s="9">
        <v>3</v>
      </c>
      <c r="J7" s="83">
        <v>3</v>
      </c>
      <c r="K7" s="60">
        <f>基础信息!D12</f>
        <v>23.5</v>
      </c>
      <c r="L7" s="61">
        <f>基础信息!E12</f>
        <v>9.6550138771594227</v>
      </c>
      <c r="M7" s="61">
        <f>基础信息!F12</f>
        <v>34.130602806306101</v>
      </c>
      <c r="N7" s="83">
        <f t="shared" si="1"/>
        <v>3</v>
      </c>
      <c r="O7" s="83">
        <f t="shared" si="2"/>
        <v>0</v>
      </c>
      <c r="P7" s="83">
        <f t="shared" si="3"/>
        <v>0</v>
      </c>
      <c r="Q7" s="83">
        <f t="shared" si="4"/>
        <v>0</v>
      </c>
      <c r="R7" s="83">
        <f t="shared" si="5"/>
        <v>0</v>
      </c>
      <c r="V7" s="9">
        <v>1</v>
      </c>
      <c r="W7" s="9">
        <f>[4]王者铸币!K5</f>
        <v>0</v>
      </c>
      <c r="X7" s="9">
        <f>[4]王者铸币!L5</f>
        <v>0</v>
      </c>
      <c r="Y7" s="9">
        <f>[4]王者铸币!M5</f>
        <v>0</v>
      </c>
      <c r="Z7" s="9">
        <f>[4]王者铸币!N5</f>
        <v>0</v>
      </c>
      <c r="AA7" s="9">
        <f>[4]王者铸币!O5</f>
        <v>0</v>
      </c>
      <c r="AB7" s="9">
        <f>W7/$W$3</f>
        <v>0</v>
      </c>
      <c r="AC7" s="9">
        <f t="shared" ref="AC7:AF7" si="7">X7/$W$3</f>
        <v>0</v>
      </c>
      <c r="AD7" s="9">
        <f t="shared" si="7"/>
        <v>0</v>
      </c>
      <c r="AE7" s="9">
        <f t="shared" si="7"/>
        <v>0</v>
      </c>
      <c r="AF7" s="9">
        <f t="shared" si="7"/>
        <v>0</v>
      </c>
      <c r="AH7" s="83">
        <v>3</v>
      </c>
      <c r="AI7" s="60">
        <f>基础信息!D12</f>
        <v>23.5</v>
      </c>
      <c r="AJ7" s="61">
        <f>基础信息!E12</f>
        <v>9.6550138771594227</v>
      </c>
      <c r="AK7" s="61">
        <f>基础信息!F12</f>
        <v>34.130602806306101</v>
      </c>
      <c r="AN7" s="83">
        <f t="shared" si="6"/>
        <v>0</v>
      </c>
    </row>
    <row r="8" spans="1:51" x14ac:dyDescent="0.15">
      <c r="B8" s="9">
        <v>4</v>
      </c>
      <c r="C8" s="9">
        <v>4</v>
      </c>
      <c r="J8" s="83">
        <v>4</v>
      </c>
      <c r="K8" s="60">
        <f>基础信息!D13</f>
        <v>27.5</v>
      </c>
      <c r="L8" s="61">
        <f>基础信息!E13</f>
        <v>18.870223137985384</v>
      </c>
      <c r="M8" s="61">
        <f>基础信息!F13</f>
        <v>43.121594697945582</v>
      </c>
      <c r="N8" s="83">
        <f t="shared" si="1"/>
        <v>4</v>
      </c>
      <c r="O8" s="83">
        <f t="shared" si="2"/>
        <v>0</v>
      </c>
      <c r="P8" s="83">
        <f t="shared" si="3"/>
        <v>0</v>
      </c>
      <c r="Q8" s="83">
        <f t="shared" si="4"/>
        <v>0</v>
      </c>
      <c r="R8" s="83">
        <f t="shared" si="5"/>
        <v>0</v>
      </c>
      <c r="V8" s="9">
        <v>2</v>
      </c>
      <c r="W8" s="9">
        <f>[4]王者铸币!K6</f>
        <v>0</v>
      </c>
      <c r="X8" s="9">
        <f>[4]王者铸币!L6</f>
        <v>0</v>
      </c>
      <c r="Y8" s="9">
        <f>[4]王者铸币!M6</f>
        <v>0</v>
      </c>
      <c r="Z8" s="9">
        <f>[4]王者铸币!N6</f>
        <v>0</v>
      </c>
      <c r="AA8" s="9">
        <f>[4]王者铸币!O6</f>
        <v>0</v>
      </c>
      <c r="AB8" s="9">
        <f t="shared" ref="AB8:AB71" si="8">W8/$W$3</f>
        <v>0</v>
      </c>
      <c r="AC8" s="9">
        <f t="shared" ref="AC8:AC71" si="9">X8/$W$3</f>
        <v>0</v>
      </c>
      <c r="AD8" s="9">
        <f t="shared" ref="AD8:AD71" si="10">Y8/$W$3</f>
        <v>0</v>
      </c>
      <c r="AE8" s="9">
        <f t="shared" ref="AE8:AE71" si="11">Z8/$W$3</f>
        <v>0</v>
      </c>
      <c r="AF8" s="9">
        <f t="shared" ref="AF8:AF71" si="12">AA8/$W$3</f>
        <v>0</v>
      </c>
      <c r="AH8" s="83">
        <v>4</v>
      </c>
      <c r="AI8" s="60">
        <f>基础信息!D13</f>
        <v>27.5</v>
      </c>
      <c r="AJ8" s="61">
        <f>基础信息!E13</f>
        <v>18.870223137985384</v>
      </c>
      <c r="AK8" s="61">
        <f>基础信息!F13</f>
        <v>43.121594697945582</v>
      </c>
      <c r="AN8" s="83">
        <f t="shared" si="6"/>
        <v>0</v>
      </c>
    </row>
    <row r="9" spans="1:51" x14ac:dyDescent="0.15">
      <c r="B9" s="9">
        <v>5</v>
      </c>
      <c r="C9" s="9">
        <v>5</v>
      </c>
      <c r="J9" s="83">
        <v>5</v>
      </c>
      <c r="K9" s="60">
        <f>基础信息!D14</f>
        <v>31.5</v>
      </c>
      <c r="L9" s="61">
        <f>基础信息!E14</f>
        <v>36.28923876358067</v>
      </c>
      <c r="M9" s="61">
        <f>基础信息!F14</f>
        <v>52.20122679843417</v>
      </c>
      <c r="N9" s="83">
        <f t="shared" si="1"/>
        <v>5</v>
      </c>
      <c r="O9" s="83">
        <f t="shared" si="2"/>
        <v>0</v>
      </c>
      <c r="P9" s="83">
        <f t="shared" si="3"/>
        <v>0</v>
      </c>
      <c r="Q9" s="83">
        <f t="shared" si="4"/>
        <v>0</v>
      </c>
      <c r="R9" s="83">
        <f t="shared" si="5"/>
        <v>0</v>
      </c>
      <c r="V9" s="9">
        <v>3</v>
      </c>
      <c r="W9" s="9">
        <f>[4]王者铸币!K7</f>
        <v>0</v>
      </c>
      <c r="X9" s="9">
        <f>[4]王者铸币!L7</f>
        <v>0</v>
      </c>
      <c r="Y9" s="9">
        <f>[4]王者铸币!M7</f>
        <v>0</v>
      </c>
      <c r="Z9" s="9">
        <f>[4]王者铸币!N7</f>
        <v>0</v>
      </c>
      <c r="AA9" s="9">
        <f>[4]王者铸币!O7</f>
        <v>0</v>
      </c>
      <c r="AB9" s="9">
        <f t="shared" si="8"/>
        <v>0</v>
      </c>
      <c r="AC9" s="9">
        <f t="shared" si="9"/>
        <v>0</v>
      </c>
      <c r="AD9" s="9">
        <f t="shared" si="10"/>
        <v>0</v>
      </c>
      <c r="AE9" s="9">
        <f t="shared" si="11"/>
        <v>0</v>
      </c>
      <c r="AF9" s="9">
        <f t="shared" si="12"/>
        <v>0</v>
      </c>
      <c r="AH9" s="83">
        <v>5</v>
      </c>
      <c r="AI9" s="60">
        <f>基础信息!D14</f>
        <v>31.5</v>
      </c>
      <c r="AJ9" s="61">
        <f>基础信息!E14</f>
        <v>36.28923876358067</v>
      </c>
      <c r="AK9" s="61">
        <f>基础信息!F14</f>
        <v>52.20122679843417</v>
      </c>
      <c r="AN9" s="83">
        <f t="shared" si="6"/>
        <v>0.19356879305687175</v>
      </c>
    </row>
    <row r="10" spans="1:51" x14ac:dyDescent="0.15">
      <c r="B10" s="9">
        <v>6</v>
      </c>
      <c r="C10" s="9">
        <v>6</v>
      </c>
      <c r="J10" s="83">
        <v>6</v>
      </c>
      <c r="K10" s="60">
        <f>基础信息!D15</f>
        <v>35.5</v>
      </c>
      <c r="L10" s="61">
        <f>基础信息!E15</f>
        <v>68.623430833504159</v>
      </c>
      <c r="M10" s="61">
        <f>基础信息!F15</f>
        <v>61.20919943756077</v>
      </c>
      <c r="N10" s="83">
        <f t="shared" si="1"/>
        <v>6</v>
      </c>
      <c r="O10" s="83">
        <f t="shared" si="2"/>
        <v>0</v>
      </c>
      <c r="P10" s="83">
        <f t="shared" si="3"/>
        <v>0</v>
      </c>
      <c r="Q10" s="83">
        <f t="shared" si="4"/>
        <v>0</v>
      </c>
      <c r="R10" s="83">
        <f t="shared" si="5"/>
        <v>0</v>
      </c>
      <c r="V10" s="9">
        <v>4</v>
      </c>
      <c r="W10" s="9">
        <f>[4]王者铸币!K8</f>
        <v>0</v>
      </c>
      <c r="X10" s="9">
        <f>[4]王者铸币!L8</f>
        <v>0</v>
      </c>
      <c r="Y10" s="9">
        <f>[4]王者铸币!M8</f>
        <v>0</v>
      </c>
      <c r="Z10" s="9">
        <f>[4]王者铸币!N8</f>
        <v>0</v>
      </c>
      <c r="AA10" s="9">
        <f>[4]王者铸币!O8</f>
        <v>0</v>
      </c>
      <c r="AB10" s="9">
        <f t="shared" si="8"/>
        <v>0</v>
      </c>
      <c r="AC10" s="9">
        <f t="shared" si="9"/>
        <v>0</v>
      </c>
      <c r="AD10" s="9">
        <f t="shared" si="10"/>
        <v>0</v>
      </c>
      <c r="AE10" s="9">
        <f t="shared" si="11"/>
        <v>0</v>
      </c>
      <c r="AF10" s="9">
        <f t="shared" si="12"/>
        <v>0</v>
      </c>
      <c r="AH10" s="83">
        <v>6</v>
      </c>
      <c r="AI10" s="60">
        <f>基础信息!D15</f>
        <v>35.5</v>
      </c>
      <c r="AJ10" s="61">
        <f>基础信息!E15</f>
        <v>68.623430833504159</v>
      </c>
      <c r="AK10" s="61">
        <f>基础信息!F15</f>
        <v>61.20919943756077</v>
      </c>
      <c r="AN10" s="83">
        <f t="shared" si="6"/>
        <v>1.1887433712089615</v>
      </c>
    </row>
    <row r="11" spans="1:51" x14ac:dyDescent="0.15">
      <c r="B11" s="9">
        <v>7</v>
      </c>
      <c r="C11" s="9">
        <v>6</v>
      </c>
      <c r="D11" s="9">
        <v>1</v>
      </c>
      <c r="J11" s="83">
        <v>7</v>
      </c>
      <c r="K11" s="60">
        <f>基础信息!D16</f>
        <v>39.5</v>
      </c>
      <c r="L11" s="61">
        <f>基础信息!E16</f>
        <v>124.62134549299002</v>
      </c>
      <c r="M11" s="61">
        <f>基础信息!F16</f>
        <v>69.722501590522299</v>
      </c>
      <c r="N11" s="83">
        <f t="shared" si="1"/>
        <v>6</v>
      </c>
      <c r="O11" s="83">
        <f t="shared" si="2"/>
        <v>1</v>
      </c>
      <c r="P11" s="83">
        <f t="shared" si="3"/>
        <v>0</v>
      </c>
      <c r="Q11" s="83">
        <f t="shared" si="4"/>
        <v>0</v>
      </c>
      <c r="R11" s="83">
        <f t="shared" si="5"/>
        <v>0</v>
      </c>
      <c r="V11" s="9">
        <v>5</v>
      </c>
      <c r="W11" s="9">
        <f>[4]王者铸币!K9</f>
        <v>0</v>
      </c>
      <c r="X11" s="9">
        <f>[4]王者铸币!L9</f>
        <v>0</v>
      </c>
      <c r="Y11" s="9">
        <f>[4]王者铸币!M9</f>
        <v>0</v>
      </c>
      <c r="Z11" s="9">
        <f>[4]王者铸币!N9</f>
        <v>0</v>
      </c>
      <c r="AA11" s="9">
        <f>[4]王者铸币!O9</f>
        <v>0</v>
      </c>
      <c r="AB11" s="9">
        <f t="shared" si="8"/>
        <v>0</v>
      </c>
      <c r="AC11" s="9">
        <f t="shared" si="9"/>
        <v>0</v>
      </c>
      <c r="AD11" s="9">
        <f t="shared" si="10"/>
        <v>0</v>
      </c>
      <c r="AE11" s="9">
        <f t="shared" si="11"/>
        <v>0</v>
      </c>
      <c r="AF11" s="9">
        <f t="shared" si="12"/>
        <v>0</v>
      </c>
      <c r="AH11" s="83">
        <v>7</v>
      </c>
      <c r="AI11" s="60">
        <f>基础信息!D16</f>
        <v>39.5</v>
      </c>
      <c r="AJ11" s="61">
        <f>基础信息!E16</f>
        <v>124.62134549299002</v>
      </c>
      <c r="AK11" s="61">
        <f>基础信息!F16</f>
        <v>69.722501590522299</v>
      </c>
      <c r="AN11" s="83">
        <f t="shared" si="6"/>
        <v>2.9122347446175807</v>
      </c>
    </row>
    <row r="12" spans="1:51" x14ac:dyDescent="0.15">
      <c r="B12" s="9">
        <v>8</v>
      </c>
      <c r="C12" s="9">
        <v>6</v>
      </c>
      <c r="D12" s="9">
        <v>2</v>
      </c>
      <c r="J12" s="83">
        <v>8</v>
      </c>
      <c r="K12" s="60">
        <f>基础信息!D17</f>
        <v>43.5</v>
      </c>
      <c r="L12" s="61">
        <f>基础信息!E17</f>
        <v>225.68304366827394</v>
      </c>
      <c r="M12" s="61">
        <f>基础信息!F17</f>
        <v>78.238948396428512</v>
      </c>
      <c r="N12" s="83">
        <f t="shared" si="1"/>
        <v>6</v>
      </c>
      <c r="O12" s="83">
        <f t="shared" si="2"/>
        <v>2</v>
      </c>
      <c r="P12" s="83">
        <f t="shared" si="3"/>
        <v>0</v>
      </c>
      <c r="Q12" s="83">
        <f t="shared" si="4"/>
        <v>0</v>
      </c>
      <c r="R12" s="83">
        <f t="shared" si="5"/>
        <v>0</v>
      </c>
      <c r="V12" s="9">
        <v>6</v>
      </c>
      <c r="W12" s="9">
        <f>[4]王者铸币!K10</f>
        <v>0</v>
      </c>
      <c r="X12" s="9">
        <f>[4]王者铸币!L10</f>
        <v>0</v>
      </c>
      <c r="Y12" s="9">
        <f>[4]王者铸币!M10</f>
        <v>0</v>
      </c>
      <c r="Z12" s="9">
        <f>[4]王者铸币!N10</f>
        <v>0</v>
      </c>
      <c r="AA12" s="9">
        <f>[4]王者铸币!O10</f>
        <v>0</v>
      </c>
      <c r="AB12" s="9">
        <f t="shared" si="8"/>
        <v>0</v>
      </c>
      <c r="AC12" s="9">
        <f t="shared" si="9"/>
        <v>0</v>
      </c>
      <c r="AD12" s="9">
        <f t="shared" si="10"/>
        <v>0</v>
      </c>
      <c r="AE12" s="9">
        <f t="shared" si="11"/>
        <v>0</v>
      </c>
      <c r="AF12" s="9">
        <f t="shared" si="12"/>
        <v>0</v>
      </c>
      <c r="AH12" s="83">
        <v>8</v>
      </c>
      <c r="AI12" s="60">
        <f>基础信息!D17</f>
        <v>43.5</v>
      </c>
      <c r="AJ12" s="61">
        <f>基础信息!E17</f>
        <v>225.68304366827394</v>
      </c>
      <c r="AK12" s="61">
        <f>基础信息!F17</f>
        <v>78.238948396428512</v>
      </c>
      <c r="AN12" s="83">
        <f t="shared" si="6"/>
        <v>6.0226892329013184</v>
      </c>
    </row>
    <row r="13" spans="1:51" x14ac:dyDescent="0.15">
      <c r="B13" s="9">
        <v>9</v>
      </c>
      <c r="C13" s="9">
        <v>6</v>
      </c>
      <c r="D13" s="9">
        <v>3</v>
      </c>
      <c r="J13" s="83">
        <v>9</v>
      </c>
      <c r="K13" s="60">
        <f>基础信息!D18</f>
        <v>47.5</v>
      </c>
      <c r="L13" s="61">
        <f>基础信息!E18</f>
        <v>407.83539826846607</v>
      </c>
      <c r="M13" s="61">
        <f>基础信息!F18</f>
        <v>86.747293257864058</v>
      </c>
      <c r="N13" s="83">
        <f t="shared" si="1"/>
        <v>6</v>
      </c>
      <c r="O13" s="83">
        <f t="shared" si="2"/>
        <v>3</v>
      </c>
      <c r="P13" s="83">
        <f t="shared" si="3"/>
        <v>0</v>
      </c>
      <c r="Q13" s="83">
        <f t="shared" si="4"/>
        <v>0</v>
      </c>
      <c r="R13" s="83">
        <f t="shared" si="5"/>
        <v>0</v>
      </c>
      <c r="V13" s="9">
        <v>7</v>
      </c>
      <c r="W13" s="9">
        <f>[4]王者铸币!K11</f>
        <v>0</v>
      </c>
      <c r="X13" s="9">
        <f>[4]王者铸币!L11</f>
        <v>0</v>
      </c>
      <c r="Y13" s="9">
        <f>[4]王者铸币!M11</f>
        <v>0</v>
      </c>
      <c r="Z13" s="9">
        <f>[4]王者铸币!N11</f>
        <v>0</v>
      </c>
      <c r="AA13" s="9">
        <f>[4]王者铸币!O11</f>
        <v>0</v>
      </c>
      <c r="AB13" s="9">
        <f t="shared" si="8"/>
        <v>0</v>
      </c>
      <c r="AC13" s="9">
        <f t="shared" si="9"/>
        <v>0</v>
      </c>
      <c r="AD13" s="9">
        <f t="shared" si="10"/>
        <v>0</v>
      </c>
      <c r="AE13" s="9">
        <f t="shared" si="11"/>
        <v>0</v>
      </c>
      <c r="AF13" s="9">
        <f t="shared" si="12"/>
        <v>0</v>
      </c>
      <c r="AH13" s="83">
        <v>9</v>
      </c>
      <c r="AI13" s="60">
        <f>基础信息!D18</f>
        <v>47.5</v>
      </c>
      <c r="AJ13" s="61">
        <f>基础信息!E18</f>
        <v>407.83539826846607</v>
      </c>
      <c r="AK13" s="61">
        <f>基础信息!F18</f>
        <v>86.747293257864058</v>
      </c>
      <c r="AN13" s="83">
        <f t="shared" si="6"/>
        <v>11.628933924485017</v>
      </c>
    </row>
    <row r="14" spans="1:51" x14ac:dyDescent="0.15">
      <c r="B14" s="9">
        <v>10</v>
      </c>
      <c r="C14" s="9">
        <v>6</v>
      </c>
      <c r="D14" s="9">
        <v>4</v>
      </c>
      <c r="J14" s="83">
        <v>10</v>
      </c>
      <c r="K14" s="60">
        <f>基础信息!D19</f>
        <v>52</v>
      </c>
      <c r="L14" s="61">
        <f>基础信息!E19</f>
        <v>789.85301886939453</v>
      </c>
      <c r="M14" s="61">
        <f>基础信息!F19</f>
        <v>96.265821375882837</v>
      </c>
      <c r="N14" s="83">
        <f t="shared" si="1"/>
        <v>6</v>
      </c>
      <c r="O14" s="83">
        <f t="shared" si="2"/>
        <v>4</v>
      </c>
      <c r="P14" s="83">
        <f t="shared" si="3"/>
        <v>0</v>
      </c>
      <c r="Q14" s="83">
        <f t="shared" si="4"/>
        <v>0</v>
      </c>
      <c r="R14" s="83">
        <f t="shared" si="5"/>
        <v>0</v>
      </c>
      <c r="V14" s="9">
        <v>8</v>
      </c>
      <c r="W14" s="9">
        <f>[4]王者铸币!K12</f>
        <v>0</v>
      </c>
      <c r="X14" s="9">
        <f>[4]王者铸币!L12</f>
        <v>0</v>
      </c>
      <c r="Y14" s="9">
        <f>[4]王者铸币!M12</f>
        <v>0</v>
      </c>
      <c r="Z14" s="9">
        <f>[4]王者铸币!N12</f>
        <v>0</v>
      </c>
      <c r="AA14" s="9">
        <f>[4]王者铸币!O12</f>
        <v>0</v>
      </c>
      <c r="AB14" s="9">
        <f t="shared" si="8"/>
        <v>0</v>
      </c>
      <c r="AC14" s="9">
        <f t="shared" si="9"/>
        <v>0</v>
      </c>
      <c r="AD14" s="9">
        <f t="shared" si="10"/>
        <v>0</v>
      </c>
      <c r="AE14" s="9">
        <f t="shared" si="11"/>
        <v>0</v>
      </c>
      <c r="AF14" s="9">
        <f t="shared" si="12"/>
        <v>0</v>
      </c>
      <c r="AH14" s="83">
        <v>10</v>
      </c>
      <c r="AI14" s="60">
        <f>基础信息!D19</f>
        <v>52</v>
      </c>
      <c r="AJ14" s="61">
        <f>基础信息!E19</f>
        <v>789.85301886939453</v>
      </c>
      <c r="AK14" s="61">
        <f>基础信息!F19</f>
        <v>96.265821375882837</v>
      </c>
      <c r="AN14" s="83">
        <f t="shared" si="6"/>
        <v>23.386587358535806</v>
      </c>
    </row>
    <row r="15" spans="1:51" x14ac:dyDescent="0.15">
      <c r="B15" s="9">
        <v>11</v>
      </c>
      <c r="C15" s="9">
        <v>6</v>
      </c>
      <c r="D15" s="9">
        <v>5</v>
      </c>
      <c r="J15" s="83">
        <v>11</v>
      </c>
      <c r="K15" s="60">
        <f>基础信息!D20</f>
        <v>57</v>
      </c>
      <c r="L15" s="61">
        <f>基础信息!E20</f>
        <v>1647.8248427703616</v>
      </c>
      <c r="M15" s="61">
        <f>基础信息!F20</f>
        <v>106.86832874572353</v>
      </c>
      <c r="N15" s="83">
        <f t="shared" si="1"/>
        <v>6</v>
      </c>
      <c r="O15" s="83">
        <f t="shared" si="2"/>
        <v>5</v>
      </c>
      <c r="P15" s="83">
        <f t="shared" si="3"/>
        <v>0</v>
      </c>
      <c r="Q15" s="83">
        <f t="shared" si="4"/>
        <v>0</v>
      </c>
      <c r="R15" s="83">
        <f t="shared" si="5"/>
        <v>0</v>
      </c>
      <c r="V15" s="9">
        <v>9</v>
      </c>
      <c r="W15" s="9">
        <f>[4]王者铸币!K13</f>
        <v>0</v>
      </c>
      <c r="X15" s="9">
        <f>[4]王者铸币!L13</f>
        <v>0</v>
      </c>
      <c r="Y15" s="9">
        <f>[4]王者铸币!M13</f>
        <v>0</v>
      </c>
      <c r="Z15" s="9">
        <f>[4]王者铸币!N13</f>
        <v>0</v>
      </c>
      <c r="AA15" s="9">
        <f>[4]王者铸币!O13</f>
        <v>0</v>
      </c>
      <c r="AB15" s="9">
        <f t="shared" si="8"/>
        <v>0</v>
      </c>
      <c r="AC15" s="9">
        <f t="shared" si="9"/>
        <v>0</v>
      </c>
      <c r="AD15" s="9">
        <f t="shared" si="10"/>
        <v>0</v>
      </c>
      <c r="AE15" s="9">
        <f t="shared" si="11"/>
        <v>0</v>
      </c>
      <c r="AF15" s="9">
        <f t="shared" si="12"/>
        <v>0</v>
      </c>
      <c r="AH15" s="83">
        <v>11</v>
      </c>
      <c r="AI15" s="60">
        <f>基础信息!D20</f>
        <v>57</v>
      </c>
      <c r="AJ15" s="61">
        <f>基础信息!E20</f>
        <v>1647.8248427703616</v>
      </c>
      <c r="AK15" s="61">
        <f>基础信息!F20</f>
        <v>106.86832874572353</v>
      </c>
      <c r="AN15" s="83">
        <f t="shared" si="6"/>
        <v>49.793053494154442</v>
      </c>
    </row>
    <row r="16" spans="1:51" x14ac:dyDescent="0.15">
      <c r="B16" s="9">
        <v>12</v>
      </c>
      <c r="C16" s="9">
        <v>6</v>
      </c>
      <c r="D16" s="9">
        <v>6</v>
      </c>
      <c r="J16" s="83">
        <v>12</v>
      </c>
      <c r="K16" s="60">
        <f>基础信息!D21</f>
        <v>62</v>
      </c>
      <c r="L16" s="61">
        <f>基础信息!E21</f>
        <v>3431.3522956038646</v>
      </c>
      <c r="M16" s="61">
        <f>基础信息!F21</f>
        <v>117.44125295293078</v>
      </c>
      <c r="N16" s="83">
        <f t="shared" si="1"/>
        <v>6</v>
      </c>
      <c r="O16" s="83">
        <f t="shared" si="2"/>
        <v>6</v>
      </c>
      <c r="P16" s="83">
        <f t="shared" si="3"/>
        <v>0</v>
      </c>
      <c r="Q16" s="83">
        <f t="shared" si="4"/>
        <v>0</v>
      </c>
      <c r="R16" s="83">
        <f t="shared" si="5"/>
        <v>0</v>
      </c>
      <c r="V16" s="9">
        <v>10</v>
      </c>
      <c r="W16" s="9">
        <f>[4]王者铸币!K14</f>
        <v>0</v>
      </c>
      <c r="X16" s="9">
        <f>[4]王者铸币!L14</f>
        <v>0</v>
      </c>
      <c r="Y16" s="9">
        <f>[4]王者铸币!M14</f>
        <v>0</v>
      </c>
      <c r="Z16" s="9">
        <f>[4]王者铸币!N14</f>
        <v>0</v>
      </c>
      <c r="AA16" s="9">
        <f>[4]王者铸币!O14</f>
        <v>0</v>
      </c>
      <c r="AB16" s="9">
        <f t="shared" si="8"/>
        <v>0</v>
      </c>
      <c r="AC16" s="9">
        <f t="shared" si="9"/>
        <v>0</v>
      </c>
      <c r="AD16" s="9">
        <f t="shared" si="10"/>
        <v>0</v>
      </c>
      <c r="AE16" s="9">
        <f t="shared" si="11"/>
        <v>0</v>
      </c>
      <c r="AF16" s="9">
        <f t="shared" si="12"/>
        <v>0</v>
      </c>
      <c r="AH16" s="83">
        <v>12</v>
      </c>
      <c r="AI16" s="60">
        <f>基础信息!D21</f>
        <v>62</v>
      </c>
      <c r="AJ16" s="61">
        <f>基础信息!E21</f>
        <v>3431.3522956038646</v>
      </c>
      <c r="AK16" s="61">
        <f>基础信息!F21</f>
        <v>117.44125295293078</v>
      </c>
      <c r="AN16" s="83">
        <f t="shared" si="6"/>
        <v>104.68606509803011</v>
      </c>
    </row>
    <row r="17" spans="2:42" x14ac:dyDescent="0.15">
      <c r="B17" s="9">
        <v>13</v>
      </c>
      <c r="C17" s="9">
        <v>6</v>
      </c>
      <c r="D17" s="9">
        <v>6</v>
      </c>
      <c r="E17" s="9">
        <v>1</v>
      </c>
      <c r="J17" s="83">
        <v>13</v>
      </c>
      <c r="K17" s="60">
        <f>基础信息!D22</f>
        <v>67</v>
      </c>
      <c r="L17" s="61">
        <f>基础信息!E22</f>
        <v>7133.5498113340191</v>
      </c>
      <c r="M17" s="61">
        <f>基础信息!F22</f>
        <v>128.00586023511804</v>
      </c>
      <c r="N17" s="83">
        <f t="shared" si="1"/>
        <v>6</v>
      </c>
      <c r="O17" s="83">
        <f t="shared" si="2"/>
        <v>6</v>
      </c>
      <c r="P17" s="83">
        <f t="shared" si="3"/>
        <v>1</v>
      </c>
      <c r="Q17" s="83">
        <f t="shared" si="4"/>
        <v>0</v>
      </c>
      <c r="R17" s="83">
        <f t="shared" si="5"/>
        <v>0</v>
      </c>
      <c r="V17" s="9">
        <v>11</v>
      </c>
      <c r="W17" s="9">
        <f>[4]王者铸币!K15</f>
        <v>0</v>
      </c>
      <c r="X17" s="9">
        <f>[4]王者铸币!L15</f>
        <v>0</v>
      </c>
      <c r="Y17" s="9">
        <f>[4]王者铸币!M15</f>
        <v>0</v>
      </c>
      <c r="Z17" s="9">
        <f>[4]王者铸币!N15</f>
        <v>0</v>
      </c>
      <c r="AA17" s="9">
        <f>[4]王者铸币!O15</f>
        <v>0</v>
      </c>
      <c r="AB17" s="9">
        <f t="shared" si="8"/>
        <v>0</v>
      </c>
      <c r="AC17" s="9">
        <f t="shared" si="9"/>
        <v>0</v>
      </c>
      <c r="AD17" s="9">
        <f t="shared" si="10"/>
        <v>0</v>
      </c>
      <c r="AE17" s="9">
        <f t="shared" si="11"/>
        <v>0</v>
      </c>
      <c r="AF17" s="9">
        <f t="shared" si="12"/>
        <v>0</v>
      </c>
      <c r="AH17" s="83">
        <v>13</v>
      </c>
      <c r="AI17" s="60">
        <f>基础信息!D22</f>
        <v>67</v>
      </c>
      <c r="AJ17" s="61">
        <f>基础信息!E22</f>
        <v>7133.5498113340191</v>
      </c>
      <c r="AK17" s="61">
        <f>基础信息!F22</f>
        <v>128.00586023511804</v>
      </c>
      <c r="AN17" s="83">
        <f t="shared" si="6"/>
        <v>218.63147752661368</v>
      </c>
    </row>
    <row r="18" spans="2:42" x14ac:dyDescent="0.15">
      <c r="B18" s="9">
        <v>14</v>
      </c>
      <c r="C18" s="9">
        <v>6</v>
      </c>
      <c r="D18" s="9">
        <v>6</v>
      </c>
      <c r="E18" s="9">
        <v>2</v>
      </c>
      <c r="J18" s="83">
        <v>14</v>
      </c>
      <c r="K18" s="60">
        <f>基础信息!D23</f>
        <v>72</v>
      </c>
      <c r="L18" s="61">
        <f>基础信息!E23</f>
        <v>14808.205062920617</v>
      </c>
      <c r="M18" s="61">
        <f>基础信息!F23</f>
        <v>138.53345528648683</v>
      </c>
      <c r="N18" s="83">
        <f t="shared" si="1"/>
        <v>6</v>
      </c>
      <c r="O18" s="83">
        <f t="shared" si="2"/>
        <v>6</v>
      </c>
      <c r="P18" s="83">
        <f t="shared" si="3"/>
        <v>2</v>
      </c>
      <c r="Q18" s="83">
        <f t="shared" si="4"/>
        <v>0</v>
      </c>
      <c r="R18" s="83">
        <f t="shared" si="5"/>
        <v>0</v>
      </c>
      <c r="V18" s="9">
        <v>12</v>
      </c>
      <c r="W18" s="9">
        <f>[4]王者铸币!K16</f>
        <v>0</v>
      </c>
      <c r="X18" s="9">
        <f>[4]王者铸币!L16</f>
        <v>0</v>
      </c>
      <c r="Y18" s="9">
        <f>[4]王者铸币!M16</f>
        <v>0</v>
      </c>
      <c r="Z18" s="9">
        <f>[4]王者铸币!N16</f>
        <v>0</v>
      </c>
      <c r="AA18" s="9">
        <f>[4]王者铸币!O16</f>
        <v>0</v>
      </c>
      <c r="AB18" s="9">
        <f t="shared" si="8"/>
        <v>0</v>
      </c>
      <c r="AC18" s="9">
        <f t="shared" si="9"/>
        <v>0</v>
      </c>
      <c r="AD18" s="9">
        <f t="shared" si="10"/>
        <v>0</v>
      </c>
      <c r="AE18" s="9">
        <f t="shared" si="11"/>
        <v>0</v>
      </c>
      <c r="AF18" s="9">
        <f t="shared" si="12"/>
        <v>0</v>
      </c>
      <c r="AH18" s="83">
        <v>14</v>
      </c>
      <c r="AI18" s="60">
        <f>基础信息!D23</f>
        <v>72</v>
      </c>
      <c r="AJ18" s="61">
        <f>基础信息!E23</f>
        <v>14808.205062920617</v>
      </c>
      <c r="AK18" s="61">
        <f>基础信息!F23</f>
        <v>138.53345528648683</v>
      </c>
      <c r="AN18" s="83">
        <f t="shared" si="6"/>
        <v>454.8403113810009</v>
      </c>
    </row>
    <row r="19" spans="2:42" x14ac:dyDescent="0.15">
      <c r="B19" s="9">
        <v>15</v>
      </c>
      <c r="C19" s="9">
        <v>6</v>
      </c>
      <c r="D19" s="9">
        <v>6</v>
      </c>
      <c r="E19" s="9">
        <v>3</v>
      </c>
      <c r="J19" s="83">
        <v>15</v>
      </c>
      <c r="K19" s="60">
        <f>基础信息!D24</f>
        <v>77</v>
      </c>
      <c r="L19" s="61">
        <f>基础信息!E24</f>
        <v>30698.011006346387</v>
      </c>
      <c r="M19" s="61">
        <f>基础信息!F24</f>
        <v>149.05713970651243</v>
      </c>
      <c r="N19" s="83">
        <f t="shared" si="1"/>
        <v>6</v>
      </c>
      <c r="O19" s="83">
        <f t="shared" si="2"/>
        <v>6</v>
      </c>
      <c r="P19" s="83">
        <f t="shared" si="3"/>
        <v>3</v>
      </c>
      <c r="Q19" s="83">
        <f t="shared" si="4"/>
        <v>0</v>
      </c>
      <c r="R19" s="83">
        <f t="shared" si="5"/>
        <v>0</v>
      </c>
      <c r="V19" s="9">
        <v>13</v>
      </c>
      <c r="W19" s="9">
        <f>[4]王者铸币!K17</f>
        <v>0</v>
      </c>
      <c r="X19" s="9">
        <f>[4]王者铸币!L17</f>
        <v>0</v>
      </c>
      <c r="Y19" s="9">
        <f>[4]王者铸币!M17</f>
        <v>0</v>
      </c>
      <c r="Z19" s="9">
        <f>[4]王者铸币!N17</f>
        <v>0</v>
      </c>
      <c r="AA19" s="9">
        <f>[4]王者铸币!O17</f>
        <v>0</v>
      </c>
      <c r="AB19" s="9">
        <f t="shared" si="8"/>
        <v>0</v>
      </c>
      <c r="AC19" s="9">
        <f t="shared" si="9"/>
        <v>0</v>
      </c>
      <c r="AD19" s="9">
        <f t="shared" si="10"/>
        <v>0</v>
      </c>
      <c r="AE19" s="9">
        <f t="shared" si="11"/>
        <v>0</v>
      </c>
      <c r="AF19" s="9">
        <f t="shared" si="12"/>
        <v>0</v>
      </c>
      <c r="AH19" s="83">
        <v>15</v>
      </c>
      <c r="AI19" s="60">
        <f>基础信息!D24</f>
        <v>77</v>
      </c>
      <c r="AJ19" s="61">
        <f>基础信息!E24</f>
        <v>30698.011006346387</v>
      </c>
      <c r="AK19" s="61">
        <f>基础信息!F24</f>
        <v>149.05713970651243</v>
      </c>
      <c r="AN19" s="83">
        <f t="shared" si="6"/>
        <v>943.89322763977157</v>
      </c>
    </row>
    <row r="20" spans="2:42" x14ac:dyDescent="0.15">
      <c r="B20" s="9">
        <v>16</v>
      </c>
      <c r="C20" s="9">
        <v>6</v>
      </c>
      <c r="D20" s="9">
        <v>6</v>
      </c>
      <c r="E20" s="9">
        <v>4</v>
      </c>
      <c r="J20" s="83">
        <v>16</v>
      </c>
      <c r="K20" s="60">
        <f>基础信息!D25</f>
        <v>80</v>
      </c>
      <c r="L20" s="61">
        <f>基础信息!E25</f>
        <v>47512.875</v>
      </c>
      <c r="M20" s="61">
        <f>基础信息!F25</f>
        <v>155.35264798579232</v>
      </c>
      <c r="N20" s="83">
        <f t="shared" si="1"/>
        <v>6</v>
      </c>
      <c r="O20" s="83">
        <f t="shared" si="2"/>
        <v>6</v>
      </c>
      <c r="P20" s="83">
        <f t="shared" si="3"/>
        <v>4</v>
      </c>
      <c r="Q20" s="83">
        <f t="shared" si="4"/>
        <v>0</v>
      </c>
      <c r="R20" s="83">
        <f t="shared" si="5"/>
        <v>0</v>
      </c>
      <c r="V20" s="9">
        <v>14</v>
      </c>
      <c r="W20" s="9">
        <f>[4]王者铸币!K18</f>
        <v>0</v>
      </c>
      <c r="X20" s="9">
        <f>[4]王者铸币!L18</f>
        <v>0</v>
      </c>
      <c r="Y20" s="9">
        <f>[4]王者铸币!M18</f>
        <v>0</v>
      </c>
      <c r="Z20" s="9">
        <f>[4]王者铸币!N18</f>
        <v>0</v>
      </c>
      <c r="AA20" s="9">
        <f>[4]王者铸币!O18</f>
        <v>0</v>
      </c>
      <c r="AB20" s="9">
        <f t="shared" si="8"/>
        <v>0</v>
      </c>
      <c r="AC20" s="9">
        <f t="shared" si="9"/>
        <v>0</v>
      </c>
      <c r="AD20" s="9">
        <f t="shared" si="10"/>
        <v>0</v>
      </c>
      <c r="AE20" s="9">
        <f t="shared" si="11"/>
        <v>0</v>
      </c>
      <c r="AF20" s="9">
        <f t="shared" si="12"/>
        <v>0</v>
      </c>
      <c r="AH20" s="83">
        <v>16</v>
      </c>
      <c r="AI20" s="60">
        <f>基础信息!D25</f>
        <v>80</v>
      </c>
      <c r="AJ20" s="61">
        <f>基础信息!E25</f>
        <v>47512.875</v>
      </c>
      <c r="AK20" s="61">
        <f>基础信息!F25</f>
        <v>155.35264798579232</v>
      </c>
      <c r="AN20" s="83">
        <f t="shared" si="6"/>
        <v>1461.417375</v>
      </c>
    </row>
    <row r="21" spans="2:42" x14ac:dyDescent="0.15">
      <c r="V21" s="9">
        <v>15</v>
      </c>
      <c r="W21" s="9">
        <f>[4]王者铸币!K19</f>
        <v>0</v>
      </c>
      <c r="X21" s="9">
        <f>[4]王者铸币!L19</f>
        <v>0</v>
      </c>
      <c r="Y21" s="9">
        <f>[4]王者铸币!M19</f>
        <v>0</v>
      </c>
      <c r="Z21" s="9">
        <f>[4]王者铸币!N19</f>
        <v>0</v>
      </c>
      <c r="AA21" s="9">
        <f>[4]王者铸币!O19</f>
        <v>0</v>
      </c>
      <c r="AB21" s="9">
        <f t="shared" si="8"/>
        <v>0</v>
      </c>
      <c r="AC21" s="9">
        <f t="shared" si="9"/>
        <v>0</v>
      </c>
      <c r="AD21" s="9">
        <f t="shared" si="10"/>
        <v>0</v>
      </c>
      <c r="AE21" s="9">
        <f t="shared" si="11"/>
        <v>0</v>
      </c>
      <c r="AF21" s="9">
        <f t="shared" si="12"/>
        <v>0</v>
      </c>
    </row>
    <row r="22" spans="2:42" x14ac:dyDescent="0.15">
      <c r="V22" s="9">
        <v>16</v>
      </c>
      <c r="W22" s="9">
        <f>[4]王者铸币!K20</f>
        <v>0</v>
      </c>
      <c r="X22" s="9">
        <f>[4]王者铸币!L20</f>
        <v>0</v>
      </c>
      <c r="Y22" s="9">
        <f>[4]王者铸币!M20</f>
        <v>0</v>
      </c>
      <c r="Z22" s="9">
        <f>[4]王者铸币!N20</f>
        <v>0</v>
      </c>
      <c r="AA22" s="9">
        <f>[4]王者铸币!O20</f>
        <v>0</v>
      </c>
      <c r="AB22" s="9">
        <f t="shared" si="8"/>
        <v>0</v>
      </c>
      <c r="AC22" s="9">
        <f t="shared" si="9"/>
        <v>0</v>
      </c>
      <c r="AD22" s="9">
        <f t="shared" si="10"/>
        <v>0</v>
      </c>
      <c r="AE22" s="9">
        <f t="shared" si="11"/>
        <v>0</v>
      </c>
      <c r="AF22" s="9">
        <f t="shared" si="12"/>
        <v>0</v>
      </c>
    </row>
    <row r="23" spans="2:42" x14ac:dyDescent="0.15">
      <c r="J23" s="83" t="s">
        <v>1</v>
      </c>
      <c r="N23" s="127" t="s">
        <v>124</v>
      </c>
      <c r="O23" s="127"/>
      <c r="P23" s="127"/>
      <c r="Q23" s="127"/>
      <c r="R23" s="127"/>
      <c r="V23" s="9">
        <v>17</v>
      </c>
      <c r="W23" s="9">
        <f>[4]王者铸币!K21</f>
        <v>0</v>
      </c>
      <c r="X23" s="9">
        <f>[4]王者铸币!L21</f>
        <v>0</v>
      </c>
      <c r="Y23" s="9">
        <f>[4]王者铸币!M21</f>
        <v>0</v>
      </c>
      <c r="Z23" s="9">
        <f>[4]王者铸币!N21</f>
        <v>0</v>
      </c>
      <c r="AA23" s="9">
        <f>[4]王者铸币!O21</f>
        <v>0</v>
      </c>
      <c r="AB23" s="9">
        <f t="shared" si="8"/>
        <v>0</v>
      </c>
      <c r="AC23" s="9">
        <f t="shared" si="9"/>
        <v>0</v>
      </c>
      <c r="AD23" s="9">
        <f t="shared" si="10"/>
        <v>0</v>
      </c>
      <c r="AE23" s="9">
        <f t="shared" si="11"/>
        <v>0</v>
      </c>
      <c r="AF23" s="9">
        <f t="shared" si="12"/>
        <v>0</v>
      </c>
      <c r="AH23" s="83" t="s">
        <v>1</v>
      </c>
      <c r="AL23" s="127" t="s">
        <v>197</v>
      </c>
      <c r="AM23" s="127"/>
      <c r="AN23" s="127"/>
      <c r="AO23" s="127"/>
      <c r="AP23" s="127"/>
    </row>
    <row r="24" spans="2:42" x14ac:dyDescent="0.15">
      <c r="J24" s="83" t="s">
        <v>21</v>
      </c>
      <c r="K24" s="83" t="s">
        <v>121</v>
      </c>
      <c r="L24" s="81" t="s">
        <v>122</v>
      </c>
      <c r="M24" s="81" t="s">
        <v>103</v>
      </c>
      <c r="N24" s="83" t="s">
        <v>8</v>
      </c>
      <c r="O24" s="83" t="s">
        <v>9</v>
      </c>
      <c r="P24" s="83" t="s">
        <v>10</v>
      </c>
      <c r="Q24" s="83" t="s">
        <v>11</v>
      </c>
      <c r="R24" s="83" t="s">
        <v>12</v>
      </c>
      <c r="V24" s="9">
        <v>18</v>
      </c>
      <c r="W24" s="9">
        <f>[4]王者铸币!K22</f>
        <v>0</v>
      </c>
      <c r="X24" s="9">
        <f>[4]王者铸币!L22</f>
        <v>0</v>
      </c>
      <c r="Y24" s="9">
        <f>[4]王者铸币!M22</f>
        <v>0</v>
      </c>
      <c r="Z24" s="9">
        <f>[4]王者铸币!N22</f>
        <v>0</v>
      </c>
      <c r="AA24" s="9">
        <f>[4]王者铸币!O22</f>
        <v>0</v>
      </c>
      <c r="AB24" s="9">
        <f t="shared" si="8"/>
        <v>0</v>
      </c>
      <c r="AC24" s="9">
        <f t="shared" si="9"/>
        <v>0</v>
      </c>
      <c r="AD24" s="9">
        <f t="shared" si="10"/>
        <v>0</v>
      </c>
      <c r="AE24" s="9">
        <f t="shared" si="11"/>
        <v>0</v>
      </c>
      <c r="AF24" s="9">
        <f t="shared" si="12"/>
        <v>0</v>
      </c>
      <c r="AH24" s="83" t="s">
        <v>21</v>
      </c>
      <c r="AI24" s="83" t="s">
        <v>121</v>
      </c>
      <c r="AJ24" s="81" t="s">
        <v>122</v>
      </c>
      <c r="AK24" s="81" t="s">
        <v>103</v>
      </c>
      <c r="AL24" s="83" t="s">
        <v>8</v>
      </c>
      <c r="AM24" s="83" t="s">
        <v>9</v>
      </c>
      <c r="AN24" s="83" t="s">
        <v>10</v>
      </c>
      <c r="AO24" s="83" t="s">
        <v>11</v>
      </c>
      <c r="AP24" s="83" t="s">
        <v>12</v>
      </c>
    </row>
    <row r="25" spans="2:42" x14ac:dyDescent="0.15">
      <c r="J25" s="83">
        <v>1</v>
      </c>
      <c r="K25" s="60">
        <f>基础信息!D30</f>
        <v>16</v>
      </c>
      <c r="L25" s="61">
        <f>基础信息!E30</f>
        <v>2.0310175363141174</v>
      </c>
      <c r="M25" s="61">
        <f>基础信息!F30</f>
        <v>17.420973982667814</v>
      </c>
      <c r="N25" s="83">
        <f>C5</f>
        <v>1</v>
      </c>
      <c r="O25" s="83">
        <f t="shared" ref="O25:R25" si="13">D5</f>
        <v>0</v>
      </c>
      <c r="P25" s="83">
        <f t="shared" si="13"/>
        <v>0</v>
      </c>
      <c r="Q25" s="83">
        <f t="shared" si="13"/>
        <v>0</v>
      </c>
      <c r="R25" s="83">
        <f t="shared" si="13"/>
        <v>0</v>
      </c>
      <c r="V25" s="9">
        <v>19</v>
      </c>
      <c r="W25" s="9">
        <f>[4]王者铸币!K23</f>
        <v>0</v>
      </c>
      <c r="X25" s="9">
        <f>[4]王者铸币!L23</f>
        <v>0</v>
      </c>
      <c r="Y25" s="9">
        <f>[4]王者铸币!M23</f>
        <v>0</v>
      </c>
      <c r="Z25" s="9">
        <f>[4]王者铸币!N23</f>
        <v>0</v>
      </c>
      <c r="AA25" s="9">
        <f>[4]王者铸币!O23</f>
        <v>0</v>
      </c>
      <c r="AB25" s="9">
        <f t="shared" si="8"/>
        <v>0</v>
      </c>
      <c r="AC25" s="9">
        <f t="shared" si="9"/>
        <v>0</v>
      </c>
      <c r="AD25" s="9">
        <f t="shared" si="10"/>
        <v>0</v>
      </c>
      <c r="AE25" s="9">
        <f t="shared" si="11"/>
        <v>0</v>
      </c>
      <c r="AF25" s="9">
        <f t="shared" si="12"/>
        <v>0</v>
      </c>
      <c r="AH25" s="83">
        <v>1</v>
      </c>
      <c r="AI25" s="60">
        <f>基础信息!D30</f>
        <v>16</v>
      </c>
      <c r="AJ25" s="61">
        <f>基础信息!E30</f>
        <v>2.0310175363141174</v>
      </c>
      <c r="AK25" s="61">
        <f>基础信息!F30</f>
        <v>17.420973982667814</v>
      </c>
      <c r="AN25" s="83">
        <f>求节点($V$7:$V$166,$AC$7:$AC$166,AK25)</f>
        <v>0</v>
      </c>
    </row>
    <row r="26" spans="2:42" x14ac:dyDescent="0.15">
      <c r="J26" s="83">
        <v>2</v>
      </c>
      <c r="K26" s="60">
        <f>基础信息!D31</f>
        <v>19.5</v>
      </c>
      <c r="L26" s="61">
        <f>基础信息!E31</f>
        <v>3.8583180257323662</v>
      </c>
      <c r="M26" s="61">
        <f>基础信息!F31</f>
        <v>24.411235857114818</v>
      </c>
      <c r="N26" s="83">
        <f t="shared" ref="N26:N40" si="14">C6</f>
        <v>2</v>
      </c>
      <c r="O26" s="83">
        <f t="shared" ref="O26:O40" si="15">D6</f>
        <v>0</v>
      </c>
      <c r="P26" s="83">
        <f t="shared" ref="P26:P40" si="16">E6</f>
        <v>0</v>
      </c>
      <c r="Q26" s="83">
        <f t="shared" ref="Q26:Q40" si="17">F6</f>
        <v>0</v>
      </c>
      <c r="R26" s="83">
        <f t="shared" ref="R26:R40" si="18">G6</f>
        <v>0</v>
      </c>
      <c r="V26" s="9">
        <v>20</v>
      </c>
      <c r="W26" s="9">
        <f>[4]王者铸币!K24</f>
        <v>0</v>
      </c>
      <c r="X26" s="9">
        <f>[4]王者铸币!L24</f>
        <v>0</v>
      </c>
      <c r="Y26" s="9">
        <f>[4]王者铸币!M24</f>
        <v>0</v>
      </c>
      <c r="Z26" s="9">
        <f>[4]王者铸币!N24</f>
        <v>0</v>
      </c>
      <c r="AA26" s="9">
        <f>[4]王者铸币!O24</f>
        <v>0</v>
      </c>
      <c r="AB26" s="9">
        <f t="shared" si="8"/>
        <v>0</v>
      </c>
      <c r="AC26" s="9">
        <f t="shared" si="9"/>
        <v>0</v>
      </c>
      <c r="AD26" s="9">
        <f t="shared" si="10"/>
        <v>0</v>
      </c>
      <c r="AE26" s="9">
        <f t="shared" si="11"/>
        <v>0</v>
      </c>
      <c r="AF26" s="9">
        <f t="shared" si="12"/>
        <v>0</v>
      </c>
      <c r="AH26" s="83">
        <v>2</v>
      </c>
      <c r="AI26" s="60">
        <f>基础信息!D31</f>
        <v>19.5</v>
      </c>
      <c r="AJ26" s="61">
        <f>基础信息!E31</f>
        <v>3.8583180257323662</v>
      </c>
      <c r="AK26" s="61">
        <f>基础信息!F31</f>
        <v>24.411235857114818</v>
      </c>
      <c r="AN26" s="83">
        <f t="shared" ref="AN26:AN40" si="19">求节点($V$7:$V$166,$AC$7:$AC$166,AK26)</f>
        <v>0</v>
      </c>
    </row>
    <row r="27" spans="2:42" x14ac:dyDescent="0.15">
      <c r="J27" s="83">
        <v>3</v>
      </c>
      <c r="K27" s="60">
        <f>基础信息!D32</f>
        <v>23.5</v>
      </c>
      <c r="L27" s="61">
        <f>基础信息!E32</f>
        <v>7.7240111017275384</v>
      </c>
      <c r="M27" s="61">
        <f>基础信息!F32</f>
        <v>33.019343244153319</v>
      </c>
      <c r="N27" s="83">
        <f t="shared" si="14"/>
        <v>3</v>
      </c>
      <c r="O27" s="83">
        <f t="shared" si="15"/>
        <v>0</v>
      </c>
      <c r="P27" s="83">
        <f t="shared" si="16"/>
        <v>0</v>
      </c>
      <c r="Q27" s="83">
        <f t="shared" si="17"/>
        <v>0</v>
      </c>
      <c r="R27" s="83">
        <f t="shared" si="18"/>
        <v>0</v>
      </c>
      <c r="V27" s="9">
        <v>21</v>
      </c>
      <c r="W27" s="9">
        <f>[4]王者铸币!K25</f>
        <v>0</v>
      </c>
      <c r="X27" s="9">
        <f>[4]王者铸币!L25</f>
        <v>0</v>
      </c>
      <c r="Y27" s="9">
        <f>[4]王者铸币!M25</f>
        <v>0</v>
      </c>
      <c r="Z27" s="9">
        <f>[4]王者铸币!N25</f>
        <v>0</v>
      </c>
      <c r="AA27" s="9">
        <f>[4]王者铸币!O25</f>
        <v>0</v>
      </c>
      <c r="AB27" s="9">
        <f t="shared" si="8"/>
        <v>0</v>
      </c>
      <c r="AC27" s="9">
        <f t="shared" si="9"/>
        <v>0</v>
      </c>
      <c r="AD27" s="9">
        <f t="shared" si="10"/>
        <v>0</v>
      </c>
      <c r="AE27" s="9">
        <f t="shared" si="11"/>
        <v>0</v>
      </c>
      <c r="AF27" s="9">
        <f t="shared" si="12"/>
        <v>0</v>
      </c>
      <c r="AH27" s="83">
        <v>3</v>
      </c>
      <c r="AI27" s="60">
        <f>基础信息!D32</f>
        <v>23.5</v>
      </c>
      <c r="AJ27" s="61">
        <f>基础信息!E32</f>
        <v>7.7240111017275384</v>
      </c>
      <c r="AK27" s="61">
        <f>基础信息!F32</f>
        <v>33.019343244153319</v>
      </c>
      <c r="AN27" s="83">
        <f t="shared" si="19"/>
        <v>0</v>
      </c>
    </row>
    <row r="28" spans="2:42" x14ac:dyDescent="0.15">
      <c r="J28" s="83">
        <v>4</v>
      </c>
      <c r="K28" s="60">
        <f>基础信息!D33</f>
        <v>27.5</v>
      </c>
      <c r="L28" s="61">
        <f>基础信息!E33</f>
        <v>15.096178510388308</v>
      </c>
      <c r="M28" s="61">
        <f>基础信息!F33</f>
        <v>41.92278306907852</v>
      </c>
      <c r="N28" s="83">
        <f t="shared" si="14"/>
        <v>4</v>
      </c>
      <c r="O28" s="83">
        <f t="shared" si="15"/>
        <v>0</v>
      </c>
      <c r="P28" s="83">
        <f t="shared" si="16"/>
        <v>0</v>
      </c>
      <c r="Q28" s="83">
        <f t="shared" si="17"/>
        <v>0</v>
      </c>
      <c r="R28" s="83">
        <f t="shared" si="18"/>
        <v>0</v>
      </c>
      <c r="V28" s="9">
        <v>22</v>
      </c>
      <c r="W28" s="9">
        <f>[4]王者铸币!K26</f>
        <v>0</v>
      </c>
      <c r="X28" s="9">
        <f>[4]王者铸币!L26</f>
        <v>0</v>
      </c>
      <c r="Y28" s="9">
        <f>[4]王者铸币!M26</f>
        <v>0</v>
      </c>
      <c r="Z28" s="9">
        <f>[4]王者铸币!N26</f>
        <v>0</v>
      </c>
      <c r="AA28" s="9">
        <f>[4]王者铸币!O26</f>
        <v>0</v>
      </c>
      <c r="AB28" s="9">
        <f t="shared" si="8"/>
        <v>0</v>
      </c>
      <c r="AC28" s="9">
        <f t="shared" si="9"/>
        <v>0</v>
      </c>
      <c r="AD28" s="9">
        <f t="shared" si="10"/>
        <v>0</v>
      </c>
      <c r="AE28" s="9">
        <f t="shared" si="11"/>
        <v>0</v>
      </c>
      <c r="AF28" s="9">
        <f t="shared" si="12"/>
        <v>0</v>
      </c>
      <c r="AH28" s="83">
        <v>4</v>
      </c>
      <c r="AI28" s="60">
        <f>基础信息!D33</f>
        <v>27.5</v>
      </c>
      <c r="AJ28" s="61">
        <f>基础信息!E33</f>
        <v>15.096178510388308</v>
      </c>
      <c r="AK28" s="61">
        <f>基础信息!F33</f>
        <v>41.92278306907852</v>
      </c>
      <c r="AN28" s="83">
        <f t="shared" si="19"/>
        <v>0</v>
      </c>
    </row>
    <row r="29" spans="2:42" x14ac:dyDescent="0.15">
      <c r="J29" s="83">
        <v>5</v>
      </c>
      <c r="K29" s="60">
        <f>基础信息!D34</f>
        <v>31.5</v>
      </c>
      <c r="L29" s="61">
        <f>基础信息!E34</f>
        <v>29.031391010864539</v>
      </c>
      <c r="M29" s="61">
        <f>基础信息!F34</f>
        <v>51.047922371312225</v>
      </c>
      <c r="N29" s="83">
        <f t="shared" si="14"/>
        <v>5</v>
      </c>
      <c r="O29" s="83">
        <f t="shared" si="15"/>
        <v>0</v>
      </c>
      <c r="P29" s="83">
        <f t="shared" si="16"/>
        <v>0</v>
      </c>
      <c r="Q29" s="83">
        <f t="shared" si="17"/>
        <v>0</v>
      </c>
      <c r="R29" s="83">
        <f t="shared" si="18"/>
        <v>0</v>
      </c>
      <c r="V29" s="9">
        <v>23</v>
      </c>
      <c r="W29" s="9">
        <f>[4]王者铸币!K27</f>
        <v>0</v>
      </c>
      <c r="X29" s="9">
        <f>[4]王者铸币!L27</f>
        <v>0</v>
      </c>
      <c r="Y29" s="9">
        <f>[4]王者铸币!M27</f>
        <v>0</v>
      </c>
      <c r="Z29" s="9">
        <f>[4]王者铸币!N27</f>
        <v>0</v>
      </c>
      <c r="AA29" s="9">
        <f>[4]王者铸币!O27</f>
        <v>0</v>
      </c>
      <c r="AB29" s="9">
        <f t="shared" si="8"/>
        <v>0</v>
      </c>
      <c r="AC29" s="9">
        <f t="shared" si="9"/>
        <v>0</v>
      </c>
      <c r="AD29" s="9">
        <f t="shared" si="10"/>
        <v>0</v>
      </c>
      <c r="AE29" s="9">
        <f t="shared" si="11"/>
        <v>0</v>
      </c>
      <c r="AF29" s="9">
        <f t="shared" si="12"/>
        <v>0</v>
      </c>
      <c r="AH29" s="83">
        <v>5</v>
      </c>
      <c r="AI29" s="60">
        <f>基础信息!D34</f>
        <v>31.5</v>
      </c>
      <c r="AJ29" s="61">
        <f>基础信息!E34</f>
        <v>29.031391010864539</v>
      </c>
      <c r="AK29" s="61">
        <f>基础信息!F34</f>
        <v>51.047922371312225</v>
      </c>
      <c r="AN29" s="83">
        <f t="shared" si="19"/>
        <v>2.4063580297776751E-3</v>
      </c>
    </row>
    <row r="30" spans="2:42" x14ac:dyDescent="0.15">
      <c r="J30" s="83">
        <v>6</v>
      </c>
      <c r="K30" s="60">
        <f>基础信息!D35</f>
        <v>35.5</v>
      </c>
      <c r="L30" s="61">
        <f>基础信息!E35</f>
        <v>54.898744666803331</v>
      </c>
      <c r="M30" s="61">
        <f>基础信息!F35</f>
        <v>60.077170204921828</v>
      </c>
      <c r="N30" s="83">
        <f t="shared" si="14"/>
        <v>6</v>
      </c>
      <c r="O30" s="83">
        <f t="shared" si="15"/>
        <v>0</v>
      </c>
      <c r="P30" s="83">
        <f t="shared" si="16"/>
        <v>0</v>
      </c>
      <c r="Q30" s="83">
        <f t="shared" si="17"/>
        <v>0</v>
      </c>
      <c r="R30" s="83">
        <f t="shared" si="18"/>
        <v>0</v>
      </c>
      <c r="V30" s="9">
        <v>24</v>
      </c>
      <c r="W30" s="9">
        <f>[4]王者铸币!K28</f>
        <v>0</v>
      </c>
      <c r="X30" s="9">
        <f>[4]王者铸币!L28</f>
        <v>0</v>
      </c>
      <c r="Y30" s="9">
        <f>[4]王者铸币!M28</f>
        <v>0</v>
      </c>
      <c r="Z30" s="9">
        <f>[4]王者铸币!N28</f>
        <v>0</v>
      </c>
      <c r="AA30" s="9">
        <f>[4]王者铸币!O28</f>
        <v>0</v>
      </c>
      <c r="AB30" s="9">
        <f t="shared" si="8"/>
        <v>0</v>
      </c>
      <c r="AC30" s="9">
        <f t="shared" si="9"/>
        <v>0</v>
      </c>
      <c r="AD30" s="9">
        <f t="shared" si="10"/>
        <v>0</v>
      </c>
      <c r="AE30" s="9">
        <f t="shared" si="11"/>
        <v>0</v>
      </c>
      <c r="AF30" s="9">
        <f t="shared" si="12"/>
        <v>0</v>
      </c>
      <c r="AH30" s="83">
        <v>6</v>
      </c>
      <c r="AI30" s="60">
        <f>基础信息!D35</f>
        <v>35.5</v>
      </c>
      <c r="AJ30" s="61">
        <f>基础信息!E35</f>
        <v>54.898744666803331</v>
      </c>
      <c r="AK30" s="61">
        <f>基础信息!F35</f>
        <v>60.077170204921828</v>
      </c>
      <c r="AN30" s="83">
        <f t="shared" si="19"/>
        <v>1.1564083634137554</v>
      </c>
    </row>
    <row r="31" spans="2:42" x14ac:dyDescent="0.15">
      <c r="J31" s="83">
        <v>7</v>
      </c>
      <c r="K31" s="60">
        <f>基础信息!D36</f>
        <v>39.5</v>
      </c>
      <c r="L31" s="61">
        <f>基础信息!E36</f>
        <v>99.697076394392013</v>
      </c>
      <c r="M31" s="61">
        <f>基础信息!F36</f>
        <v>68.578677703814634</v>
      </c>
      <c r="N31" s="83">
        <f t="shared" si="14"/>
        <v>6</v>
      </c>
      <c r="O31" s="83">
        <f t="shared" si="15"/>
        <v>1</v>
      </c>
      <c r="P31" s="83">
        <f t="shared" si="16"/>
        <v>0</v>
      </c>
      <c r="Q31" s="83">
        <f t="shared" si="17"/>
        <v>0</v>
      </c>
      <c r="R31" s="83">
        <f t="shared" si="18"/>
        <v>0</v>
      </c>
      <c r="V31" s="9">
        <v>25</v>
      </c>
      <c r="W31" s="9">
        <f>[4]王者铸币!K29</f>
        <v>0</v>
      </c>
      <c r="X31" s="9">
        <f>[4]王者铸币!L29</f>
        <v>0</v>
      </c>
      <c r="Y31" s="9">
        <f>[4]王者铸币!M29</f>
        <v>0</v>
      </c>
      <c r="Z31" s="9">
        <f>[4]王者铸币!N29</f>
        <v>0</v>
      </c>
      <c r="AA31" s="9">
        <f>[4]王者铸币!O29</f>
        <v>0</v>
      </c>
      <c r="AB31" s="9">
        <f t="shared" si="8"/>
        <v>0</v>
      </c>
      <c r="AC31" s="9">
        <f t="shared" si="9"/>
        <v>0</v>
      </c>
      <c r="AD31" s="9">
        <f t="shared" si="10"/>
        <v>0</v>
      </c>
      <c r="AE31" s="9">
        <f t="shared" si="11"/>
        <v>0</v>
      </c>
      <c r="AF31" s="9">
        <f t="shared" si="12"/>
        <v>0</v>
      </c>
      <c r="AH31" s="83">
        <v>7</v>
      </c>
      <c r="AI31" s="60">
        <f>基础信息!D36</f>
        <v>39.5</v>
      </c>
      <c r="AJ31" s="61">
        <f>基础信息!E36</f>
        <v>99.697076394392013</v>
      </c>
      <c r="AK31" s="61">
        <f>基础信息!F36</f>
        <v>68.578677703814634</v>
      </c>
      <c r="AN31" s="83">
        <f t="shared" si="19"/>
        <v>3.2370419925395408</v>
      </c>
    </row>
    <row r="32" spans="2:42" x14ac:dyDescent="0.15">
      <c r="J32" s="83">
        <v>8</v>
      </c>
      <c r="K32" s="60">
        <f>基础信息!D37</f>
        <v>43.5</v>
      </c>
      <c r="L32" s="61">
        <f>基础信息!E37</f>
        <v>180.54643493461919</v>
      </c>
      <c r="M32" s="61">
        <f>基础信息!F37</f>
        <v>77.110082613456697</v>
      </c>
      <c r="N32" s="83">
        <f t="shared" si="14"/>
        <v>6</v>
      </c>
      <c r="O32" s="83">
        <f t="shared" si="15"/>
        <v>2</v>
      </c>
      <c r="P32" s="83">
        <f t="shared" si="16"/>
        <v>0</v>
      </c>
      <c r="Q32" s="83">
        <f t="shared" si="17"/>
        <v>0</v>
      </c>
      <c r="R32" s="83">
        <f t="shared" si="18"/>
        <v>0</v>
      </c>
      <c r="V32" s="9">
        <v>26</v>
      </c>
      <c r="W32" s="9">
        <f>[4]王者铸币!K30</f>
        <v>0</v>
      </c>
      <c r="X32" s="9">
        <f>[4]王者铸币!L30</f>
        <v>0</v>
      </c>
      <c r="Y32" s="9">
        <f>[4]王者铸币!M30</f>
        <v>0</v>
      </c>
      <c r="Z32" s="9">
        <f>[4]王者铸币!N30</f>
        <v>0</v>
      </c>
      <c r="AA32" s="9">
        <f>[4]王者铸币!O30</f>
        <v>0</v>
      </c>
      <c r="AB32" s="9">
        <f t="shared" si="8"/>
        <v>0</v>
      </c>
      <c r="AC32" s="9">
        <f t="shared" si="9"/>
        <v>0</v>
      </c>
      <c r="AD32" s="9">
        <f t="shared" si="10"/>
        <v>0</v>
      </c>
      <c r="AE32" s="9">
        <f t="shared" si="11"/>
        <v>0</v>
      </c>
      <c r="AF32" s="9">
        <f t="shared" si="12"/>
        <v>0</v>
      </c>
      <c r="AH32" s="83">
        <v>8</v>
      </c>
      <c r="AI32" s="60">
        <f>基础信息!D37</f>
        <v>43.5</v>
      </c>
      <c r="AJ32" s="61">
        <f>基础信息!E37</f>
        <v>180.54643493461919</v>
      </c>
      <c r="AK32" s="61">
        <f>基础信息!F37</f>
        <v>77.110082613456697</v>
      </c>
      <c r="AN32" s="83">
        <f t="shared" si="19"/>
        <v>6.9920455336300948</v>
      </c>
    </row>
    <row r="33" spans="10:42" x14ac:dyDescent="0.15">
      <c r="J33" s="83">
        <v>9</v>
      </c>
      <c r="K33" s="60">
        <f>基础信息!D38</f>
        <v>47.5</v>
      </c>
      <c r="L33" s="61">
        <f>基础信息!E38</f>
        <v>326.26831861477285</v>
      </c>
      <c r="M33" s="61">
        <f>基础信息!F38</f>
        <v>85.652928267499789</v>
      </c>
      <c r="N33" s="83">
        <f t="shared" si="14"/>
        <v>6</v>
      </c>
      <c r="O33" s="83">
        <f t="shared" si="15"/>
        <v>3</v>
      </c>
      <c r="P33" s="83">
        <f t="shared" si="16"/>
        <v>0</v>
      </c>
      <c r="Q33" s="83">
        <f t="shared" si="17"/>
        <v>0</v>
      </c>
      <c r="R33" s="83">
        <f t="shared" si="18"/>
        <v>0</v>
      </c>
      <c r="V33" s="9">
        <v>27</v>
      </c>
      <c r="W33" s="9">
        <f>[4]王者铸币!K31</f>
        <v>0</v>
      </c>
      <c r="X33" s="9">
        <f>[4]王者铸币!L31</f>
        <v>0</v>
      </c>
      <c r="Y33" s="9">
        <f>[4]王者铸币!M31</f>
        <v>0</v>
      </c>
      <c r="Z33" s="9">
        <f>[4]王者铸币!N31</f>
        <v>0</v>
      </c>
      <c r="AA33" s="9">
        <f>[4]王者铸币!O31</f>
        <v>0</v>
      </c>
      <c r="AB33" s="9">
        <f t="shared" si="8"/>
        <v>0</v>
      </c>
      <c r="AC33" s="9">
        <f t="shared" si="9"/>
        <v>0</v>
      </c>
      <c r="AD33" s="9">
        <f t="shared" si="10"/>
        <v>0</v>
      </c>
      <c r="AE33" s="9">
        <f t="shared" si="11"/>
        <v>0</v>
      </c>
      <c r="AF33" s="9">
        <f t="shared" si="12"/>
        <v>0</v>
      </c>
      <c r="AH33" s="83">
        <v>9</v>
      </c>
      <c r="AI33" s="60">
        <f>基础信息!D38</f>
        <v>47.5</v>
      </c>
      <c r="AJ33" s="61">
        <f>基础信息!E38</f>
        <v>326.26831861477285</v>
      </c>
      <c r="AK33" s="61">
        <f>基础信息!F38</f>
        <v>85.652928267499789</v>
      </c>
      <c r="AN33" s="83">
        <f t="shared" si="19"/>
        <v>13.760017464552782</v>
      </c>
    </row>
    <row r="34" spans="10:42" x14ac:dyDescent="0.15">
      <c r="J34" s="83">
        <v>10</v>
      </c>
      <c r="K34" s="60">
        <f>基础信息!D39</f>
        <v>52</v>
      </c>
      <c r="L34" s="61">
        <f>基础信息!E39</f>
        <v>631.88241509551563</v>
      </c>
      <c r="M34" s="61">
        <f>基础信息!F39</f>
        <v>95.320056465518832</v>
      </c>
      <c r="N34" s="83">
        <f t="shared" si="14"/>
        <v>6</v>
      </c>
      <c r="O34" s="83">
        <f t="shared" si="15"/>
        <v>4</v>
      </c>
      <c r="P34" s="83">
        <f t="shared" si="16"/>
        <v>0</v>
      </c>
      <c r="Q34" s="83">
        <f t="shared" si="17"/>
        <v>0</v>
      </c>
      <c r="R34" s="83">
        <f t="shared" si="18"/>
        <v>0</v>
      </c>
      <c r="V34" s="9">
        <v>28</v>
      </c>
      <c r="W34" s="9">
        <f>[4]王者铸币!K32</f>
        <v>0</v>
      </c>
      <c r="X34" s="9">
        <f>[4]王者铸币!L32</f>
        <v>0</v>
      </c>
      <c r="Y34" s="9">
        <f>[4]王者铸币!M32</f>
        <v>0</v>
      </c>
      <c r="Z34" s="9">
        <f>[4]王者铸币!N32</f>
        <v>0</v>
      </c>
      <c r="AA34" s="9">
        <f>[4]王者铸币!O32</f>
        <v>0</v>
      </c>
      <c r="AB34" s="9">
        <f t="shared" si="8"/>
        <v>0</v>
      </c>
      <c r="AC34" s="9">
        <f t="shared" si="9"/>
        <v>0</v>
      </c>
      <c r="AD34" s="9">
        <f t="shared" si="10"/>
        <v>0</v>
      </c>
      <c r="AE34" s="9">
        <f t="shared" si="11"/>
        <v>0</v>
      </c>
      <c r="AF34" s="9">
        <f t="shared" si="12"/>
        <v>0</v>
      </c>
      <c r="AH34" s="83">
        <v>10</v>
      </c>
      <c r="AI34" s="60">
        <f>基础信息!D39</f>
        <v>52</v>
      </c>
      <c r="AJ34" s="61">
        <f>基础信息!E39</f>
        <v>631.88241509551563</v>
      </c>
      <c r="AK34" s="61">
        <f>基础信息!F39</f>
        <v>95.320056465518832</v>
      </c>
      <c r="AN34" s="83">
        <f t="shared" si="19"/>
        <v>27.963228187224814</v>
      </c>
    </row>
    <row r="35" spans="10:42" x14ac:dyDescent="0.15">
      <c r="J35" s="83">
        <v>11</v>
      </c>
      <c r="K35" s="60">
        <f>基础信息!D40</f>
        <v>57</v>
      </c>
      <c r="L35" s="61">
        <f>基础信息!E40</f>
        <v>1318.2598742162893</v>
      </c>
      <c r="M35" s="61">
        <f>基础信息!F40</f>
        <v>105.93060744042049</v>
      </c>
      <c r="N35" s="83">
        <f t="shared" si="14"/>
        <v>6</v>
      </c>
      <c r="O35" s="83">
        <f t="shared" si="15"/>
        <v>5</v>
      </c>
      <c r="P35" s="83">
        <f t="shared" si="16"/>
        <v>0</v>
      </c>
      <c r="Q35" s="83">
        <f t="shared" si="17"/>
        <v>0</v>
      </c>
      <c r="R35" s="83">
        <f t="shared" si="18"/>
        <v>0</v>
      </c>
      <c r="V35" s="9">
        <v>29</v>
      </c>
      <c r="W35" s="9">
        <f>[4]王者铸币!K33</f>
        <v>0</v>
      </c>
      <c r="X35" s="9">
        <f>[4]王者铸币!L33</f>
        <v>0</v>
      </c>
      <c r="Y35" s="9">
        <f>[4]王者铸币!M33</f>
        <v>0</v>
      </c>
      <c r="Z35" s="9">
        <f>[4]王者铸币!N33</f>
        <v>0</v>
      </c>
      <c r="AA35" s="9">
        <f>[4]王者铸币!O33</f>
        <v>0</v>
      </c>
      <c r="AB35" s="9">
        <f t="shared" si="8"/>
        <v>0</v>
      </c>
      <c r="AC35" s="9">
        <f t="shared" si="9"/>
        <v>0</v>
      </c>
      <c r="AD35" s="9">
        <f t="shared" si="10"/>
        <v>0</v>
      </c>
      <c r="AE35" s="9">
        <f t="shared" si="11"/>
        <v>0</v>
      </c>
      <c r="AF35" s="9">
        <f t="shared" si="12"/>
        <v>0</v>
      </c>
      <c r="AH35" s="83">
        <v>11</v>
      </c>
      <c r="AI35" s="60">
        <f>基础信息!D40</f>
        <v>57</v>
      </c>
      <c r="AJ35" s="61">
        <f>基础信息!E40</f>
        <v>1318.2598742162893</v>
      </c>
      <c r="AK35" s="61">
        <f>基础信息!F40</f>
        <v>105.93060744042049</v>
      </c>
      <c r="AN35" s="83">
        <f t="shared" si="19"/>
        <v>59.83251415804542</v>
      </c>
    </row>
    <row r="36" spans="10:42" x14ac:dyDescent="0.15">
      <c r="J36" s="83">
        <v>12</v>
      </c>
      <c r="K36" s="60">
        <f>基础信息!D41</f>
        <v>62</v>
      </c>
      <c r="L36" s="61">
        <f>基础信息!E41</f>
        <v>2745.081836483092</v>
      </c>
      <c r="M36" s="61">
        <f>基础信息!F41</f>
        <v>116.57008716694446</v>
      </c>
      <c r="N36" s="83">
        <f t="shared" si="14"/>
        <v>6</v>
      </c>
      <c r="O36" s="83">
        <f t="shared" si="15"/>
        <v>6</v>
      </c>
      <c r="P36" s="83">
        <f t="shared" si="16"/>
        <v>0</v>
      </c>
      <c r="Q36" s="83">
        <f t="shared" si="17"/>
        <v>0</v>
      </c>
      <c r="R36" s="83">
        <f t="shared" si="18"/>
        <v>0</v>
      </c>
      <c r="V36" s="9">
        <v>30</v>
      </c>
      <c r="W36" s="9">
        <f>[4]王者铸币!K34</f>
        <v>0</v>
      </c>
      <c r="X36" s="9">
        <f>[4]王者铸币!L34</f>
        <v>0</v>
      </c>
      <c r="Y36" s="9">
        <f>[4]王者铸币!M34</f>
        <v>0</v>
      </c>
      <c r="Z36" s="9">
        <f>[4]王者铸币!N34</f>
        <v>0</v>
      </c>
      <c r="AA36" s="9">
        <f>[4]王者铸币!O34</f>
        <v>0</v>
      </c>
      <c r="AB36" s="9">
        <f t="shared" si="8"/>
        <v>0</v>
      </c>
      <c r="AC36" s="9">
        <f t="shared" si="9"/>
        <v>0</v>
      </c>
      <c r="AD36" s="9">
        <f t="shared" si="10"/>
        <v>0</v>
      </c>
      <c r="AE36" s="9">
        <f t="shared" si="11"/>
        <v>0</v>
      </c>
      <c r="AF36" s="9">
        <f t="shared" si="12"/>
        <v>0</v>
      </c>
      <c r="AH36" s="83">
        <v>12</v>
      </c>
      <c r="AI36" s="60">
        <f>基础信息!D41</f>
        <v>62</v>
      </c>
      <c r="AJ36" s="61">
        <f>基础信息!E41</f>
        <v>2745.081836483092</v>
      </c>
      <c r="AK36" s="61">
        <f>基础信息!F41</f>
        <v>116.57008716694446</v>
      </c>
      <c r="AN36" s="83">
        <f t="shared" si="19"/>
        <v>126.10046751665918</v>
      </c>
    </row>
    <row r="37" spans="10:42" x14ac:dyDescent="0.15">
      <c r="J37" s="83">
        <v>13</v>
      </c>
      <c r="K37" s="60">
        <f>基础信息!D42</f>
        <v>67</v>
      </c>
      <c r="L37" s="61">
        <f>基础信息!E42</f>
        <v>5706.8398490672153</v>
      </c>
      <c r="M37" s="61">
        <f>基础信息!F42</f>
        <v>127.12838978012395</v>
      </c>
      <c r="N37" s="83">
        <f t="shared" si="14"/>
        <v>6</v>
      </c>
      <c r="O37" s="83">
        <f t="shared" si="15"/>
        <v>6</v>
      </c>
      <c r="P37" s="83">
        <f t="shared" si="16"/>
        <v>1</v>
      </c>
      <c r="Q37" s="83">
        <f t="shared" si="17"/>
        <v>0</v>
      </c>
      <c r="R37" s="83">
        <f t="shared" si="18"/>
        <v>0</v>
      </c>
      <c r="V37" s="9">
        <v>31</v>
      </c>
      <c r="W37" s="9">
        <f>[4]王者铸币!K35</f>
        <v>0</v>
      </c>
      <c r="X37" s="9">
        <f>[4]王者铸币!L35</f>
        <v>0</v>
      </c>
      <c r="Y37" s="9">
        <f>[4]王者铸币!M35</f>
        <v>0</v>
      </c>
      <c r="Z37" s="9">
        <f>[4]王者铸币!N35</f>
        <v>0</v>
      </c>
      <c r="AA37" s="9">
        <f>[4]王者铸币!O35</f>
        <v>0</v>
      </c>
      <c r="AB37" s="9">
        <f t="shared" si="8"/>
        <v>0</v>
      </c>
      <c r="AC37" s="9">
        <f t="shared" si="9"/>
        <v>0</v>
      </c>
      <c r="AD37" s="9">
        <f t="shared" si="10"/>
        <v>0</v>
      </c>
      <c r="AE37" s="9">
        <f t="shared" si="11"/>
        <v>0</v>
      </c>
      <c r="AF37" s="9">
        <f t="shared" si="12"/>
        <v>0</v>
      </c>
      <c r="AH37" s="83">
        <v>13</v>
      </c>
      <c r="AI37" s="60">
        <f>基础信息!D42</f>
        <v>67</v>
      </c>
      <c r="AJ37" s="61">
        <f>基础信息!E42</f>
        <v>5706.8398490672153</v>
      </c>
      <c r="AK37" s="61">
        <f>基础信息!F42</f>
        <v>127.12838978012395</v>
      </c>
      <c r="AN37" s="83">
        <f t="shared" si="19"/>
        <v>263.65767299001067</v>
      </c>
    </row>
    <row r="38" spans="10:42" x14ac:dyDescent="0.15">
      <c r="J38" s="83">
        <v>14</v>
      </c>
      <c r="K38" s="60">
        <f>基础信息!D43</f>
        <v>72</v>
      </c>
      <c r="L38" s="61">
        <f>基础信息!E43</f>
        <v>11846.564050336494</v>
      </c>
      <c r="M38" s="61">
        <f>基础信息!F43</f>
        <v>137.70627422196659</v>
      </c>
      <c r="N38" s="83">
        <f t="shared" si="14"/>
        <v>6</v>
      </c>
      <c r="O38" s="83">
        <f t="shared" si="15"/>
        <v>6</v>
      </c>
      <c r="P38" s="83">
        <f t="shared" si="16"/>
        <v>2</v>
      </c>
      <c r="Q38" s="83">
        <f t="shared" si="17"/>
        <v>0</v>
      </c>
      <c r="R38" s="83">
        <f t="shared" si="18"/>
        <v>0</v>
      </c>
      <c r="V38" s="9">
        <v>32</v>
      </c>
      <c r="W38" s="9">
        <f>[4]王者铸币!K36</f>
        <v>0</v>
      </c>
      <c r="X38" s="9">
        <f>[4]王者铸币!L36</f>
        <v>0</v>
      </c>
      <c r="Y38" s="9">
        <f>[4]王者铸币!M36</f>
        <v>0</v>
      </c>
      <c r="Z38" s="9">
        <f>[4]王者铸币!N36</f>
        <v>0</v>
      </c>
      <c r="AA38" s="9">
        <f>[4]王者铸币!O36</f>
        <v>0</v>
      </c>
      <c r="AB38" s="9">
        <f t="shared" si="8"/>
        <v>0</v>
      </c>
      <c r="AC38" s="9">
        <f t="shared" si="9"/>
        <v>0</v>
      </c>
      <c r="AD38" s="9">
        <f t="shared" si="10"/>
        <v>0</v>
      </c>
      <c r="AE38" s="9">
        <f t="shared" si="11"/>
        <v>0</v>
      </c>
      <c r="AF38" s="9">
        <f t="shared" si="12"/>
        <v>0</v>
      </c>
      <c r="AH38" s="83">
        <v>14</v>
      </c>
      <c r="AI38" s="60">
        <f>基础信息!D43</f>
        <v>72</v>
      </c>
      <c r="AJ38" s="61">
        <f>基础信息!E43</f>
        <v>11846.564050336494</v>
      </c>
      <c r="AK38" s="61">
        <f>基础信息!F43</f>
        <v>137.70627422196659</v>
      </c>
      <c r="AN38" s="83">
        <f t="shared" si="19"/>
        <v>548.8137525600722</v>
      </c>
    </row>
    <row r="39" spans="10:42" x14ac:dyDescent="0.15">
      <c r="J39" s="83">
        <v>15</v>
      </c>
      <c r="K39" s="60">
        <f>基础信息!D44</f>
        <v>77</v>
      </c>
      <c r="L39" s="61">
        <f>基础信息!E44</f>
        <v>24558.40880507711</v>
      </c>
      <c r="M39" s="61">
        <f>基础信息!F44</f>
        <v>148.27357279823164</v>
      </c>
      <c r="N39" s="83">
        <f t="shared" si="14"/>
        <v>6</v>
      </c>
      <c r="O39" s="83">
        <f t="shared" si="15"/>
        <v>6</v>
      </c>
      <c r="P39" s="83">
        <f t="shared" si="16"/>
        <v>3</v>
      </c>
      <c r="Q39" s="83">
        <f t="shared" si="17"/>
        <v>0</v>
      </c>
      <c r="R39" s="83">
        <f t="shared" si="18"/>
        <v>0</v>
      </c>
      <c r="V39" s="9">
        <v>33</v>
      </c>
      <c r="W39" s="9">
        <f>[4]王者铸币!K37</f>
        <v>0</v>
      </c>
      <c r="X39" s="9">
        <f>[4]王者铸币!L37</f>
        <v>0</v>
      </c>
      <c r="Y39" s="9">
        <f>[4]王者铸币!M37</f>
        <v>0</v>
      </c>
      <c r="Z39" s="9">
        <f>[4]王者铸币!N37</f>
        <v>0</v>
      </c>
      <c r="AA39" s="9">
        <f>[4]王者铸币!O37</f>
        <v>0</v>
      </c>
      <c r="AB39" s="9">
        <f t="shared" si="8"/>
        <v>0</v>
      </c>
      <c r="AC39" s="9">
        <f t="shared" si="9"/>
        <v>0</v>
      </c>
      <c r="AD39" s="9">
        <f t="shared" si="10"/>
        <v>0</v>
      </c>
      <c r="AE39" s="9">
        <f t="shared" si="11"/>
        <v>0</v>
      </c>
      <c r="AF39" s="9">
        <f t="shared" si="12"/>
        <v>0</v>
      </c>
      <c r="AH39" s="83">
        <v>15</v>
      </c>
      <c r="AI39" s="60">
        <f>基础信息!D44</f>
        <v>77</v>
      </c>
      <c r="AJ39" s="61">
        <f>基础信息!E44</f>
        <v>24558.40880507711</v>
      </c>
      <c r="AK39" s="61">
        <f>基础信息!F44</f>
        <v>148.27357279823164</v>
      </c>
      <c r="AN39" s="83">
        <f t="shared" si="19"/>
        <v>1139.2083200580255</v>
      </c>
    </row>
    <row r="40" spans="10:42" x14ac:dyDescent="0.15">
      <c r="J40" s="83">
        <v>16</v>
      </c>
      <c r="K40" s="60">
        <f>基础信息!D45</f>
        <v>80</v>
      </c>
      <c r="L40" s="61">
        <f>基础信息!E45</f>
        <v>38010.300000000003</v>
      </c>
      <c r="M40" s="61">
        <f>基础信息!F45</f>
        <v>154.14666602127767</v>
      </c>
      <c r="N40" s="83">
        <f t="shared" si="14"/>
        <v>6</v>
      </c>
      <c r="O40" s="83">
        <f t="shared" si="15"/>
        <v>6</v>
      </c>
      <c r="P40" s="83">
        <f t="shared" si="16"/>
        <v>4</v>
      </c>
      <c r="Q40" s="83">
        <f t="shared" si="17"/>
        <v>0</v>
      </c>
      <c r="R40" s="83">
        <f t="shared" si="18"/>
        <v>0</v>
      </c>
      <c r="V40" s="9">
        <v>34</v>
      </c>
      <c r="W40" s="9">
        <f>[4]王者铸币!K38</f>
        <v>0</v>
      </c>
      <c r="X40" s="9">
        <f>[4]王者铸币!L38</f>
        <v>0</v>
      </c>
      <c r="Y40" s="9">
        <f>[4]王者铸币!M38</f>
        <v>0</v>
      </c>
      <c r="Z40" s="9">
        <f>[4]王者铸币!N38</f>
        <v>0</v>
      </c>
      <c r="AA40" s="9">
        <f>[4]王者铸币!O38</f>
        <v>0</v>
      </c>
      <c r="AB40" s="9">
        <f t="shared" si="8"/>
        <v>0</v>
      </c>
      <c r="AC40" s="9">
        <f t="shared" si="9"/>
        <v>0</v>
      </c>
      <c r="AD40" s="9">
        <f t="shared" si="10"/>
        <v>0</v>
      </c>
      <c r="AE40" s="9">
        <f t="shared" si="11"/>
        <v>0</v>
      </c>
      <c r="AF40" s="9">
        <f t="shared" si="12"/>
        <v>0</v>
      </c>
      <c r="AH40" s="83">
        <v>16</v>
      </c>
      <c r="AI40" s="60">
        <f>基础信息!D45</f>
        <v>80</v>
      </c>
      <c r="AJ40" s="61">
        <f>基础信息!E45</f>
        <v>38010.300000000003</v>
      </c>
      <c r="AK40" s="61">
        <f>基础信息!F45</f>
        <v>154.14666602127767</v>
      </c>
      <c r="AN40" s="83">
        <f t="shared" si="19"/>
        <v>1763.973933333338</v>
      </c>
    </row>
    <row r="41" spans="10:42" x14ac:dyDescent="0.15">
      <c r="V41" s="9">
        <v>35</v>
      </c>
      <c r="W41" s="9">
        <f>[4]王者铸币!K39</f>
        <v>0</v>
      </c>
      <c r="X41" s="9">
        <f>[4]王者铸币!L39</f>
        <v>0</v>
      </c>
      <c r="Y41" s="9">
        <f>[4]王者铸币!M39</f>
        <v>0</v>
      </c>
      <c r="Z41" s="9">
        <f>[4]王者铸币!N39</f>
        <v>0</v>
      </c>
      <c r="AA41" s="9">
        <f>[4]王者铸币!O39</f>
        <v>0</v>
      </c>
      <c r="AB41" s="9">
        <f t="shared" si="8"/>
        <v>0</v>
      </c>
      <c r="AC41" s="9">
        <f t="shared" si="9"/>
        <v>0</v>
      </c>
      <c r="AD41" s="9">
        <f t="shared" si="10"/>
        <v>0</v>
      </c>
      <c r="AE41" s="9">
        <f t="shared" si="11"/>
        <v>0</v>
      </c>
      <c r="AF41" s="9">
        <f t="shared" si="12"/>
        <v>0</v>
      </c>
    </row>
    <row r="42" spans="10:42" x14ac:dyDescent="0.15">
      <c r="V42" s="9">
        <v>36</v>
      </c>
      <c r="W42" s="9">
        <f>[4]王者铸币!K40</f>
        <v>0</v>
      </c>
      <c r="X42" s="9">
        <f>[4]王者铸币!L40</f>
        <v>0</v>
      </c>
      <c r="Y42" s="9">
        <f>[4]王者铸币!M40</f>
        <v>0</v>
      </c>
      <c r="Z42" s="9">
        <f>[4]王者铸币!N40</f>
        <v>0</v>
      </c>
      <c r="AA42" s="9">
        <f>[4]王者铸币!O40</f>
        <v>0</v>
      </c>
      <c r="AB42" s="9">
        <f t="shared" si="8"/>
        <v>0</v>
      </c>
      <c r="AC42" s="9">
        <f t="shared" si="9"/>
        <v>0</v>
      </c>
      <c r="AD42" s="9">
        <f t="shared" si="10"/>
        <v>0</v>
      </c>
      <c r="AE42" s="9">
        <f t="shared" si="11"/>
        <v>0</v>
      </c>
      <c r="AF42" s="9">
        <f t="shared" si="12"/>
        <v>0</v>
      </c>
    </row>
    <row r="43" spans="10:42" x14ac:dyDescent="0.15">
      <c r="J43" s="83" t="s">
        <v>2</v>
      </c>
      <c r="N43" s="127" t="s">
        <v>124</v>
      </c>
      <c r="O43" s="127"/>
      <c r="P43" s="127"/>
      <c r="Q43" s="127"/>
      <c r="R43" s="127"/>
      <c r="V43" s="9">
        <v>37</v>
      </c>
      <c r="W43" s="9">
        <f>[4]王者铸币!K41</f>
        <v>0</v>
      </c>
      <c r="X43" s="9">
        <f>[4]王者铸币!L41</f>
        <v>0</v>
      </c>
      <c r="Y43" s="9">
        <f>[4]王者铸币!M41</f>
        <v>0</v>
      </c>
      <c r="Z43" s="9">
        <f>[4]王者铸币!N41</f>
        <v>0</v>
      </c>
      <c r="AA43" s="9">
        <f>[4]王者铸币!O41</f>
        <v>0</v>
      </c>
      <c r="AB43" s="9">
        <f t="shared" si="8"/>
        <v>0</v>
      </c>
      <c r="AC43" s="9">
        <f t="shared" si="9"/>
        <v>0</v>
      </c>
      <c r="AD43" s="9">
        <f t="shared" si="10"/>
        <v>0</v>
      </c>
      <c r="AE43" s="9">
        <f t="shared" si="11"/>
        <v>0</v>
      </c>
      <c r="AF43" s="9">
        <f t="shared" si="12"/>
        <v>0</v>
      </c>
      <c r="AH43" s="83" t="s">
        <v>2</v>
      </c>
      <c r="AL43" s="127" t="s">
        <v>197</v>
      </c>
      <c r="AM43" s="127"/>
      <c r="AN43" s="127"/>
      <c r="AO43" s="127"/>
      <c r="AP43" s="127"/>
    </row>
    <row r="44" spans="10:42" x14ac:dyDescent="0.15">
      <c r="J44" s="83" t="s">
        <v>21</v>
      </c>
      <c r="K44" s="83" t="s">
        <v>121</v>
      </c>
      <c r="L44" s="81" t="s">
        <v>122</v>
      </c>
      <c r="M44" s="81" t="s">
        <v>103</v>
      </c>
      <c r="N44" s="83" t="s">
        <v>8</v>
      </c>
      <c r="O44" s="83" t="s">
        <v>9</v>
      </c>
      <c r="P44" s="83" t="s">
        <v>10</v>
      </c>
      <c r="Q44" s="83" t="s">
        <v>11</v>
      </c>
      <c r="R44" s="83" t="s">
        <v>12</v>
      </c>
      <c r="V44" s="9">
        <v>38</v>
      </c>
      <c r="W44" s="9">
        <f>[4]王者铸币!K42</f>
        <v>0</v>
      </c>
      <c r="X44" s="9">
        <f>[4]王者铸币!L42</f>
        <v>0</v>
      </c>
      <c r="Y44" s="9">
        <f>[4]王者铸币!M42</f>
        <v>0</v>
      </c>
      <c r="Z44" s="9">
        <f>[4]王者铸币!N42</f>
        <v>0</v>
      </c>
      <c r="AA44" s="9">
        <f>[4]王者铸币!O42</f>
        <v>0</v>
      </c>
      <c r="AB44" s="9">
        <f t="shared" si="8"/>
        <v>0</v>
      </c>
      <c r="AC44" s="9">
        <f t="shared" si="9"/>
        <v>0</v>
      </c>
      <c r="AD44" s="9">
        <f t="shared" si="10"/>
        <v>0</v>
      </c>
      <c r="AE44" s="9">
        <f t="shared" si="11"/>
        <v>0</v>
      </c>
      <c r="AF44" s="9">
        <f t="shared" si="12"/>
        <v>0</v>
      </c>
      <c r="AH44" s="83" t="s">
        <v>21</v>
      </c>
      <c r="AI44" s="83" t="s">
        <v>121</v>
      </c>
      <c r="AJ44" s="81" t="s">
        <v>122</v>
      </c>
      <c r="AK44" s="81" t="s">
        <v>103</v>
      </c>
      <c r="AL44" s="83" t="s">
        <v>8</v>
      </c>
      <c r="AM44" s="83" t="s">
        <v>9</v>
      </c>
      <c r="AN44" s="83" t="s">
        <v>10</v>
      </c>
      <c r="AO44" s="83" t="s">
        <v>11</v>
      </c>
      <c r="AP44" s="83" t="s">
        <v>12</v>
      </c>
    </row>
    <row r="45" spans="10:42" x14ac:dyDescent="0.15">
      <c r="J45" s="83">
        <v>1</v>
      </c>
      <c r="K45" s="60">
        <f>基础信息!D50</f>
        <v>16</v>
      </c>
      <c r="L45" s="61">
        <f>基础信息!E50</f>
        <v>1.5232631522355879</v>
      </c>
      <c r="M45" s="61">
        <f>基础信息!F50</f>
        <v>16.55360159735687</v>
      </c>
      <c r="N45" s="83">
        <f>C5</f>
        <v>1</v>
      </c>
      <c r="O45" s="83">
        <f t="shared" ref="O45:R45" si="20">D5</f>
        <v>0</v>
      </c>
      <c r="P45" s="83">
        <f t="shared" si="20"/>
        <v>0</v>
      </c>
      <c r="Q45" s="83">
        <f t="shared" si="20"/>
        <v>0</v>
      </c>
      <c r="R45" s="83">
        <f t="shared" si="20"/>
        <v>0</v>
      </c>
      <c r="V45" s="9">
        <v>39</v>
      </c>
      <c r="W45" s="9">
        <f>[4]王者铸币!K43</f>
        <v>0</v>
      </c>
      <c r="X45" s="9">
        <f>[4]王者铸币!L43</f>
        <v>0</v>
      </c>
      <c r="Y45" s="9">
        <f>[4]王者铸币!M43</f>
        <v>0</v>
      </c>
      <c r="Z45" s="9">
        <f>[4]王者铸币!N43</f>
        <v>0</v>
      </c>
      <c r="AA45" s="9">
        <f>[4]王者铸币!O43</f>
        <v>0</v>
      </c>
      <c r="AB45" s="9">
        <f t="shared" si="8"/>
        <v>0</v>
      </c>
      <c r="AC45" s="9">
        <f t="shared" si="9"/>
        <v>0</v>
      </c>
      <c r="AD45" s="9">
        <f t="shared" si="10"/>
        <v>0</v>
      </c>
      <c r="AE45" s="9">
        <f t="shared" si="11"/>
        <v>0</v>
      </c>
      <c r="AF45" s="9">
        <f t="shared" si="12"/>
        <v>0</v>
      </c>
      <c r="AH45" s="83">
        <v>1</v>
      </c>
      <c r="AI45" s="60">
        <f>基础信息!D50</f>
        <v>16</v>
      </c>
      <c r="AJ45" s="61">
        <f>基础信息!E50</f>
        <v>1.5232631522355879</v>
      </c>
      <c r="AK45" s="61">
        <f>基础信息!F50</f>
        <v>16.55360159735687</v>
      </c>
      <c r="AN45" s="83">
        <f>求节点($V$7:$V$166,$AD$7:$AD$166,AK45)</f>
        <v>0</v>
      </c>
    </row>
    <row r="46" spans="10:42" x14ac:dyDescent="0.15">
      <c r="J46" s="83">
        <v>2</v>
      </c>
      <c r="K46" s="60">
        <f>基础信息!D51</f>
        <v>19.5</v>
      </c>
      <c r="L46" s="61">
        <f>基础信息!E51</f>
        <v>2.8937385192992746</v>
      </c>
      <c r="M46" s="61">
        <f>基础信息!F51</f>
        <v>23.331269805933818</v>
      </c>
      <c r="N46" s="83">
        <f t="shared" ref="N46:N60" si="21">C6</f>
        <v>2</v>
      </c>
      <c r="O46" s="83">
        <f t="shared" ref="O46:O60" si="22">D6</f>
        <v>0</v>
      </c>
      <c r="P46" s="83">
        <f t="shared" ref="P46:P60" si="23">E6</f>
        <v>0</v>
      </c>
      <c r="Q46" s="83">
        <f t="shared" ref="Q46:Q60" si="24">F6</f>
        <v>0</v>
      </c>
      <c r="R46" s="83">
        <f t="shared" ref="R46:R60" si="25">G6</f>
        <v>0</v>
      </c>
      <c r="V46" s="9">
        <v>40</v>
      </c>
      <c r="W46" s="9">
        <f>[4]王者铸币!K44</f>
        <v>0</v>
      </c>
      <c r="X46" s="9">
        <f>[4]王者铸币!L44</f>
        <v>0</v>
      </c>
      <c r="Y46" s="9">
        <f>[4]王者铸币!M44</f>
        <v>0</v>
      </c>
      <c r="Z46" s="9">
        <f>[4]王者铸币!N44</f>
        <v>0</v>
      </c>
      <c r="AA46" s="9">
        <f>[4]王者铸币!O44</f>
        <v>0</v>
      </c>
      <c r="AB46" s="9">
        <f t="shared" si="8"/>
        <v>0</v>
      </c>
      <c r="AC46" s="9">
        <f t="shared" si="9"/>
        <v>0</v>
      </c>
      <c r="AD46" s="9">
        <f t="shared" si="10"/>
        <v>0</v>
      </c>
      <c r="AE46" s="9">
        <f t="shared" si="11"/>
        <v>0</v>
      </c>
      <c r="AF46" s="9">
        <f t="shared" si="12"/>
        <v>0</v>
      </c>
      <c r="AH46" s="83">
        <v>2</v>
      </c>
      <c r="AI46" s="60">
        <f>基础信息!D51</f>
        <v>19.5</v>
      </c>
      <c r="AJ46" s="61">
        <f>基础信息!E51</f>
        <v>2.8937385192992746</v>
      </c>
      <c r="AK46" s="61">
        <f>基础信息!F51</f>
        <v>23.331269805933818</v>
      </c>
      <c r="AN46" s="83">
        <f t="shared" ref="AN46:AN60" si="26">求节点($V$7:$V$166,$AD$7:$AD$166,AK46)</f>
        <v>0</v>
      </c>
    </row>
    <row r="47" spans="10:42" x14ac:dyDescent="0.15">
      <c r="J47" s="83">
        <v>3</v>
      </c>
      <c r="K47" s="60">
        <f>基础信息!D52</f>
        <v>23.5</v>
      </c>
      <c r="L47" s="61">
        <f>基础信息!E52</f>
        <v>5.793008326295654</v>
      </c>
      <c r="M47" s="61">
        <f>基础信息!F52</f>
        <v>31.744234316265171</v>
      </c>
      <c r="N47" s="83">
        <f t="shared" si="21"/>
        <v>3</v>
      </c>
      <c r="O47" s="83">
        <f t="shared" si="22"/>
        <v>0</v>
      </c>
      <c r="P47" s="83">
        <f t="shared" si="23"/>
        <v>0</v>
      </c>
      <c r="Q47" s="83">
        <f t="shared" si="24"/>
        <v>0</v>
      </c>
      <c r="R47" s="83">
        <f t="shared" si="25"/>
        <v>0</v>
      </c>
      <c r="V47" s="9">
        <v>41</v>
      </c>
      <c r="W47" s="9">
        <f>[4]王者铸币!K45</f>
        <v>0</v>
      </c>
      <c r="X47" s="9">
        <f>[4]王者铸币!L45</f>
        <v>0</v>
      </c>
      <c r="Y47" s="9">
        <f>[4]王者铸币!M45</f>
        <v>0</v>
      </c>
      <c r="Z47" s="9">
        <f>[4]王者铸币!N45</f>
        <v>0</v>
      </c>
      <c r="AA47" s="9">
        <f>[4]王者铸币!O45</f>
        <v>0</v>
      </c>
      <c r="AB47" s="9">
        <f t="shared" si="8"/>
        <v>0</v>
      </c>
      <c r="AC47" s="9">
        <f t="shared" si="9"/>
        <v>0</v>
      </c>
      <c r="AD47" s="9">
        <f t="shared" si="10"/>
        <v>0</v>
      </c>
      <c r="AE47" s="9">
        <f t="shared" si="11"/>
        <v>0</v>
      </c>
      <c r="AF47" s="9">
        <f t="shared" si="12"/>
        <v>0</v>
      </c>
      <c r="AH47" s="83">
        <v>3</v>
      </c>
      <c r="AI47" s="60">
        <f>基础信息!D52</f>
        <v>23.5</v>
      </c>
      <c r="AJ47" s="61">
        <f>基础信息!E52</f>
        <v>5.793008326295654</v>
      </c>
      <c r="AK47" s="61">
        <f>基础信息!F52</f>
        <v>31.744234316265171</v>
      </c>
      <c r="AN47" s="83">
        <f t="shared" si="26"/>
        <v>0</v>
      </c>
    </row>
    <row r="48" spans="10:42" x14ac:dyDescent="0.15">
      <c r="J48" s="83">
        <v>4</v>
      </c>
      <c r="K48" s="60">
        <f>基础信息!D53</f>
        <v>27.5</v>
      </c>
      <c r="L48" s="61">
        <f>基础信息!E53</f>
        <v>11.322133882791231</v>
      </c>
      <c r="M48" s="61">
        <f>基础信息!F53</f>
        <v>40.643027415884688</v>
      </c>
      <c r="N48" s="83">
        <f t="shared" si="21"/>
        <v>4</v>
      </c>
      <c r="O48" s="83">
        <f t="shared" si="22"/>
        <v>0</v>
      </c>
      <c r="P48" s="83">
        <f t="shared" si="23"/>
        <v>0</v>
      </c>
      <c r="Q48" s="83">
        <f t="shared" si="24"/>
        <v>0</v>
      </c>
      <c r="R48" s="83">
        <f t="shared" si="25"/>
        <v>0</v>
      </c>
      <c r="V48" s="9">
        <v>42</v>
      </c>
      <c r="W48" s="9">
        <f>[4]王者铸币!K46</f>
        <v>0</v>
      </c>
      <c r="X48" s="9">
        <f>[4]王者铸币!L46</f>
        <v>0</v>
      </c>
      <c r="Y48" s="9">
        <f>[4]王者铸币!M46</f>
        <v>0</v>
      </c>
      <c r="Z48" s="9">
        <f>[4]王者铸币!N46</f>
        <v>0</v>
      </c>
      <c r="AA48" s="9">
        <f>[4]王者铸币!O46</f>
        <v>0</v>
      </c>
      <c r="AB48" s="9">
        <f t="shared" si="8"/>
        <v>0</v>
      </c>
      <c r="AC48" s="9">
        <f t="shared" si="9"/>
        <v>0</v>
      </c>
      <c r="AD48" s="9">
        <f t="shared" si="10"/>
        <v>0</v>
      </c>
      <c r="AE48" s="9">
        <f t="shared" si="11"/>
        <v>0</v>
      </c>
      <c r="AF48" s="9">
        <f t="shared" si="12"/>
        <v>0</v>
      </c>
      <c r="AH48" s="83">
        <v>4</v>
      </c>
      <c r="AI48" s="60">
        <f>基础信息!D53</f>
        <v>27.5</v>
      </c>
      <c r="AJ48" s="61">
        <f>基础信息!E53</f>
        <v>11.322133882791231</v>
      </c>
      <c r="AK48" s="61">
        <f>基础信息!F53</f>
        <v>40.643027415884688</v>
      </c>
      <c r="AN48" s="83">
        <f t="shared" si="26"/>
        <v>0</v>
      </c>
    </row>
    <row r="49" spans="10:42" x14ac:dyDescent="0.15">
      <c r="J49" s="83">
        <v>5</v>
      </c>
      <c r="K49" s="60">
        <f>基础信息!D54</f>
        <v>31.5</v>
      </c>
      <c r="L49" s="61">
        <f>基础信息!E54</f>
        <v>21.773543258148401</v>
      </c>
      <c r="M49" s="61">
        <f>基础信息!F54</f>
        <v>49.709437467755208</v>
      </c>
      <c r="N49" s="83">
        <f t="shared" si="21"/>
        <v>5</v>
      </c>
      <c r="O49" s="83">
        <f t="shared" si="22"/>
        <v>0</v>
      </c>
      <c r="P49" s="83">
        <f t="shared" si="23"/>
        <v>0</v>
      </c>
      <c r="Q49" s="83">
        <f t="shared" si="24"/>
        <v>0</v>
      </c>
      <c r="R49" s="83">
        <f t="shared" si="25"/>
        <v>0</v>
      </c>
      <c r="V49" s="9">
        <v>43</v>
      </c>
      <c r="W49" s="9">
        <f>[4]王者铸币!K47</f>
        <v>0</v>
      </c>
      <c r="X49" s="9">
        <f>[4]王者铸币!L47</f>
        <v>0</v>
      </c>
      <c r="Y49" s="9">
        <f>[4]王者铸币!M47</f>
        <v>0</v>
      </c>
      <c r="Z49" s="9">
        <f>[4]王者铸币!N47</f>
        <v>0</v>
      </c>
      <c r="AA49" s="9">
        <f>[4]王者铸币!O47</f>
        <v>0</v>
      </c>
      <c r="AB49" s="9">
        <f t="shared" si="8"/>
        <v>0</v>
      </c>
      <c r="AC49" s="9">
        <f t="shared" si="9"/>
        <v>0</v>
      </c>
      <c r="AD49" s="9">
        <f t="shared" si="10"/>
        <v>0</v>
      </c>
      <c r="AE49" s="9">
        <f t="shared" si="11"/>
        <v>0</v>
      </c>
      <c r="AF49" s="9">
        <f t="shared" si="12"/>
        <v>0</v>
      </c>
      <c r="AH49" s="83">
        <v>5</v>
      </c>
      <c r="AI49" s="60">
        <f>基础信息!D54</f>
        <v>31.5</v>
      </c>
      <c r="AJ49" s="61">
        <f>基础信息!E54</f>
        <v>21.773543258148401</v>
      </c>
      <c r="AK49" s="61">
        <f>基础信息!F54</f>
        <v>49.709437467755208</v>
      </c>
      <c r="AN49" s="83">
        <f t="shared" si="26"/>
        <v>0</v>
      </c>
    </row>
    <row r="50" spans="10:42" x14ac:dyDescent="0.15">
      <c r="J50" s="83">
        <v>6</v>
      </c>
      <c r="K50" s="60">
        <f>基础信息!D55</f>
        <v>35.5</v>
      </c>
      <c r="L50" s="61">
        <f>基础信息!E55</f>
        <v>41.174058500102497</v>
      </c>
      <c r="M50" s="61">
        <f>基础信息!F55</f>
        <v>58.803150706157098</v>
      </c>
      <c r="N50" s="83">
        <f t="shared" si="21"/>
        <v>6</v>
      </c>
      <c r="O50" s="83">
        <f t="shared" si="22"/>
        <v>0</v>
      </c>
      <c r="P50" s="83">
        <f t="shared" si="23"/>
        <v>0</v>
      </c>
      <c r="Q50" s="83">
        <f t="shared" si="24"/>
        <v>0</v>
      </c>
      <c r="R50" s="83">
        <f t="shared" si="25"/>
        <v>0</v>
      </c>
      <c r="V50" s="9">
        <v>44</v>
      </c>
      <c r="W50" s="9">
        <f>[4]王者铸币!K48</f>
        <v>0</v>
      </c>
      <c r="X50" s="9">
        <f>[4]王者铸币!L48</f>
        <v>0</v>
      </c>
      <c r="Y50" s="9">
        <f>[4]王者铸币!M48</f>
        <v>0</v>
      </c>
      <c r="Z50" s="9">
        <f>[4]王者铸币!N48</f>
        <v>0</v>
      </c>
      <c r="AA50" s="9">
        <f>[4]王者铸币!O48</f>
        <v>0</v>
      </c>
      <c r="AB50" s="9">
        <f t="shared" si="8"/>
        <v>0</v>
      </c>
      <c r="AC50" s="9">
        <f t="shared" si="9"/>
        <v>0</v>
      </c>
      <c r="AD50" s="9">
        <f t="shared" si="10"/>
        <v>0</v>
      </c>
      <c r="AE50" s="9">
        <f t="shared" si="11"/>
        <v>0</v>
      </c>
      <c r="AF50" s="9">
        <f t="shared" si="12"/>
        <v>0</v>
      </c>
      <c r="AH50" s="83">
        <v>6</v>
      </c>
      <c r="AI50" s="60">
        <f>基础信息!D55</f>
        <v>35.5</v>
      </c>
      <c r="AJ50" s="61">
        <f>基础信息!E55</f>
        <v>41.174058500102497</v>
      </c>
      <c r="AK50" s="61">
        <f>基础信息!F55</f>
        <v>58.803150706157098</v>
      </c>
      <c r="AN50" s="83">
        <f t="shared" si="26"/>
        <v>0.687825378784087</v>
      </c>
    </row>
    <row r="51" spans="10:42" x14ac:dyDescent="0.15">
      <c r="J51" s="83">
        <v>7</v>
      </c>
      <c r="K51" s="60">
        <f>基础信息!D56</f>
        <v>39.5</v>
      </c>
      <c r="L51" s="61">
        <f>基础信息!E56</f>
        <v>74.77280729579401</v>
      </c>
      <c r="M51" s="61">
        <f>基础信息!F56</f>
        <v>67.298489171654538</v>
      </c>
      <c r="N51" s="83">
        <f t="shared" si="21"/>
        <v>6</v>
      </c>
      <c r="O51" s="83">
        <f t="shared" si="22"/>
        <v>1</v>
      </c>
      <c r="P51" s="83">
        <f t="shared" si="23"/>
        <v>0</v>
      </c>
      <c r="Q51" s="83">
        <f t="shared" si="24"/>
        <v>0</v>
      </c>
      <c r="R51" s="83">
        <f t="shared" si="25"/>
        <v>0</v>
      </c>
      <c r="V51" s="9">
        <v>45</v>
      </c>
      <c r="W51" s="9">
        <f>[4]王者铸币!K49</f>
        <v>0</v>
      </c>
      <c r="X51" s="9">
        <f>[4]王者铸币!L49</f>
        <v>0</v>
      </c>
      <c r="Y51" s="9">
        <f>[4]王者铸币!M49</f>
        <v>0</v>
      </c>
      <c r="Z51" s="9">
        <f>[4]王者铸币!N49</f>
        <v>0</v>
      </c>
      <c r="AA51" s="9">
        <f>[4]王者铸币!O49</f>
        <v>0</v>
      </c>
      <c r="AB51" s="9">
        <f t="shared" si="8"/>
        <v>0</v>
      </c>
      <c r="AC51" s="9">
        <f t="shared" si="9"/>
        <v>0</v>
      </c>
      <c r="AD51" s="9">
        <f t="shared" si="10"/>
        <v>0</v>
      </c>
      <c r="AE51" s="9">
        <f t="shared" si="11"/>
        <v>0</v>
      </c>
      <c r="AF51" s="9">
        <f t="shared" si="12"/>
        <v>0</v>
      </c>
      <c r="AH51" s="83">
        <v>7</v>
      </c>
      <c r="AI51" s="60">
        <f>基础信息!D56</f>
        <v>39.5</v>
      </c>
      <c r="AJ51" s="61">
        <f>基础信息!E56</f>
        <v>74.77280729579401</v>
      </c>
      <c r="AK51" s="61">
        <f>基础信息!F56</f>
        <v>67.298489171654538</v>
      </c>
      <c r="AN51" s="83">
        <f t="shared" si="26"/>
        <v>2.7560150268744312</v>
      </c>
    </row>
    <row r="52" spans="10:42" x14ac:dyDescent="0.15">
      <c r="J52" s="83">
        <v>8</v>
      </c>
      <c r="K52" s="60">
        <f>基础信息!D57</f>
        <v>43.5</v>
      </c>
      <c r="L52" s="61">
        <f>基础信息!E57</f>
        <v>135.40982620096435</v>
      </c>
      <c r="M52" s="61">
        <f>基础信息!F57</f>
        <v>75.878784655965617</v>
      </c>
      <c r="N52" s="83">
        <f t="shared" si="21"/>
        <v>6</v>
      </c>
      <c r="O52" s="83">
        <f t="shared" si="22"/>
        <v>2</v>
      </c>
      <c r="P52" s="83">
        <f t="shared" si="23"/>
        <v>0</v>
      </c>
      <c r="Q52" s="83">
        <f t="shared" si="24"/>
        <v>0</v>
      </c>
      <c r="R52" s="83">
        <f t="shared" si="25"/>
        <v>0</v>
      </c>
      <c r="V52" s="9">
        <v>46</v>
      </c>
      <c r="W52" s="9">
        <f>[4]王者铸币!K50</f>
        <v>0</v>
      </c>
      <c r="X52" s="9">
        <f>[4]王者铸币!L50</f>
        <v>0</v>
      </c>
      <c r="Y52" s="9">
        <f>[4]王者铸币!M50</f>
        <v>0</v>
      </c>
      <c r="Z52" s="9">
        <f>[4]王者铸币!N50</f>
        <v>0</v>
      </c>
      <c r="AA52" s="9">
        <f>[4]王者铸币!O50</f>
        <v>0</v>
      </c>
      <c r="AB52" s="9">
        <f t="shared" si="8"/>
        <v>0</v>
      </c>
      <c r="AC52" s="9">
        <f t="shared" si="9"/>
        <v>0</v>
      </c>
      <c r="AD52" s="9">
        <f t="shared" si="10"/>
        <v>0</v>
      </c>
      <c r="AE52" s="9">
        <f t="shared" si="11"/>
        <v>0</v>
      </c>
      <c r="AF52" s="9">
        <f t="shared" si="12"/>
        <v>0</v>
      </c>
      <c r="AH52" s="83">
        <v>8</v>
      </c>
      <c r="AI52" s="60">
        <f>基础信息!D57</f>
        <v>43.5</v>
      </c>
      <c r="AJ52" s="61">
        <f>基础信息!E57</f>
        <v>135.40982620096435</v>
      </c>
      <c r="AK52" s="61">
        <f>基础信息!F57</f>
        <v>75.878784655965617</v>
      </c>
      <c r="AN52" s="83">
        <f t="shared" si="26"/>
        <v>6.4885604128149197</v>
      </c>
    </row>
    <row r="53" spans="10:42" x14ac:dyDescent="0.15">
      <c r="J53" s="83">
        <v>9</v>
      </c>
      <c r="K53" s="60">
        <f>基础信息!D58</f>
        <v>47.5</v>
      </c>
      <c r="L53" s="61">
        <f>基础信息!E58</f>
        <v>244.70123896107964</v>
      </c>
      <c r="M53" s="61">
        <f>基础信息!F58</f>
        <v>84.446314672957783</v>
      </c>
      <c r="N53" s="83">
        <f t="shared" si="21"/>
        <v>6</v>
      </c>
      <c r="O53" s="83">
        <f t="shared" si="22"/>
        <v>3</v>
      </c>
      <c r="P53" s="83">
        <f t="shared" si="23"/>
        <v>0</v>
      </c>
      <c r="Q53" s="83">
        <f t="shared" si="24"/>
        <v>0</v>
      </c>
      <c r="R53" s="83">
        <f t="shared" si="25"/>
        <v>0</v>
      </c>
      <c r="V53" s="9">
        <v>47</v>
      </c>
      <c r="W53" s="9">
        <f>[4]王者铸币!K51</f>
        <v>0</v>
      </c>
      <c r="X53" s="9">
        <f>[4]王者铸币!L51</f>
        <v>0</v>
      </c>
      <c r="Y53" s="9">
        <f>[4]王者铸币!M51</f>
        <v>0</v>
      </c>
      <c r="Z53" s="9">
        <f>[4]王者铸币!N51</f>
        <v>0</v>
      </c>
      <c r="AA53" s="9">
        <f>[4]王者铸币!O51</f>
        <v>0</v>
      </c>
      <c r="AB53" s="9">
        <f t="shared" si="8"/>
        <v>0</v>
      </c>
      <c r="AC53" s="9">
        <f t="shared" si="9"/>
        <v>0</v>
      </c>
      <c r="AD53" s="9">
        <f t="shared" si="10"/>
        <v>0</v>
      </c>
      <c r="AE53" s="9">
        <f t="shared" si="11"/>
        <v>0</v>
      </c>
      <c r="AF53" s="9">
        <f t="shared" si="12"/>
        <v>0</v>
      </c>
      <c r="AH53" s="83">
        <v>9</v>
      </c>
      <c r="AI53" s="60">
        <f>基础信息!D58</f>
        <v>47.5</v>
      </c>
      <c r="AJ53" s="61">
        <f>基础信息!E58</f>
        <v>244.70123896107964</v>
      </c>
      <c r="AK53" s="61">
        <f>基础信息!F58</f>
        <v>84.446314672957783</v>
      </c>
      <c r="AN53" s="83">
        <f t="shared" si="26"/>
        <v>13.216054042715346</v>
      </c>
    </row>
    <row r="54" spans="10:42" x14ac:dyDescent="0.15">
      <c r="J54" s="83">
        <v>10</v>
      </c>
      <c r="K54" s="60">
        <f>基础信息!D59</f>
        <v>52</v>
      </c>
      <c r="L54" s="61">
        <f>基础信息!E59</f>
        <v>473.91181132163672</v>
      </c>
      <c r="M54" s="61">
        <f>基础信息!F59</f>
        <v>94.309081972684396</v>
      </c>
      <c r="N54" s="83">
        <f t="shared" si="21"/>
        <v>6</v>
      </c>
      <c r="O54" s="83">
        <f t="shared" si="22"/>
        <v>4</v>
      </c>
      <c r="P54" s="83">
        <f t="shared" si="23"/>
        <v>0</v>
      </c>
      <c r="Q54" s="83">
        <f t="shared" si="24"/>
        <v>0</v>
      </c>
      <c r="R54" s="83">
        <f t="shared" si="25"/>
        <v>0</v>
      </c>
      <c r="V54" s="9">
        <v>48</v>
      </c>
      <c r="W54" s="9">
        <f>[4]王者铸币!K52</f>
        <v>0</v>
      </c>
      <c r="X54" s="9">
        <f>[4]王者铸币!L52</f>
        <v>0</v>
      </c>
      <c r="Y54" s="9">
        <f>[4]王者铸币!M52</f>
        <v>0</v>
      </c>
      <c r="Z54" s="9">
        <f>[4]王者铸币!N52</f>
        <v>0</v>
      </c>
      <c r="AA54" s="9">
        <f>[4]王者铸币!O52</f>
        <v>0</v>
      </c>
      <c r="AB54" s="9">
        <f t="shared" si="8"/>
        <v>0</v>
      </c>
      <c r="AC54" s="9">
        <f t="shared" si="9"/>
        <v>0</v>
      </c>
      <c r="AD54" s="9">
        <f t="shared" si="10"/>
        <v>0</v>
      </c>
      <c r="AE54" s="9">
        <f t="shared" si="11"/>
        <v>0</v>
      </c>
      <c r="AF54" s="9">
        <f t="shared" si="12"/>
        <v>0</v>
      </c>
      <c r="AH54" s="83">
        <v>10</v>
      </c>
      <c r="AI54" s="60">
        <f>基础信息!D59</f>
        <v>52</v>
      </c>
      <c r="AJ54" s="61">
        <f>基础信息!E59</f>
        <v>473.91181132163672</v>
      </c>
      <c r="AK54" s="61">
        <f>基础信息!F59</f>
        <v>94.309081972684396</v>
      </c>
      <c r="AN54" s="83">
        <f t="shared" si="26"/>
        <v>27.342217037804311</v>
      </c>
    </row>
    <row r="55" spans="10:42" x14ac:dyDescent="0.15">
      <c r="J55" s="83">
        <v>11</v>
      </c>
      <c r="K55" s="60">
        <f>基础信息!D60</f>
        <v>57</v>
      </c>
      <c r="L55" s="61">
        <f>基础信息!E60</f>
        <v>988.69490566221691</v>
      </c>
      <c r="M55" s="61">
        <f>基础信息!F60</f>
        <v>104.93378702762401</v>
      </c>
      <c r="N55" s="83">
        <f t="shared" si="21"/>
        <v>6</v>
      </c>
      <c r="O55" s="83">
        <f t="shared" si="22"/>
        <v>5</v>
      </c>
      <c r="P55" s="83">
        <f t="shared" si="23"/>
        <v>0</v>
      </c>
      <c r="Q55" s="83">
        <f t="shared" si="24"/>
        <v>0</v>
      </c>
      <c r="R55" s="83">
        <f t="shared" si="25"/>
        <v>0</v>
      </c>
      <c r="V55" s="9">
        <v>49</v>
      </c>
      <c r="W55" s="9">
        <f>[4]王者铸币!K53</f>
        <v>0</v>
      </c>
      <c r="X55" s="9">
        <f>[4]王者铸币!L53</f>
        <v>0</v>
      </c>
      <c r="Y55" s="9">
        <f>[4]王者铸币!M53</f>
        <v>0</v>
      </c>
      <c r="Z55" s="9">
        <f>[4]王者铸币!N53</f>
        <v>0</v>
      </c>
      <c r="AA55" s="9">
        <f>[4]王者铸币!O53</f>
        <v>0</v>
      </c>
      <c r="AB55" s="9">
        <f t="shared" si="8"/>
        <v>0</v>
      </c>
      <c r="AC55" s="9">
        <f t="shared" si="9"/>
        <v>0</v>
      </c>
      <c r="AD55" s="9">
        <f t="shared" si="10"/>
        <v>0</v>
      </c>
      <c r="AE55" s="9">
        <f t="shared" si="11"/>
        <v>0</v>
      </c>
      <c r="AF55" s="9">
        <f t="shared" si="12"/>
        <v>0</v>
      </c>
      <c r="AH55" s="83">
        <v>11</v>
      </c>
      <c r="AI55" s="60">
        <f>基础信息!D60</f>
        <v>57</v>
      </c>
      <c r="AJ55" s="61">
        <f>基础信息!E60</f>
        <v>988.69490566221691</v>
      </c>
      <c r="AK55" s="61">
        <f>基础信息!F60</f>
        <v>104.93378702762401</v>
      </c>
      <c r="AN55" s="83">
        <f t="shared" si="26"/>
        <v>59.011896923168429</v>
      </c>
    </row>
    <row r="56" spans="10:42" x14ac:dyDescent="0.15">
      <c r="J56" s="83">
        <v>12</v>
      </c>
      <c r="K56" s="60">
        <f>基础信息!D61</f>
        <v>62</v>
      </c>
      <c r="L56" s="61">
        <f>基础信息!E61</f>
        <v>2058.8113773623186</v>
      </c>
      <c r="M56" s="61">
        <f>基础信息!F61</f>
        <v>115.63935175516689</v>
      </c>
      <c r="N56" s="83">
        <f t="shared" si="21"/>
        <v>6</v>
      </c>
      <c r="O56" s="83">
        <f t="shared" si="22"/>
        <v>6</v>
      </c>
      <c r="P56" s="83">
        <f t="shared" si="23"/>
        <v>0</v>
      </c>
      <c r="Q56" s="83">
        <f t="shared" si="24"/>
        <v>0</v>
      </c>
      <c r="R56" s="83">
        <f t="shared" si="25"/>
        <v>0</v>
      </c>
      <c r="V56" s="9">
        <v>50</v>
      </c>
      <c r="W56" s="9">
        <f>[4]王者铸币!K54</f>
        <v>9233.3333333333321</v>
      </c>
      <c r="X56" s="9">
        <f>[4]王者铸币!L54</f>
        <v>0</v>
      </c>
      <c r="Y56" s="9">
        <f>[4]王者铸币!M54</f>
        <v>0</v>
      </c>
      <c r="Z56" s="9">
        <f>[4]王者铸币!N54</f>
        <v>0</v>
      </c>
      <c r="AA56" s="9">
        <f>[4]王者铸币!O54</f>
        <v>0</v>
      </c>
      <c r="AB56" s="9">
        <f t="shared" si="8"/>
        <v>3.0777777777777775E-2</v>
      </c>
      <c r="AC56" s="9">
        <f t="shared" si="9"/>
        <v>0</v>
      </c>
      <c r="AD56" s="9">
        <f t="shared" si="10"/>
        <v>0</v>
      </c>
      <c r="AE56" s="9">
        <f t="shared" si="11"/>
        <v>0</v>
      </c>
      <c r="AF56" s="9">
        <f t="shared" si="12"/>
        <v>0</v>
      </c>
      <c r="AH56" s="83">
        <v>12</v>
      </c>
      <c r="AI56" s="60">
        <f>基础信息!D61</f>
        <v>62</v>
      </c>
      <c r="AJ56" s="61">
        <f>基础信息!E61</f>
        <v>2058.8113773623186</v>
      </c>
      <c r="AK56" s="61">
        <f>基础信息!F61</f>
        <v>115.63935175516689</v>
      </c>
      <c r="AN56" s="83">
        <f t="shared" si="26"/>
        <v>124.88461145096943</v>
      </c>
    </row>
    <row r="57" spans="10:42" x14ac:dyDescent="0.15">
      <c r="J57" s="83">
        <v>13</v>
      </c>
      <c r="K57" s="60">
        <f>基础信息!D62</f>
        <v>67</v>
      </c>
      <c r="L57" s="61">
        <f>基础信息!E62</f>
        <v>4280.1298868004114</v>
      </c>
      <c r="M57" s="61">
        <f>基础信息!F62</f>
        <v>126.19151638854794</v>
      </c>
      <c r="N57" s="83">
        <f t="shared" si="21"/>
        <v>6</v>
      </c>
      <c r="O57" s="83">
        <f t="shared" si="22"/>
        <v>6</v>
      </c>
      <c r="P57" s="83">
        <f t="shared" si="23"/>
        <v>1</v>
      </c>
      <c r="Q57" s="83">
        <f t="shared" si="24"/>
        <v>0</v>
      </c>
      <c r="R57" s="83">
        <f t="shared" si="25"/>
        <v>0</v>
      </c>
      <c r="V57" s="9">
        <v>51</v>
      </c>
      <c r="W57" s="9">
        <f>[4]王者铸币!K55</f>
        <v>30439.99906405661</v>
      </c>
      <c r="X57" s="9">
        <f>[4]王者铸币!L55</f>
        <v>0</v>
      </c>
      <c r="Y57" s="9">
        <f>[4]王者铸币!M55</f>
        <v>0</v>
      </c>
      <c r="Z57" s="9">
        <f>[4]王者铸币!N55</f>
        <v>0</v>
      </c>
      <c r="AA57" s="9">
        <f>[4]王者铸币!O55</f>
        <v>0</v>
      </c>
      <c r="AB57" s="9">
        <f t="shared" si="8"/>
        <v>0.10146666354685537</v>
      </c>
      <c r="AC57" s="9">
        <f t="shared" si="9"/>
        <v>0</v>
      </c>
      <c r="AD57" s="9">
        <f t="shared" si="10"/>
        <v>0</v>
      </c>
      <c r="AE57" s="9">
        <f t="shared" si="11"/>
        <v>0</v>
      </c>
      <c r="AF57" s="9">
        <f t="shared" si="12"/>
        <v>0</v>
      </c>
      <c r="AH57" s="83">
        <v>13</v>
      </c>
      <c r="AI57" s="60">
        <f>基础信息!D62</f>
        <v>67</v>
      </c>
      <c r="AJ57" s="61">
        <f>基础信息!E62</f>
        <v>4280.1298868004114</v>
      </c>
      <c r="AK57" s="61">
        <f>基础信息!F62</f>
        <v>126.19151638854794</v>
      </c>
      <c r="AN57" s="83">
        <f t="shared" si="26"/>
        <v>261.61910636526989</v>
      </c>
    </row>
    <row r="58" spans="10:42" x14ac:dyDescent="0.15">
      <c r="J58" s="83">
        <v>14</v>
      </c>
      <c r="K58" s="60">
        <f>基础信息!D63</f>
        <v>72</v>
      </c>
      <c r="L58" s="61">
        <f>基础信息!E63</f>
        <v>8884.9230377523691</v>
      </c>
      <c r="M58" s="61">
        <f>基础信息!F63</f>
        <v>136.8190741194654</v>
      </c>
      <c r="N58" s="83">
        <f t="shared" si="21"/>
        <v>6</v>
      </c>
      <c r="O58" s="83">
        <f t="shared" si="22"/>
        <v>6</v>
      </c>
      <c r="P58" s="83">
        <f t="shared" si="23"/>
        <v>2</v>
      </c>
      <c r="Q58" s="83">
        <f t="shared" si="24"/>
        <v>0</v>
      </c>
      <c r="R58" s="83">
        <f t="shared" si="25"/>
        <v>0</v>
      </c>
      <c r="V58" s="9">
        <v>52</v>
      </c>
      <c r="W58" s="9">
        <f>[4]王者铸币!K56</f>
        <v>53168.740623123966</v>
      </c>
      <c r="X58" s="9">
        <f>[4]王者铸币!L56</f>
        <v>15064.100318198169</v>
      </c>
      <c r="Y58" s="9">
        <f>[4]王者铸币!M56</f>
        <v>0</v>
      </c>
      <c r="Z58" s="9">
        <f>[4]王者铸币!N56</f>
        <v>0</v>
      </c>
      <c r="AA58" s="9">
        <f>[4]王者铸币!O56</f>
        <v>0</v>
      </c>
      <c r="AB58" s="9">
        <f t="shared" si="8"/>
        <v>0.17722913541041321</v>
      </c>
      <c r="AC58" s="9">
        <f t="shared" si="9"/>
        <v>5.021366772732723E-2</v>
      </c>
      <c r="AD58" s="9">
        <f t="shared" si="10"/>
        <v>0</v>
      </c>
      <c r="AE58" s="9">
        <f t="shared" si="11"/>
        <v>0</v>
      </c>
      <c r="AF58" s="9">
        <f t="shared" si="12"/>
        <v>0</v>
      </c>
      <c r="AH58" s="83">
        <v>14</v>
      </c>
      <c r="AI58" s="60">
        <f>基础信息!D63</f>
        <v>72</v>
      </c>
      <c r="AJ58" s="61">
        <f>基础信息!E63</f>
        <v>8884.9230377523691</v>
      </c>
      <c r="AK58" s="61">
        <f>基础信息!F63</f>
        <v>136.8190741194654</v>
      </c>
      <c r="AN58" s="83">
        <f t="shared" si="26"/>
        <v>545.06970699053477</v>
      </c>
    </row>
    <row r="59" spans="10:42" x14ac:dyDescent="0.15">
      <c r="J59" s="83">
        <v>15</v>
      </c>
      <c r="K59" s="60">
        <f>基础信息!D64</f>
        <v>77</v>
      </c>
      <c r="L59" s="61">
        <f>基础信息!E64</f>
        <v>18418.806603807832</v>
      </c>
      <c r="M59" s="61">
        <f>基础信息!F64</f>
        <v>147.45018844840658</v>
      </c>
      <c r="N59" s="83">
        <f t="shared" si="21"/>
        <v>6</v>
      </c>
      <c r="O59" s="83">
        <f t="shared" si="22"/>
        <v>6</v>
      </c>
      <c r="P59" s="83">
        <f t="shared" si="23"/>
        <v>3</v>
      </c>
      <c r="Q59" s="83">
        <f t="shared" si="24"/>
        <v>0</v>
      </c>
      <c r="R59" s="83">
        <f t="shared" si="25"/>
        <v>0</v>
      </c>
      <c r="V59" s="9">
        <v>53</v>
      </c>
      <c r="W59" s="9">
        <f>[4]王者铸币!K57</f>
        <v>77528.802662977818</v>
      </c>
      <c r="X59" s="9">
        <f>[4]王者铸币!L57</f>
        <v>47764.838267604267</v>
      </c>
      <c r="Y59" s="9">
        <f>[4]王者铸币!M57</f>
        <v>0</v>
      </c>
      <c r="Z59" s="9">
        <f>[4]王者铸币!N57</f>
        <v>0</v>
      </c>
      <c r="AA59" s="9">
        <f>[4]王者铸币!O57</f>
        <v>0</v>
      </c>
      <c r="AB59" s="9">
        <f t="shared" si="8"/>
        <v>0.25842934220992608</v>
      </c>
      <c r="AC59" s="9">
        <f t="shared" si="9"/>
        <v>0.15921612755868089</v>
      </c>
      <c r="AD59" s="9">
        <f t="shared" si="10"/>
        <v>0</v>
      </c>
      <c r="AE59" s="9">
        <f t="shared" si="11"/>
        <v>0</v>
      </c>
      <c r="AF59" s="9">
        <f t="shared" si="12"/>
        <v>0</v>
      </c>
      <c r="AH59" s="83">
        <v>15</v>
      </c>
      <c r="AI59" s="60">
        <f>基础信息!D64</f>
        <v>77</v>
      </c>
      <c r="AJ59" s="61">
        <f>基础信息!E64</f>
        <v>18418.806603807832</v>
      </c>
      <c r="AK59" s="61">
        <f>基础信息!F64</f>
        <v>147.45018844840658</v>
      </c>
      <c r="AN59" s="83">
        <f t="shared" si="26"/>
        <v>1131.9332065010594</v>
      </c>
    </row>
    <row r="60" spans="10:42" x14ac:dyDescent="0.15">
      <c r="J60" s="83">
        <v>16</v>
      </c>
      <c r="K60" s="60">
        <f>基础信息!D65</f>
        <v>80</v>
      </c>
      <c r="L60" s="61">
        <f>基础信息!E65</f>
        <v>28507.724999999999</v>
      </c>
      <c r="M60" s="61">
        <f>基础信息!F65</f>
        <v>153.14946182958477</v>
      </c>
      <c r="N60" s="83">
        <f t="shared" si="21"/>
        <v>6</v>
      </c>
      <c r="O60" s="83">
        <f t="shared" si="22"/>
        <v>6</v>
      </c>
      <c r="P60" s="83">
        <f t="shared" si="23"/>
        <v>4</v>
      </c>
      <c r="Q60" s="83">
        <f t="shared" si="24"/>
        <v>0</v>
      </c>
      <c r="R60" s="83">
        <f t="shared" si="25"/>
        <v>0</v>
      </c>
      <c r="V60" s="9">
        <v>54</v>
      </c>
      <c r="W60" s="9">
        <f>[4]王者铸币!K58</f>
        <v>103637.27070303114</v>
      </c>
      <c r="X60" s="9">
        <f>[4]王者铸币!L58</f>
        <v>82869.179141415312</v>
      </c>
      <c r="Y60" s="9">
        <f>[4]王者铸币!M58</f>
        <v>0</v>
      </c>
      <c r="Z60" s="9">
        <f>[4]王者铸币!N58</f>
        <v>0</v>
      </c>
      <c r="AA60" s="9">
        <f>[4]王者铸币!O58</f>
        <v>0</v>
      </c>
      <c r="AB60" s="9">
        <f t="shared" si="8"/>
        <v>0.34545756901010383</v>
      </c>
      <c r="AC60" s="9">
        <f t="shared" si="9"/>
        <v>0.27623059713805104</v>
      </c>
      <c r="AD60" s="9">
        <f t="shared" si="10"/>
        <v>0</v>
      </c>
      <c r="AE60" s="9">
        <f t="shared" si="11"/>
        <v>0</v>
      </c>
      <c r="AF60" s="9">
        <f t="shared" si="12"/>
        <v>0</v>
      </c>
      <c r="AH60" s="83">
        <v>16</v>
      </c>
      <c r="AI60" s="60">
        <f>基础信息!D65</f>
        <v>80</v>
      </c>
      <c r="AJ60" s="61">
        <f>基础信息!E65</f>
        <v>28507.724999999999</v>
      </c>
      <c r="AK60" s="61">
        <f>基础信息!F65</f>
        <v>153.14946182958477</v>
      </c>
      <c r="AN60" s="83">
        <f t="shared" si="26"/>
        <v>1752.9621833333283</v>
      </c>
    </row>
    <row r="61" spans="10:42" x14ac:dyDescent="0.15">
      <c r="V61" s="9">
        <v>55</v>
      </c>
      <c r="W61" s="9">
        <f>[4]王者铸币!K59</f>
        <v>131619.63389583718</v>
      </c>
      <c r="X61" s="9">
        <f>[4]王者铸币!L59</f>
        <v>118888.72984634686</v>
      </c>
      <c r="Y61" s="9">
        <f>[4]王者铸币!M59</f>
        <v>30326.076471047138</v>
      </c>
      <c r="Z61" s="9">
        <f>[4]王者铸币!N59</f>
        <v>0</v>
      </c>
      <c r="AA61" s="9">
        <f>[4]王者铸币!O59</f>
        <v>0</v>
      </c>
      <c r="AB61" s="9">
        <f t="shared" si="8"/>
        <v>0.43873211298612391</v>
      </c>
      <c r="AC61" s="9">
        <f t="shared" si="9"/>
        <v>0.39629576615448953</v>
      </c>
      <c r="AD61" s="9">
        <f t="shared" si="10"/>
        <v>0.10108692157015713</v>
      </c>
      <c r="AE61" s="9">
        <f t="shared" si="11"/>
        <v>0</v>
      </c>
      <c r="AF61" s="9">
        <f t="shared" si="12"/>
        <v>0</v>
      </c>
    </row>
    <row r="62" spans="10:42" x14ac:dyDescent="0.15">
      <c r="V62" s="9">
        <v>56</v>
      </c>
      <c r="W62" s="9">
        <f>[4]王者铸币!K60</f>
        <v>161610.38818493881</v>
      </c>
      <c r="X62" s="9">
        <f>[4]王者铸币!L60</f>
        <v>157102.45743988239</v>
      </c>
      <c r="Y62" s="9">
        <f>[4]王者铸币!M60</f>
        <v>71809.301862270717</v>
      </c>
      <c r="Z62" s="9">
        <f>[4]王者铸币!N60</f>
        <v>0</v>
      </c>
      <c r="AA62" s="9">
        <f>[4]王者铸币!O60</f>
        <v>0</v>
      </c>
      <c r="AB62" s="9">
        <f t="shared" si="8"/>
        <v>0.53870129394979605</v>
      </c>
      <c r="AC62" s="9">
        <f t="shared" si="9"/>
        <v>0.52367485813294135</v>
      </c>
      <c r="AD62" s="9">
        <f t="shared" si="10"/>
        <v>0.23936433954090239</v>
      </c>
      <c r="AE62" s="9">
        <f t="shared" si="11"/>
        <v>0</v>
      </c>
      <c r="AF62" s="9">
        <f t="shared" si="12"/>
        <v>0</v>
      </c>
    </row>
    <row r="63" spans="10:42" x14ac:dyDescent="0.15">
      <c r="J63" s="83" t="s">
        <v>3</v>
      </c>
      <c r="N63" s="127" t="s">
        <v>124</v>
      </c>
      <c r="O63" s="127"/>
      <c r="P63" s="127"/>
      <c r="Q63" s="127"/>
      <c r="R63" s="127"/>
      <c r="V63" s="9">
        <v>57</v>
      </c>
      <c r="W63" s="9">
        <f>[4]王者铸币!K61</f>
        <v>193753.68275344479</v>
      </c>
      <c r="X63" s="9">
        <f>[4]王者铸币!L61</f>
        <v>199390.56582911874</v>
      </c>
      <c r="Y63" s="9">
        <f>[4]王者铸币!M61</f>
        <v>116635.69645055749</v>
      </c>
      <c r="Z63" s="9">
        <f>[4]王者铸币!N61</f>
        <v>0</v>
      </c>
      <c r="AA63" s="9">
        <f>[4]王者铸币!O61</f>
        <v>0</v>
      </c>
      <c r="AB63" s="9">
        <f t="shared" si="8"/>
        <v>0.64584560917814937</v>
      </c>
      <c r="AC63" s="9">
        <f t="shared" si="9"/>
        <v>0.66463521943039583</v>
      </c>
      <c r="AD63" s="9">
        <f t="shared" si="10"/>
        <v>0.38878565483519162</v>
      </c>
      <c r="AE63" s="9">
        <f t="shared" si="11"/>
        <v>0</v>
      </c>
      <c r="AF63" s="9">
        <f t="shared" si="12"/>
        <v>0</v>
      </c>
      <c r="AH63" s="83" t="s">
        <v>3</v>
      </c>
      <c r="AL63" s="127" t="s">
        <v>197</v>
      </c>
      <c r="AM63" s="127"/>
      <c r="AN63" s="127"/>
      <c r="AO63" s="127"/>
      <c r="AP63" s="127"/>
    </row>
    <row r="64" spans="10:42" x14ac:dyDescent="0.15">
      <c r="J64" s="83" t="s">
        <v>21</v>
      </c>
      <c r="K64" s="83" t="s">
        <v>121</v>
      </c>
      <c r="L64" s="81" t="s">
        <v>122</v>
      </c>
      <c r="M64" s="81" t="s">
        <v>103</v>
      </c>
      <c r="N64" s="83" t="s">
        <v>8</v>
      </c>
      <c r="O64" s="83" t="s">
        <v>9</v>
      </c>
      <c r="P64" s="83" t="s">
        <v>10</v>
      </c>
      <c r="Q64" s="83" t="s">
        <v>11</v>
      </c>
      <c r="R64" s="83" t="s">
        <v>12</v>
      </c>
      <c r="V64" s="9">
        <v>58</v>
      </c>
      <c r="W64" s="9">
        <f>[4]王者铸币!K62</f>
        <v>228204.01287045609</v>
      </c>
      <c r="X64" s="9">
        <f>[4]王者铸币!L62</f>
        <v>243275.94079163336</v>
      </c>
      <c r="Y64" s="9">
        <f>[4]王者铸币!M62</f>
        <v>164602.18790693677</v>
      </c>
      <c r="Z64" s="9">
        <f>[4]王者铸币!N62</f>
        <v>0</v>
      </c>
      <c r="AA64" s="9">
        <f>[4]王者铸币!O62</f>
        <v>0</v>
      </c>
      <c r="AB64" s="9">
        <f t="shared" si="8"/>
        <v>0.76068004290152036</v>
      </c>
      <c r="AC64" s="9">
        <f t="shared" si="9"/>
        <v>0.81091980263877783</v>
      </c>
      <c r="AD64" s="9">
        <f t="shared" si="10"/>
        <v>0.54867395968978927</v>
      </c>
      <c r="AE64" s="9">
        <f t="shared" si="11"/>
        <v>0</v>
      </c>
      <c r="AF64" s="9">
        <f t="shared" si="12"/>
        <v>0</v>
      </c>
      <c r="AH64" s="83" t="s">
        <v>21</v>
      </c>
      <c r="AI64" s="83" t="s">
        <v>121</v>
      </c>
      <c r="AJ64" s="81" t="s">
        <v>122</v>
      </c>
      <c r="AK64" s="81" t="s">
        <v>103</v>
      </c>
      <c r="AL64" s="83" t="s">
        <v>8</v>
      </c>
      <c r="AM64" s="83" t="s">
        <v>9</v>
      </c>
      <c r="AN64" s="83" t="s">
        <v>10</v>
      </c>
      <c r="AO64" s="83" t="s">
        <v>11</v>
      </c>
      <c r="AP64" s="83" t="s">
        <v>12</v>
      </c>
    </row>
    <row r="65" spans="10:40" x14ac:dyDescent="0.15">
      <c r="J65" s="83">
        <v>1</v>
      </c>
      <c r="K65" s="60">
        <f>基础信息!D70</f>
        <v>16</v>
      </c>
      <c r="L65" s="61">
        <f>基础信息!E70</f>
        <v>1.0155087681570587</v>
      </c>
      <c r="M65" s="61">
        <f>基础信息!F70</f>
        <v>15.589627930182091</v>
      </c>
      <c r="N65" s="83">
        <f>C5</f>
        <v>1</v>
      </c>
      <c r="O65" s="83">
        <f t="shared" ref="O65:R65" si="27">D5</f>
        <v>0</v>
      </c>
      <c r="P65" s="83">
        <f t="shared" si="27"/>
        <v>0</v>
      </c>
      <c r="Q65" s="83">
        <f t="shared" si="27"/>
        <v>0</v>
      </c>
      <c r="R65" s="83">
        <f t="shared" si="27"/>
        <v>0</v>
      </c>
      <c r="V65" s="9">
        <v>59</v>
      </c>
      <c r="W65" s="9">
        <f>[4]王者铸币!K63</f>
        <v>265126.96246548434</v>
      </c>
      <c r="X65" s="9">
        <f>[4]王者铸币!L63</f>
        <v>291769.05921102047</v>
      </c>
      <c r="Y65" s="9">
        <f>[4]王者铸币!M63</f>
        <v>216579.26444843935</v>
      </c>
      <c r="Z65" s="9">
        <f>[4]王者铸币!N63</f>
        <v>15799.323884261483</v>
      </c>
      <c r="AA65" s="9">
        <f>[4]王者铸币!O63</f>
        <v>0</v>
      </c>
      <c r="AB65" s="9">
        <f t="shared" si="8"/>
        <v>0.88375654155161443</v>
      </c>
      <c r="AC65" s="9">
        <f t="shared" si="9"/>
        <v>0.97256353070340162</v>
      </c>
      <c r="AD65" s="9">
        <f t="shared" si="10"/>
        <v>0.72193088149479789</v>
      </c>
      <c r="AE65" s="9">
        <f t="shared" si="11"/>
        <v>5.2664412947538278E-2</v>
      </c>
      <c r="AF65" s="9">
        <f t="shared" si="12"/>
        <v>0</v>
      </c>
      <c r="AH65" s="83">
        <v>1</v>
      </c>
      <c r="AI65" s="60">
        <f>基础信息!D70</f>
        <v>16</v>
      </c>
      <c r="AJ65" s="61">
        <f>基础信息!E70</f>
        <v>1.0155087681570587</v>
      </c>
      <c r="AK65" s="61">
        <f>基础信息!F70</f>
        <v>15.589627930182091</v>
      </c>
      <c r="AN65" s="83">
        <f>求节点($V$7:$V$166,$AE$7:$AE$166,AK65)</f>
        <v>0</v>
      </c>
    </row>
    <row r="66" spans="10:40" x14ac:dyDescent="0.15">
      <c r="J66" s="83">
        <v>2</v>
      </c>
      <c r="K66" s="60">
        <f>基础信息!D71</f>
        <v>19.5</v>
      </c>
      <c r="L66" s="61">
        <f>基础信息!E71</f>
        <v>1.9291590128661831</v>
      </c>
      <c r="M66" s="61">
        <f>基础信息!F71</f>
        <v>22.124520244011151</v>
      </c>
      <c r="N66" s="83">
        <f t="shared" ref="N66:N80" si="28">C6</f>
        <v>2</v>
      </c>
      <c r="O66" s="83">
        <f t="shared" ref="O66:O80" si="29">D6</f>
        <v>0</v>
      </c>
      <c r="P66" s="83">
        <f t="shared" ref="P66:P80" si="30">E6</f>
        <v>0</v>
      </c>
      <c r="Q66" s="83">
        <f t="shared" ref="Q66:Q80" si="31">F6</f>
        <v>0</v>
      </c>
      <c r="R66" s="83">
        <f t="shared" ref="R66:R80" si="32">G6</f>
        <v>0</v>
      </c>
      <c r="V66" s="9">
        <v>60</v>
      </c>
      <c r="W66" s="9">
        <f>[4]王者铸币!K64</f>
        <v>304700</v>
      </c>
      <c r="X66" s="9">
        <f>[4]王者铸币!L64</f>
        <v>342613.7</v>
      </c>
      <c r="Y66" s="9">
        <f>[4]王者铸币!M64</f>
        <v>271781.31999999995</v>
      </c>
      <c r="Z66" s="9">
        <f>[4]王者铸币!N64</f>
        <v>73070.400000000038</v>
      </c>
      <c r="AA66" s="9">
        <f>[4]王者铸币!O64</f>
        <v>0</v>
      </c>
      <c r="AB66" s="9">
        <f t="shared" si="8"/>
        <v>1.0156666666666667</v>
      </c>
      <c r="AC66" s="9">
        <f t="shared" si="9"/>
        <v>1.1420456666666667</v>
      </c>
      <c r="AD66" s="9">
        <f t="shared" si="10"/>
        <v>0.90593773333333316</v>
      </c>
      <c r="AE66" s="9">
        <f t="shared" si="11"/>
        <v>0.24356800000000012</v>
      </c>
      <c r="AF66" s="9">
        <f t="shared" si="12"/>
        <v>0</v>
      </c>
      <c r="AH66" s="83">
        <v>2</v>
      </c>
      <c r="AI66" s="60">
        <f>基础信息!D71</f>
        <v>19.5</v>
      </c>
      <c r="AJ66" s="61">
        <f>基础信息!E71</f>
        <v>1.9291590128661831</v>
      </c>
      <c r="AK66" s="61">
        <f>基础信息!F71</f>
        <v>22.124520244011151</v>
      </c>
      <c r="AN66" s="83">
        <f t="shared" ref="AN66:AN80" si="33">求节点($V$7:$V$166,$AE$7:$AE$166,AK66)</f>
        <v>0</v>
      </c>
    </row>
    <row r="67" spans="10:40" x14ac:dyDescent="0.15">
      <c r="J67" s="83">
        <v>3</v>
      </c>
      <c r="K67" s="60">
        <f>基础信息!D72</f>
        <v>23.5</v>
      </c>
      <c r="L67" s="61">
        <f>基础信息!E72</f>
        <v>3.8620055508637692</v>
      </c>
      <c r="M67" s="61">
        <f>基础信息!F72</f>
        <v>30.385092920099169</v>
      </c>
      <c r="N67" s="83">
        <f t="shared" si="28"/>
        <v>3</v>
      </c>
      <c r="O67" s="83">
        <f t="shared" si="29"/>
        <v>0</v>
      </c>
      <c r="P67" s="83">
        <f t="shared" si="30"/>
        <v>0</v>
      </c>
      <c r="Q67" s="83">
        <f t="shared" si="31"/>
        <v>0</v>
      </c>
      <c r="R67" s="83">
        <f t="shared" si="32"/>
        <v>0</v>
      </c>
      <c r="V67" s="9">
        <v>61</v>
      </c>
      <c r="W67" s="9">
        <f>[4]王者铸币!K65</f>
        <v>347113.33146144648</v>
      </c>
      <c r="X67" s="9">
        <f>[4]王者铸币!L65</f>
        <v>398448.83777747978</v>
      </c>
      <c r="Y67" s="9">
        <f>[4]王者铸币!M65</f>
        <v>331991.28534266958</v>
      </c>
      <c r="Z67" s="9">
        <f>[4]王者铸币!N65</f>
        <v>135973.0589133958</v>
      </c>
      <c r="AA67" s="9">
        <f>[4]王者铸币!O65</f>
        <v>0</v>
      </c>
      <c r="AB67" s="9">
        <f t="shared" si="8"/>
        <v>1.1570444382048215</v>
      </c>
      <c r="AC67" s="9">
        <f t="shared" si="9"/>
        <v>1.3281627925915993</v>
      </c>
      <c r="AD67" s="9">
        <f t="shared" si="10"/>
        <v>1.1066376178088986</v>
      </c>
      <c r="AE67" s="9">
        <f t="shared" si="11"/>
        <v>0.45324352971131932</v>
      </c>
      <c r="AF67" s="9">
        <f t="shared" si="12"/>
        <v>0</v>
      </c>
      <c r="AH67" s="83">
        <v>3</v>
      </c>
      <c r="AI67" s="60">
        <f>基础信息!D72</f>
        <v>23.5</v>
      </c>
      <c r="AJ67" s="61">
        <f>基础信息!E72</f>
        <v>3.8620055508637692</v>
      </c>
      <c r="AK67" s="61">
        <f>基础信息!F72</f>
        <v>30.385092920099169</v>
      </c>
      <c r="AN67" s="83">
        <f t="shared" si="33"/>
        <v>0</v>
      </c>
    </row>
    <row r="68" spans="10:40" x14ac:dyDescent="0.15">
      <c r="J68" s="83">
        <v>4</v>
      </c>
      <c r="K68" s="60">
        <f>基础信息!D73</f>
        <v>27.5</v>
      </c>
      <c r="L68" s="61">
        <f>基础信息!E73</f>
        <v>7.5480892551941539</v>
      </c>
      <c r="M68" s="61">
        <f>基础信息!F73</f>
        <v>39.22082982715331</v>
      </c>
      <c r="N68" s="83">
        <f t="shared" si="28"/>
        <v>4</v>
      </c>
      <c r="O68" s="83">
        <f t="shared" si="29"/>
        <v>0</v>
      </c>
      <c r="P68" s="83">
        <f t="shared" si="30"/>
        <v>0</v>
      </c>
      <c r="Q68" s="83">
        <f t="shared" si="31"/>
        <v>0</v>
      </c>
      <c r="R68" s="83">
        <f t="shared" si="32"/>
        <v>0</v>
      </c>
      <c r="V68" s="9">
        <v>62</v>
      </c>
      <c r="W68" s="9">
        <f>[4]王者铸币!K66</f>
        <v>392570.81457958109</v>
      </c>
      <c r="X68" s="9">
        <f>[4]王者铸币!L66</f>
        <v>457612.01584234647</v>
      </c>
      <c r="Y68" s="9">
        <f>[4]王者铸币!M66</f>
        <v>397192.2991917528</v>
      </c>
      <c r="Z68" s="9">
        <f>[4]王者铸币!N66</f>
        <v>204008.03733099272</v>
      </c>
      <c r="AA68" s="9">
        <f>[4]王者铸币!O66</f>
        <v>0</v>
      </c>
      <c r="AB68" s="9">
        <f t="shared" si="8"/>
        <v>1.3085693819319371</v>
      </c>
      <c r="AC68" s="9">
        <f t="shared" si="9"/>
        <v>1.5253733861411549</v>
      </c>
      <c r="AD68" s="9">
        <f t="shared" si="10"/>
        <v>1.323974330639176</v>
      </c>
      <c r="AE68" s="9">
        <f t="shared" si="11"/>
        <v>0.6800267911033091</v>
      </c>
      <c r="AF68" s="9">
        <f t="shared" si="12"/>
        <v>0</v>
      </c>
      <c r="AH68" s="83">
        <v>4</v>
      </c>
      <c r="AI68" s="60">
        <f>基础信息!D73</f>
        <v>27.5</v>
      </c>
      <c r="AJ68" s="61">
        <f>基础信息!E73</f>
        <v>7.5480892551941539</v>
      </c>
      <c r="AK68" s="61">
        <f>基础信息!F73</f>
        <v>39.22082982715331</v>
      </c>
      <c r="AN68" s="83">
        <f t="shared" si="33"/>
        <v>0</v>
      </c>
    </row>
    <row r="69" spans="10:40" x14ac:dyDescent="0.15">
      <c r="J69" s="83">
        <v>5</v>
      </c>
      <c r="K69" s="60">
        <f>基础信息!D74</f>
        <v>31.5</v>
      </c>
      <c r="L69" s="61">
        <f>基础信息!E74</f>
        <v>14.515695505432269</v>
      </c>
      <c r="M69" s="61">
        <f>基础信息!F74</f>
        <v>48.246535012671018</v>
      </c>
      <c r="N69" s="83">
        <f t="shared" si="28"/>
        <v>5</v>
      </c>
      <c r="O69" s="83">
        <f t="shared" si="29"/>
        <v>0</v>
      </c>
      <c r="P69" s="83">
        <f t="shared" si="30"/>
        <v>0</v>
      </c>
      <c r="Q69" s="83">
        <f t="shared" si="31"/>
        <v>0</v>
      </c>
      <c r="R69" s="83">
        <f t="shared" si="32"/>
        <v>0</v>
      </c>
      <c r="V69" s="9">
        <v>63</v>
      </c>
      <c r="W69" s="9">
        <f>[4]王者铸币!K67</f>
        <v>441290.93865928892</v>
      </c>
      <c r="X69" s="9">
        <f>[4]王者铸币!L67</f>
        <v>522083.10324717016</v>
      </c>
      <c r="Y69" s="9">
        <f>[4]王者铸币!M67</f>
        <v>466835.08202258148</v>
      </c>
      <c r="Z69" s="9">
        <f>[4]王者铸币!N67</f>
        <v>277630.24846012605</v>
      </c>
      <c r="AA69" s="9">
        <f>[4]王者铸币!O67</f>
        <v>0</v>
      </c>
      <c r="AB69" s="9">
        <f t="shared" si="8"/>
        <v>1.4709697955309631</v>
      </c>
      <c r="AC69" s="9">
        <f t="shared" si="9"/>
        <v>1.7402770108239005</v>
      </c>
      <c r="AD69" s="9">
        <f t="shared" si="10"/>
        <v>1.5561169400752717</v>
      </c>
      <c r="AE69" s="9">
        <f t="shared" si="11"/>
        <v>0.92543416153375346</v>
      </c>
      <c r="AF69" s="9">
        <f t="shared" si="12"/>
        <v>0</v>
      </c>
      <c r="AH69" s="83">
        <v>5</v>
      </c>
      <c r="AI69" s="60">
        <f>基础信息!D74</f>
        <v>31.5</v>
      </c>
      <c r="AJ69" s="61">
        <f>基础信息!E74</f>
        <v>14.515695505432269</v>
      </c>
      <c r="AK69" s="61">
        <f>基础信息!F74</f>
        <v>48.246535012671018</v>
      </c>
      <c r="AN69" s="83">
        <f t="shared" si="33"/>
        <v>0</v>
      </c>
    </row>
    <row r="70" spans="10:40" x14ac:dyDescent="0.15">
      <c r="J70" s="83">
        <v>6</v>
      </c>
      <c r="K70" s="60">
        <f>基础信息!D75</f>
        <v>35.5</v>
      </c>
      <c r="L70" s="61">
        <f>基础信息!E75</f>
        <v>27.449372333401666</v>
      </c>
      <c r="M70" s="61">
        <f>基础信息!F75</f>
        <v>57.411337115405701</v>
      </c>
      <c r="N70" s="83">
        <f t="shared" si="28"/>
        <v>6</v>
      </c>
      <c r="O70" s="83">
        <f t="shared" si="29"/>
        <v>0</v>
      </c>
      <c r="P70" s="83">
        <f t="shared" si="30"/>
        <v>0</v>
      </c>
      <c r="Q70" s="83">
        <f t="shared" si="31"/>
        <v>0</v>
      </c>
      <c r="R70" s="83">
        <f t="shared" si="32"/>
        <v>0</v>
      </c>
      <c r="V70" s="9">
        <v>64</v>
      </c>
      <c r="W70" s="9">
        <f>[4]王者铸币!K68</f>
        <v>493507.87473939534</v>
      </c>
      <c r="X70" s="9">
        <f>[4]王者铸币!L68</f>
        <v>590772.27519057726</v>
      </c>
      <c r="Y70" s="9">
        <f>[4]王者铸币!M68</f>
        <v>542278.60417921178</v>
      </c>
      <c r="Z70" s="9">
        <f>[4]王者铸币!N68</f>
        <v>356685.48357132135</v>
      </c>
      <c r="AA70" s="9">
        <f>[4]王者铸币!O68</f>
        <v>0</v>
      </c>
      <c r="AB70" s="9">
        <f t="shared" si="8"/>
        <v>1.6450262491313179</v>
      </c>
      <c r="AC70" s="9">
        <f t="shared" si="9"/>
        <v>1.9692409173019243</v>
      </c>
      <c r="AD70" s="9">
        <f t="shared" si="10"/>
        <v>1.8075953472640391</v>
      </c>
      <c r="AE70" s="9">
        <f t="shared" si="11"/>
        <v>1.1889516119044046</v>
      </c>
      <c r="AF70" s="9">
        <f t="shared" si="12"/>
        <v>0</v>
      </c>
      <c r="AH70" s="83">
        <v>6</v>
      </c>
      <c r="AI70" s="60">
        <f>基础信息!D75</f>
        <v>35.5</v>
      </c>
      <c r="AJ70" s="61">
        <f>基础信息!E75</f>
        <v>27.449372333401666</v>
      </c>
      <c r="AK70" s="61">
        <f>基础信息!F75</f>
        <v>57.411337115405701</v>
      </c>
      <c r="AN70" s="83">
        <f t="shared" si="33"/>
        <v>0</v>
      </c>
    </row>
    <row r="71" spans="10:40" x14ac:dyDescent="0.15">
      <c r="J71" s="83">
        <v>7</v>
      </c>
      <c r="K71" s="60">
        <f>基础信息!D76</f>
        <v>39.5</v>
      </c>
      <c r="L71" s="61">
        <f>基础信息!E76</f>
        <v>49.848538197196007</v>
      </c>
      <c r="M71" s="61">
        <f>基础信息!F76</f>
        <v>65.902718877121345</v>
      </c>
      <c r="N71" s="83">
        <f t="shared" si="28"/>
        <v>6</v>
      </c>
      <c r="O71" s="83">
        <f t="shared" si="29"/>
        <v>1</v>
      </c>
      <c r="P71" s="83">
        <f t="shared" si="30"/>
        <v>0</v>
      </c>
      <c r="Q71" s="83">
        <f t="shared" si="31"/>
        <v>0</v>
      </c>
      <c r="R71" s="83">
        <f t="shared" si="32"/>
        <v>0</v>
      </c>
      <c r="V71" s="9">
        <v>65</v>
      </c>
      <c r="W71" s="9">
        <f>[4]王者铸币!K69</f>
        <v>549472.60112500738</v>
      </c>
      <c r="X71" s="9">
        <f>[4]王者铸币!L69</f>
        <v>663918.2752958287</v>
      </c>
      <c r="Y71" s="9">
        <f>[4]王者铸币!M69</f>
        <v>624219.34016381053</v>
      </c>
      <c r="Z71" s="9">
        <f>[4]王者铸币!N69</f>
        <v>440177.89213168336</v>
      </c>
      <c r="AA71" s="9">
        <f>[4]王者铸币!O69</f>
        <v>0</v>
      </c>
      <c r="AB71" s="9">
        <f t="shared" si="8"/>
        <v>1.8315753370833578</v>
      </c>
      <c r="AC71" s="9">
        <f t="shared" si="9"/>
        <v>2.2130609176527622</v>
      </c>
      <c r="AD71" s="9">
        <f t="shared" si="10"/>
        <v>2.0807311338793686</v>
      </c>
      <c r="AE71" s="9">
        <f t="shared" si="11"/>
        <v>1.4672596404389446</v>
      </c>
      <c r="AF71" s="9">
        <f t="shared" si="12"/>
        <v>0</v>
      </c>
      <c r="AH71" s="83">
        <v>7</v>
      </c>
      <c r="AI71" s="60">
        <f>基础信息!D76</f>
        <v>39.5</v>
      </c>
      <c r="AJ71" s="61">
        <f>基础信息!E76</f>
        <v>49.848538197196007</v>
      </c>
      <c r="AK71" s="61">
        <f>基础信息!F76</f>
        <v>65.902718877121345</v>
      </c>
      <c r="AN71" s="83">
        <f t="shared" si="33"/>
        <v>1.7202066437569856</v>
      </c>
    </row>
    <row r="72" spans="10:40" x14ac:dyDescent="0.15">
      <c r="J72" s="83">
        <v>8</v>
      </c>
      <c r="K72" s="60">
        <f>基础信息!D77</f>
        <v>43.5</v>
      </c>
      <c r="L72" s="61">
        <f>基础信息!E77</f>
        <v>90.273217467309593</v>
      </c>
      <c r="M72" s="61">
        <f>基础信息!F77</f>
        <v>74.536451869422805</v>
      </c>
      <c r="N72" s="83">
        <f t="shared" si="28"/>
        <v>6</v>
      </c>
      <c r="O72" s="83">
        <f t="shared" si="29"/>
        <v>2</v>
      </c>
      <c r="P72" s="83">
        <f t="shared" si="30"/>
        <v>0</v>
      </c>
      <c r="Q72" s="83">
        <f t="shared" si="31"/>
        <v>0</v>
      </c>
      <c r="R72" s="83">
        <f t="shared" si="32"/>
        <v>0</v>
      </c>
      <c r="V72" s="9">
        <v>66</v>
      </c>
      <c r="W72" s="9">
        <f>[4]王者铸币!K70</f>
        <v>609454.10970321088</v>
      </c>
      <c r="X72" s="9">
        <f>[4]王者铸币!L70</f>
        <v>743375.21105606121</v>
      </c>
      <c r="Y72" s="9">
        <f>[4]王者铸币!M70</f>
        <v>710792.72372454137</v>
      </c>
      <c r="Z72" s="9">
        <f>[4]王者铸币!N70</f>
        <v>524239.61158679996</v>
      </c>
      <c r="AA72" s="9">
        <f>[4]王者铸币!O70</f>
        <v>0</v>
      </c>
      <c r="AB72" s="9">
        <f t="shared" ref="AB72:AB135" si="34">W72/$W$3</f>
        <v>2.031513699010703</v>
      </c>
      <c r="AC72" s="9">
        <f t="shared" ref="AC72:AC135" si="35">X72/$W$3</f>
        <v>2.4779173701868706</v>
      </c>
      <c r="AD72" s="9">
        <f t="shared" ref="AD72:AD135" si="36">Y72/$W$3</f>
        <v>2.3693090790818045</v>
      </c>
      <c r="AE72" s="9">
        <f t="shared" ref="AE72:AE135" si="37">Z72/$W$3</f>
        <v>1.7474653719559998</v>
      </c>
      <c r="AF72" s="9">
        <f t="shared" ref="AF72:AF135" si="38">AA72/$W$3</f>
        <v>0</v>
      </c>
      <c r="AH72" s="83">
        <v>8</v>
      </c>
      <c r="AI72" s="60">
        <f>基础信息!D77</f>
        <v>43.5</v>
      </c>
      <c r="AJ72" s="61">
        <f>基础信息!E77</f>
        <v>90.273217467309593</v>
      </c>
      <c r="AK72" s="61">
        <f>基础信息!F77</f>
        <v>74.536451869422805</v>
      </c>
      <c r="AN72" s="83">
        <f t="shared" si="33"/>
        <v>5.2236788471668341</v>
      </c>
    </row>
    <row r="73" spans="10:40" x14ac:dyDescent="0.15">
      <c r="J73" s="83">
        <v>9</v>
      </c>
      <c r="K73" s="60">
        <f>基础信息!D78</f>
        <v>47.5</v>
      </c>
      <c r="L73" s="61">
        <f>基础信息!E78</f>
        <v>163.13415930738643</v>
      </c>
      <c r="M73" s="61">
        <f>基础信息!F78</f>
        <v>83.136424497546074</v>
      </c>
      <c r="N73" s="83">
        <f t="shared" si="28"/>
        <v>6</v>
      </c>
      <c r="O73" s="83">
        <f t="shared" si="29"/>
        <v>3</v>
      </c>
      <c r="P73" s="83">
        <f t="shared" si="30"/>
        <v>0</v>
      </c>
      <c r="Q73" s="83">
        <f t="shared" si="31"/>
        <v>0</v>
      </c>
      <c r="R73" s="83">
        <f t="shared" si="32"/>
        <v>0</v>
      </c>
      <c r="V73" s="9">
        <v>67</v>
      </c>
      <c r="W73" s="9">
        <f>[4]王者铸币!K71</f>
        <v>673740.69884022267</v>
      </c>
      <c r="X73" s="9">
        <f>[4]王者铸币!L71</f>
        <v>828603.65331013931</v>
      </c>
      <c r="Y73" s="9">
        <f>[4]王者铸币!M71</f>
        <v>799474.45886894083</v>
      </c>
      <c r="Z73" s="9">
        <f>[4]王者铸币!N71</f>
        <v>614273.24781830562</v>
      </c>
      <c r="AA73" s="9">
        <f>[4]王者铸币!O71</f>
        <v>0</v>
      </c>
      <c r="AB73" s="9">
        <f t="shared" si="34"/>
        <v>2.2458023294674088</v>
      </c>
      <c r="AC73" s="9">
        <f t="shared" si="35"/>
        <v>2.7620121777004645</v>
      </c>
      <c r="AD73" s="9">
        <f t="shared" si="36"/>
        <v>2.6649148628964694</v>
      </c>
      <c r="AE73" s="9">
        <f t="shared" si="37"/>
        <v>2.0475774927276853</v>
      </c>
      <c r="AF73" s="9">
        <f t="shared" si="38"/>
        <v>0</v>
      </c>
      <c r="AH73" s="83">
        <v>9</v>
      </c>
      <c r="AI73" s="60">
        <f>基础信息!D78</f>
        <v>47.5</v>
      </c>
      <c r="AJ73" s="61">
        <f>基础信息!E78</f>
        <v>163.13415930738643</v>
      </c>
      <c r="AK73" s="61">
        <f>基础信息!F78</f>
        <v>83.136424497546074</v>
      </c>
      <c r="AN73" s="83">
        <f t="shared" si="33"/>
        <v>11.538293806640153</v>
      </c>
    </row>
    <row r="74" spans="10:40" x14ac:dyDescent="0.15">
      <c r="J74" s="83">
        <v>10</v>
      </c>
      <c r="K74" s="60">
        <f>基础信息!D79</f>
        <v>52</v>
      </c>
      <c r="L74" s="61">
        <f>基础信息!E79</f>
        <v>315.94120754775781</v>
      </c>
      <c r="M74" s="61">
        <f>基础信息!F79</f>
        <v>93.208444061349098</v>
      </c>
      <c r="N74" s="83">
        <f t="shared" si="28"/>
        <v>6</v>
      </c>
      <c r="O74" s="83">
        <f t="shared" si="29"/>
        <v>4</v>
      </c>
      <c r="P74" s="83">
        <f t="shared" si="30"/>
        <v>0</v>
      </c>
      <c r="Q74" s="83">
        <f t="shared" si="31"/>
        <v>0</v>
      </c>
      <c r="R74" s="83">
        <f t="shared" si="32"/>
        <v>0</v>
      </c>
      <c r="V74" s="9">
        <v>68</v>
      </c>
      <c r="W74" s="9">
        <f>[4]王者铸币!K72</f>
        <v>742641.35907424556</v>
      </c>
      <c r="X74" s="9">
        <f>[4]王者铸币!L72</f>
        <v>917253.12074778148</v>
      </c>
      <c r="Y74" s="9">
        <f>[4]王者铸币!M72</f>
        <v>891035.73408002104</v>
      </c>
      <c r="Z74" s="9">
        <f>[4]王者铸币!N72</f>
        <v>712732.86359027517</v>
      </c>
      <c r="AA74" s="9">
        <f>[4]王者铸币!O72</f>
        <v>116261.42312750054</v>
      </c>
      <c r="AB74" s="9">
        <f t="shared" si="34"/>
        <v>2.4754711969141519</v>
      </c>
      <c r="AC74" s="9">
        <f t="shared" si="35"/>
        <v>3.0575104024926048</v>
      </c>
      <c r="AD74" s="9">
        <f t="shared" si="36"/>
        <v>2.9701191136000702</v>
      </c>
      <c r="AE74" s="9">
        <f t="shared" si="37"/>
        <v>2.375776211967584</v>
      </c>
      <c r="AF74" s="9">
        <f t="shared" si="38"/>
        <v>0.38753807709166849</v>
      </c>
      <c r="AH74" s="83">
        <v>10</v>
      </c>
      <c r="AI74" s="60">
        <f>基础信息!D79</f>
        <v>52</v>
      </c>
      <c r="AJ74" s="61">
        <f>基础信息!E79</f>
        <v>315.94120754775781</v>
      </c>
      <c r="AK74" s="61">
        <f>基础信息!F79</f>
        <v>93.208444061349098</v>
      </c>
      <c r="AN74" s="83">
        <f t="shared" si="33"/>
        <v>24.842572245201762</v>
      </c>
    </row>
    <row r="75" spans="10:40" x14ac:dyDescent="0.15">
      <c r="J75" s="83">
        <v>11</v>
      </c>
      <c r="K75" s="60">
        <f>基础信息!D80</f>
        <v>57</v>
      </c>
      <c r="L75" s="61">
        <f>基础信息!E80</f>
        <v>659.12993710814465</v>
      </c>
      <c r="M75" s="61">
        <f>基础信息!F80</f>
        <v>103.87052361677672</v>
      </c>
      <c r="N75" s="83">
        <f t="shared" si="28"/>
        <v>6</v>
      </c>
      <c r="O75" s="83">
        <f t="shared" si="29"/>
        <v>5</v>
      </c>
      <c r="P75" s="83">
        <f t="shared" si="30"/>
        <v>0</v>
      </c>
      <c r="Q75" s="83">
        <f t="shared" si="31"/>
        <v>0</v>
      </c>
      <c r="R75" s="83">
        <f t="shared" si="32"/>
        <v>0</v>
      </c>
      <c r="V75" s="9">
        <v>69</v>
      </c>
      <c r="W75" s="9">
        <f>[4]王者铸币!K73</f>
        <v>816487.25826430134</v>
      </c>
      <c r="X75" s="9">
        <f>[4]王者铸币!L73</f>
        <v>1010326.4786100941</v>
      </c>
      <c r="Y75" s="9">
        <f>[4]王者铸币!M73</f>
        <v>995252.74750886194</v>
      </c>
      <c r="Z75" s="9">
        <f>[4]王者铸币!N73</f>
        <v>819917.92031560303</v>
      </c>
      <c r="AA75" s="9">
        <f>[4]王者铸币!O73</f>
        <v>253882.63882491412</v>
      </c>
      <c r="AB75" s="9">
        <f t="shared" si="34"/>
        <v>2.7216241942143378</v>
      </c>
      <c r="AC75" s="9">
        <f t="shared" si="35"/>
        <v>3.3677549287003137</v>
      </c>
      <c r="AD75" s="9">
        <f t="shared" si="36"/>
        <v>3.3175091583628733</v>
      </c>
      <c r="AE75" s="9">
        <f t="shared" si="37"/>
        <v>2.7330597343853436</v>
      </c>
      <c r="AF75" s="9">
        <f t="shared" si="38"/>
        <v>0.84627546274971377</v>
      </c>
      <c r="AH75" s="83">
        <v>11</v>
      </c>
      <c r="AI75" s="60">
        <f>基础信息!D80</f>
        <v>57</v>
      </c>
      <c r="AJ75" s="61">
        <f>基础信息!E80</f>
        <v>659.12993710814465</v>
      </c>
      <c r="AK75" s="61">
        <f>基础信息!F80</f>
        <v>103.87052361677672</v>
      </c>
      <c r="AN75" s="83">
        <f t="shared" si="33"/>
        <v>54.472540438886234</v>
      </c>
    </row>
    <row r="76" spans="10:40" x14ac:dyDescent="0.15">
      <c r="J76" s="83">
        <v>12</v>
      </c>
      <c r="K76" s="60">
        <f>基础信息!D81</f>
        <v>62</v>
      </c>
      <c r="L76" s="61">
        <f>基础信息!E81</f>
        <v>1372.540918241546</v>
      </c>
      <c r="M76" s="61">
        <f>基础信息!F81</f>
        <v>114.60606674176169</v>
      </c>
      <c r="N76" s="83">
        <f t="shared" si="28"/>
        <v>6</v>
      </c>
      <c r="O76" s="83">
        <f t="shared" si="29"/>
        <v>6</v>
      </c>
      <c r="P76" s="83">
        <f t="shared" si="30"/>
        <v>0</v>
      </c>
      <c r="Q76" s="83">
        <f t="shared" si="31"/>
        <v>0</v>
      </c>
      <c r="R76" s="83">
        <f t="shared" si="32"/>
        <v>0</v>
      </c>
      <c r="V76" s="9">
        <v>70</v>
      </c>
      <c r="W76" s="9">
        <f>[4]王者铸币!K74</f>
        <v>895633.33333333326</v>
      </c>
      <c r="X76" s="9">
        <f>[4]王者铸币!L74</f>
        <v>1114238.9133333333</v>
      </c>
      <c r="Y76" s="9">
        <f>[4]王者铸币!M74</f>
        <v>1109966.7</v>
      </c>
      <c r="Z76" s="9">
        <f>[4]王者铸币!N74</f>
        <v>934068.20000000007</v>
      </c>
      <c r="AA76" s="9">
        <f>[4]王者铸币!O74</f>
        <v>406454.16000000009</v>
      </c>
      <c r="AB76" s="9">
        <f t="shared" si="34"/>
        <v>2.9854444444444441</v>
      </c>
      <c r="AC76" s="9">
        <f t="shared" si="35"/>
        <v>3.7141297111111111</v>
      </c>
      <c r="AD76" s="9">
        <f t="shared" si="36"/>
        <v>3.6998889999999998</v>
      </c>
      <c r="AE76" s="9">
        <f t="shared" si="37"/>
        <v>3.1135606666666669</v>
      </c>
      <c r="AF76" s="9">
        <f t="shared" si="38"/>
        <v>1.3548472000000003</v>
      </c>
      <c r="AH76" s="83">
        <v>12</v>
      </c>
      <c r="AI76" s="60">
        <f>基础信息!D81</f>
        <v>62</v>
      </c>
      <c r="AJ76" s="61">
        <f>基础信息!E81</f>
        <v>1372.540918241546</v>
      </c>
      <c r="AK76" s="61">
        <f>基础信息!F81</f>
        <v>114.60606674176169</v>
      </c>
      <c r="AN76" s="83">
        <f t="shared" si="33"/>
        <v>116.35354624760065</v>
      </c>
    </row>
    <row r="77" spans="10:40" x14ac:dyDescent="0.15">
      <c r="J77" s="83">
        <v>13</v>
      </c>
      <c r="K77" s="60">
        <f>基础信息!D82</f>
        <v>67</v>
      </c>
      <c r="L77" s="61">
        <f>基础信息!E82</f>
        <v>2853.4199245336076</v>
      </c>
      <c r="M77" s="61">
        <f>基础信息!F82</f>
        <v>125.19410714767859</v>
      </c>
      <c r="N77" s="83">
        <f t="shared" si="28"/>
        <v>6</v>
      </c>
      <c r="O77" s="83">
        <f t="shared" si="29"/>
        <v>6</v>
      </c>
      <c r="P77" s="83">
        <f t="shared" si="30"/>
        <v>1</v>
      </c>
      <c r="Q77" s="83">
        <f t="shared" si="31"/>
        <v>0</v>
      </c>
      <c r="R77" s="83">
        <f t="shared" si="32"/>
        <v>0</v>
      </c>
      <c r="V77" s="9">
        <v>71</v>
      </c>
      <c r="W77" s="9">
        <f>[4]王者铸币!K75</f>
        <v>980459.99625622691</v>
      </c>
      <c r="X77" s="9">
        <f>[4]王者铸币!L75</f>
        <v>1226596.9744393632</v>
      </c>
      <c r="Y77" s="9">
        <f>[4]王者铸币!M75</f>
        <v>1229581.2586898319</v>
      </c>
      <c r="Z77" s="9">
        <f>[4]王者铸币!N75</f>
        <v>1055936.9902018257</v>
      </c>
      <c r="AA77" s="9">
        <f>[4]王者铸币!O75</f>
        <v>570712.09382743866</v>
      </c>
      <c r="AB77" s="9">
        <f t="shared" si="34"/>
        <v>3.2681999875207564</v>
      </c>
      <c r="AC77" s="9">
        <f t="shared" si="35"/>
        <v>4.0886565814645444</v>
      </c>
      <c r="AD77" s="9">
        <f t="shared" si="36"/>
        <v>4.098604195632773</v>
      </c>
      <c r="AE77" s="9">
        <f t="shared" si="37"/>
        <v>3.5197899673394191</v>
      </c>
      <c r="AF77" s="9">
        <f t="shared" si="38"/>
        <v>1.9023736460914622</v>
      </c>
      <c r="AH77" s="83">
        <v>13</v>
      </c>
      <c r="AI77" s="60">
        <f>基础信息!D82</f>
        <v>67</v>
      </c>
      <c r="AJ77" s="61">
        <f>基础信息!E82</f>
        <v>2853.4199245336076</v>
      </c>
      <c r="AK77" s="61">
        <f>基础信息!F82</f>
        <v>125.19410714767859</v>
      </c>
      <c r="AN77" s="83">
        <f t="shared" si="33"/>
        <v>244.69639345957921</v>
      </c>
    </row>
    <row r="78" spans="10:40" x14ac:dyDescent="0.15">
      <c r="J78" s="83">
        <v>14</v>
      </c>
      <c r="K78" s="60">
        <f>基础信息!D83</f>
        <v>72</v>
      </c>
      <c r="L78" s="61">
        <f>基础信息!E83</f>
        <v>5923.2820251682469</v>
      </c>
      <c r="M78" s="61">
        <f>基础信息!F83</f>
        <v>135.89542876835631</v>
      </c>
      <c r="N78" s="83">
        <f t="shared" si="28"/>
        <v>6</v>
      </c>
      <c r="O78" s="83">
        <f t="shared" si="29"/>
        <v>6</v>
      </c>
      <c r="P78" s="83">
        <f t="shared" si="30"/>
        <v>2</v>
      </c>
      <c r="Q78" s="83">
        <f t="shared" si="31"/>
        <v>0</v>
      </c>
      <c r="R78" s="83">
        <f t="shared" si="32"/>
        <v>0</v>
      </c>
      <c r="V78" s="9">
        <v>72</v>
      </c>
      <c r="W78" s="9">
        <f>[4]王者铸币!K76</f>
        <v>1071374.9624924955</v>
      </c>
      <c r="X78" s="9">
        <f>[4]王者铸币!L76</f>
        <v>1345705.6047299313</v>
      </c>
      <c r="Y78" s="9">
        <f>[4]王者铸币!M76</f>
        <v>1353950.5719268811</v>
      </c>
      <c r="Z78" s="9">
        <f>[4]王者铸币!N76</f>
        <v>1185258.9417226359</v>
      </c>
      <c r="AA78" s="9">
        <f>[4]王者铸币!O76</f>
        <v>743957.78037020133</v>
      </c>
      <c r="AB78" s="9">
        <f t="shared" si="34"/>
        <v>3.5712498749749853</v>
      </c>
      <c r="AC78" s="9">
        <f t="shared" si="35"/>
        <v>4.4856853490997715</v>
      </c>
      <c r="AD78" s="9">
        <f t="shared" si="36"/>
        <v>4.5131685730896036</v>
      </c>
      <c r="AE78" s="9">
        <f t="shared" si="37"/>
        <v>3.9508631390754529</v>
      </c>
      <c r="AF78" s="9">
        <f t="shared" si="38"/>
        <v>2.4798592679006712</v>
      </c>
      <c r="AH78" s="83">
        <v>14</v>
      </c>
      <c r="AI78" s="60">
        <f>基础信息!D83</f>
        <v>72</v>
      </c>
      <c r="AJ78" s="61">
        <f>基础信息!E83</f>
        <v>5923.2820251682469</v>
      </c>
      <c r="AK78" s="61">
        <f>基础信息!F83</f>
        <v>135.89542876835631</v>
      </c>
      <c r="AN78" s="83">
        <f t="shared" si="33"/>
        <v>510.75110884791496</v>
      </c>
    </row>
    <row r="79" spans="10:40" x14ac:dyDescent="0.15">
      <c r="J79" s="83">
        <v>15</v>
      </c>
      <c r="K79" s="60">
        <f>基础信息!D84</f>
        <v>77</v>
      </c>
      <c r="L79" s="61">
        <f>基础信息!E84</f>
        <v>12279.204402538555</v>
      </c>
      <c r="M79" s="61">
        <f>基础信息!F84</f>
        <v>146.55064673623977</v>
      </c>
      <c r="N79" s="83">
        <f t="shared" si="28"/>
        <v>6</v>
      </c>
      <c r="O79" s="83">
        <f t="shared" si="29"/>
        <v>6</v>
      </c>
      <c r="P79" s="83">
        <f t="shared" si="30"/>
        <v>3</v>
      </c>
      <c r="Q79" s="83">
        <f t="shared" si="31"/>
        <v>0</v>
      </c>
      <c r="R79" s="83">
        <f t="shared" si="32"/>
        <v>0</v>
      </c>
      <c r="V79" s="9">
        <v>73</v>
      </c>
      <c r="W79" s="9">
        <f>[4]王者铸币!K77</f>
        <v>1168815.2106519116</v>
      </c>
      <c r="X79" s="9">
        <f>[4]王者铸币!L77</f>
        <v>1468796.1572700401</v>
      </c>
      <c r="Y79" s="9">
        <f>[4]王者铸币!M77</f>
        <v>1488069.4035247599</v>
      </c>
      <c r="Z79" s="9">
        <f>[4]王者铸币!N77</f>
        <v>1324835.5301353426</v>
      </c>
      <c r="AA79" s="9">
        <f>[4]王者铸币!O77</f>
        <v>930351.33380304626</v>
      </c>
      <c r="AB79" s="9">
        <f t="shared" si="34"/>
        <v>3.8960507021730386</v>
      </c>
      <c r="AC79" s="9">
        <f t="shared" si="35"/>
        <v>4.8959871909001338</v>
      </c>
      <c r="AD79" s="9">
        <f t="shared" si="36"/>
        <v>4.9602313450825335</v>
      </c>
      <c r="AE79" s="9">
        <f t="shared" si="37"/>
        <v>4.416118433784475</v>
      </c>
      <c r="AF79" s="9">
        <f t="shared" si="38"/>
        <v>3.1011711126768207</v>
      </c>
      <c r="AH79" s="83">
        <v>15</v>
      </c>
      <c r="AI79" s="60">
        <f>基础信息!D84</f>
        <v>77</v>
      </c>
      <c r="AJ79" s="61">
        <f>基础信息!E84</f>
        <v>12279.204402538555</v>
      </c>
      <c r="AK79" s="61">
        <f>基础信息!F84</f>
        <v>146.55064673623977</v>
      </c>
      <c r="AN79" s="83">
        <f t="shared" si="33"/>
        <v>1061.5977148866757</v>
      </c>
    </row>
    <row r="80" spans="10:40" x14ac:dyDescent="0.15">
      <c r="J80" s="83">
        <v>16</v>
      </c>
      <c r="K80" s="60">
        <f>基础信息!D85</f>
        <v>80</v>
      </c>
      <c r="L80" s="61">
        <f>基础信息!E85</f>
        <v>19005.150000000001</v>
      </c>
      <c r="M80" s="61">
        <f>基础信息!F85</f>
        <v>152.12605579164665</v>
      </c>
      <c r="N80" s="83">
        <f t="shared" si="28"/>
        <v>6</v>
      </c>
      <c r="O80" s="83">
        <f t="shared" si="29"/>
        <v>6</v>
      </c>
      <c r="P80" s="83">
        <f t="shared" si="30"/>
        <v>4</v>
      </c>
      <c r="Q80" s="83">
        <f t="shared" si="31"/>
        <v>0</v>
      </c>
      <c r="R80" s="83">
        <f t="shared" si="32"/>
        <v>0</v>
      </c>
      <c r="V80" s="9">
        <v>74</v>
      </c>
      <c r="W80" s="9">
        <f>[4]王者铸币!K78</f>
        <v>1273249.0828121244</v>
      </c>
      <c r="X80" s="9">
        <f>[4]王者铸币!L78</f>
        <v>1604615.0152553564</v>
      </c>
      <c r="Y80" s="9">
        <f>[4]王者铸币!M78</f>
        <v>1638052.2030963439</v>
      </c>
      <c r="Z80" s="9">
        <f>[4]王者铸币!N78</f>
        <v>1478617.7720168035</v>
      </c>
      <c r="AA80" s="9">
        <f>[4]王者铸币!O78</f>
        <v>1136208.9619029092</v>
      </c>
      <c r="AB80" s="9">
        <f t="shared" si="34"/>
        <v>4.2441636093737483</v>
      </c>
      <c r="AC80" s="9">
        <f t="shared" si="35"/>
        <v>5.3487167175178545</v>
      </c>
      <c r="AD80" s="9">
        <f t="shared" si="36"/>
        <v>5.460174010321146</v>
      </c>
      <c r="AE80" s="9">
        <f t="shared" si="37"/>
        <v>4.9287259067226783</v>
      </c>
      <c r="AF80" s="9">
        <f t="shared" si="38"/>
        <v>3.7873632063430307</v>
      </c>
      <c r="AH80" s="83">
        <v>16</v>
      </c>
      <c r="AI80" s="60">
        <f>基础信息!D85</f>
        <v>80</v>
      </c>
      <c r="AJ80" s="61">
        <f>基础信息!E85</f>
        <v>19005.150000000001</v>
      </c>
      <c r="AK80" s="61">
        <f>基础信息!F85</f>
        <v>152.12605579164665</v>
      </c>
      <c r="AN80" s="83">
        <f t="shared" si="33"/>
        <v>1644.5130000000058</v>
      </c>
    </row>
    <row r="81" spans="10:42" x14ac:dyDescent="0.15">
      <c r="V81" s="9">
        <v>75</v>
      </c>
      <c r="W81" s="9">
        <f>[4]王者铸币!K79</f>
        <v>1385178.5355833482</v>
      </c>
      <c r="X81" s="9">
        <f>[4]王者铸币!L79</f>
        <v>1752154.6976044979</v>
      </c>
      <c r="Y81" s="9">
        <f>[4]王者铸币!M79</f>
        <v>1798315.0635575543</v>
      </c>
      <c r="Z81" s="9">
        <f>[4]王者铸币!N79</f>
        <v>1643564.3164821123</v>
      </c>
      <c r="AA81" s="9">
        <f>[4]王者铸币!O79</f>
        <v>1360447.628761295</v>
      </c>
      <c r="AB81" s="9">
        <f t="shared" si="34"/>
        <v>4.6172617852778277</v>
      </c>
      <c r="AC81" s="9">
        <f t="shared" si="35"/>
        <v>5.8405156586816593</v>
      </c>
      <c r="AD81" s="9">
        <f t="shared" si="36"/>
        <v>5.9943835451918472</v>
      </c>
      <c r="AE81" s="9">
        <f t="shared" si="37"/>
        <v>5.4785477216070406</v>
      </c>
      <c r="AF81" s="9">
        <f t="shared" si="38"/>
        <v>4.5348254292043171</v>
      </c>
      <c r="AJ81" s="83"/>
      <c r="AK81" s="83"/>
    </row>
    <row r="82" spans="10:42" x14ac:dyDescent="0.15">
      <c r="V82" s="9">
        <v>76</v>
      </c>
      <c r="W82" s="9">
        <f>[4]王者铸币!K80</f>
        <v>1505141.5527397555</v>
      </c>
      <c r="X82" s="9">
        <f>[4]王者铸币!L80</f>
        <v>1908510.5225307504</v>
      </c>
      <c r="Y82" s="9">
        <f>[4]王者铸币!M80</f>
        <v>1967017.4405056583</v>
      </c>
      <c r="Z82" s="9">
        <f>[4]王者铸币!N80</f>
        <v>1820987.3432935446</v>
      </c>
      <c r="AA82" s="9">
        <f>[4]王者铸币!O80</f>
        <v>1604891.7482593241</v>
      </c>
      <c r="AB82" s="9">
        <f t="shared" si="34"/>
        <v>5.0171385091325185</v>
      </c>
      <c r="AC82" s="9">
        <f t="shared" si="35"/>
        <v>6.3617017417691679</v>
      </c>
      <c r="AD82" s="9">
        <f t="shared" si="36"/>
        <v>6.5567248016855277</v>
      </c>
      <c r="AE82" s="9">
        <f t="shared" si="37"/>
        <v>6.0699578109784822</v>
      </c>
      <c r="AF82" s="9">
        <f t="shared" si="38"/>
        <v>5.349639160864414</v>
      </c>
    </row>
    <row r="83" spans="10:42" x14ac:dyDescent="0.15">
      <c r="J83" s="83" t="s">
        <v>4</v>
      </c>
      <c r="N83" s="127" t="s">
        <v>124</v>
      </c>
      <c r="O83" s="127"/>
      <c r="P83" s="127"/>
      <c r="Q83" s="127"/>
      <c r="R83" s="127"/>
      <c r="V83" s="9">
        <v>77</v>
      </c>
      <c r="W83" s="9">
        <f>[4]王者铸币!K81</f>
        <v>1633714.7310137791</v>
      </c>
      <c r="X83" s="9">
        <f>[4]王者铸币!L81</f>
        <v>2077799.0344663907</v>
      </c>
      <c r="Y83" s="9">
        <f>[4]王者铸币!M81</f>
        <v>2151954.2020617132</v>
      </c>
      <c r="Z83" s="9">
        <f>[4]王者铸币!N81</f>
        <v>2012940.6973213609</v>
      </c>
      <c r="AA83" s="9">
        <f>[4]王者铸币!O81</f>
        <v>1846963.5030301732</v>
      </c>
      <c r="AB83" s="9">
        <f t="shared" si="34"/>
        <v>5.44571577004593</v>
      </c>
      <c r="AC83" s="9">
        <f t="shared" si="35"/>
        <v>6.9259967815546357</v>
      </c>
      <c r="AD83" s="9">
        <f t="shared" si="36"/>
        <v>7.1731806735390444</v>
      </c>
      <c r="AE83" s="9">
        <f t="shared" si="37"/>
        <v>6.7098023244045368</v>
      </c>
      <c r="AF83" s="9">
        <f t="shared" si="38"/>
        <v>6.1565450101005776</v>
      </c>
      <c r="AH83" s="83" t="s">
        <v>4</v>
      </c>
      <c r="AL83" s="127" t="s">
        <v>197</v>
      </c>
      <c r="AM83" s="127"/>
      <c r="AN83" s="127"/>
      <c r="AO83" s="127"/>
      <c r="AP83" s="127"/>
    </row>
    <row r="84" spans="10:42" x14ac:dyDescent="0.15">
      <c r="J84" s="83" t="s">
        <v>21</v>
      </c>
      <c r="K84" s="83" t="s">
        <v>121</v>
      </c>
      <c r="L84" s="81" t="s">
        <v>122</v>
      </c>
      <c r="M84" s="81" t="s">
        <v>103</v>
      </c>
      <c r="N84" s="83" t="s">
        <v>8</v>
      </c>
      <c r="O84" s="83" t="s">
        <v>9</v>
      </c>
      <c r="P84" s="83" t="s">
        <v>10</v>
      </c>
      <c r="Q84" s="83" t="s">
        <v>11</v>
      </c>
      <c r="R84" s="83" t="s">
        <v>12</v>
      </c>
      <c r="V84" s="9">
        <v>78</v>
      </c>
      <c r="W84" s="9">
        <f>[4]王者铸币!K82</f>
        <v>1771516.0514818248</v>
      </c>
      <c r="X84" s="9">
        <f>[4]王者铸币!L82</f>
        <v>2257796.8106859033</v>
      </c>
      <c r="Y84" s="9">
        <f>[4]王者铸币!M82</f>
        <v>2349566.6513703386</v>
      </c>
      <c r="Z84" s="9">
        <f>[4]王者铸币!N82</f>
        <v>2214368.4195411112</v>
      </c>
      <c r="AA84" s="9">
        <f>[4]王者铸币!O82</f>
        <v>2104365.7859175964</v>
      </c>
      <c r="AB84" s="9">
        <f t="shared" si="34"/>
        <v>5.9050535049394162</v>
      </c>
      <c r="AC84" s="9">
        <f t="shared" si="35"/>
        <v>7.5259893689530113</v>
      </c>
      <c r="AD84" s="9">
        <f t="shared" si="36"/>
        <v>7.8318888379011291</v>
      </c>
      <c r="AE84" s="9">
        <f t="shared" si="37"/>
        <v>7.3812280651370372</v>
      </c>
      <c r="AF84" s="9">
        <f t="shared" si="38"/>
        <v>7.0145526197253218</v>
      </c>
      <c r="AH84" s="83" t="s">
        <v>21</v>
      </c>
      <c r="AI84" s="83" t="s">
        <v>121</v>
      </c>
      <c r="AJ84" s="81" t="s">
        <v>122</v>
      </c>
      <c r="AK84" s="81" t="s">
        <v>103</v>
      </c>
      <c r="AL84" s="83" t="s">
        <v>8</v>
      </c>
      <c r="AM84" s="83" t="s">
        <v>9</v>
      </c>
      <c r="AN84" s="83" t="s">
        <v>10</v>
      </c>
      <c r="AO84" s="83" t="s">
        <v>11</v>
      </c>
      <c r="AP84" s="83" t="s">
        <v>12</v>
      </c>
    </row>
    <row r="85" spans="10:42" x14ac:dyDescent="0.15">
      <c r="J85" s="83">
        <v>1</v>
      </c>
      <c r="K85" s="60">
        <f>基础信息!D90</f>
        <v>16</v>
      </c>
      <c r="L85" s="61">
        <f>基础信息!E90</f>
        <v>0.50775438407852935</v>
      </c>
      <c r="M85" s="61">
        <f>基础信息!F90</f>
        <v>14.671687356650759</v>
      </c>
      <c r="N85" s="83">
        <f>C5</f>
        <v>1</v>
      </c>
      <c r="O85" s="83">
        <f t="shared" ref="O85:R85" si="39">D5</f>
        <v>0</v>
      </c>
      <c r="P85" s="83">
        <f t="shared" si="39"/>
        <v>0</v>
      </c>
      <c r="Q85" s="83">
        <f t="shared" si="39"/>
        <v>0</v>
      </c>
      <c r="R85" s="83">
        <f t="shared" si="39"/>
        <v>0</v>
      </c>
      <c r="V85" s="9">
        <v>79</v>
      </c>
      <c r="W85" s="9">
        <f>[4]王者铸币!K83</f>
        <v>1919207.8498619362</v>
      </c>
      <c r="X85" s="9">
        <f>[4]王者铸币!L83</f>
        <v>2453364.9570697444</v>
      </c>
      <c r="Y85" s="9">
        <f>[4]王者铸币!M83</f>
        <v>2561979.6973841144</v>
      </c>
      <c r="Z85" s="9">
        <f>[4]王者铸币!N83</f>
        <v>2420976.9054478682</v>
      </c>
      <c r="AA85" s="9">
        <f>[4]王者铸币!O83</f>
        <v>2383901.1166211548</v>
      </c>
      <c r="AB85" s="9">
        <f t="shared" si="34"/>
        <v>6.3973594995397871</v>
      </c>
      <c r="AC85" s="9">
        <f t="shared" si="35"/>
        <v>8.1778831902324818</v>
      </c>
      <c r="AD85" s="9">
        <f t="shared" si="36"/>
        <v>8.539932324613714</v>
      </c>
      <c r="AE85" s="9">
        <f t="shared" si="37"/>
        <v>8.0699230181595603</v>
      </c>
      <c r="AF85" s="9">
        <f t="shared" si="38"/>
        <v>7.9463370554038493</v>
      </c>
      <c r="AH85" s="83">
        <v>1</v>
      </c>
      <c r="AI85" s="60">
        <f>基础信息!D90</f>
        <v>16</v>
      </c>
      <c r="AJ85" s="61">
        <f>基础信息!E90</f>
        <v>0.50775438407852935</v>
      </c>
      <c r="AK85" s="61">
        <f>基础信息!F90</f>
        <v>14.671687356650759</v>
      </c>
      <c r="AN85" s="83">
        <f>求节点($V$7:$V$166,$AF$7:$AF$166,AK85)</f>
        <v>0</v>
      </c>
    </row>
    <row r="86" spans="10:42" x14ac:dyDescent="0.15">
      <c r="J86" s="83">
        <v>2</v>
      </c>
      <c r="K86" s="60">
        <f>基础信息!D91</f>
        <v>19.5</v>
      </c>
      <c r="L86" s="61">
        <f>基础信息!E91</f>
        <v>0.96457950643309154</v>
      </c>
      <c r="M86" s="61">
        <f>基础信息!F91</f>
        <v>20.922787117743994</v>
      </c>
      <c r="N86" s="83">
        <f t="shared" ref="N86:N100" si="40">C6</f>
        <v>2</v>
      </c>
      <c r="O86" s="83">
        <f t="shared" ref="O86:O100" si="41">D6</f>
        <v>0</v>
      </c>
      <c r="P86" s="83">
        <f t="shared" ref="P86:P100" si="42">E6</f>
        <v>0</v>
      </c>
      <c r="Q86" s="83">
        <f t="shared" ref="Q86:Q100" si="43">F6</f>
        <v>0</v>
      </c>
      <c r="R86" s="83">
        <f t="shared" ref="R86:R100" si="44">G6</f>
        <v>0</v>
      </c>
      <c r="V86" s="9">
        <v>80</v>
      </c>
      <c r="W86" s="9">
        <f>[4]王者铸币!K84</f>
        <v>2077500</v>
      </c>
      <c r="X86" s="9">
        <f>[4]王者铸币!L84</f>
        <v>2662451</v>
      </c>
      <c r="Y86" s="9">
        <f>[4]王者铸币!M84</f>
        <v>2776204.8</v>
      </c>
      <c r="Z86" s="9">
        <f>[4]王者铸币!N84</f>
        <v>2641080.0000000005</v>
      </c>
      <c r="AA86" s="9">
        <f>[4]王者铸币!O84</f>
        <v>2674988.4</v>
      </c>
      <c r="AB86" s="9">
        <f t="shared" si="34"/>
        <v>6.9249999999999998</v>
      </c>
      <c r="AC86" s="9">
        <f t="shared" si="35"/>
        <v>8.8748366666666669</v>
      </c>
      <c r="AD86" s="9">
        <f t="shared" si="36"/>
        <v>9.254016</v>
      </c>
      <c r="AE86" s="9">
        <f t="shared" si="37"/>
        <v>8.8036000000000012</v>
      </c>
      <c r="AF86" s="9">
        <f t="shared" si="38"/>
        <v>8.9166279999999993</v>
      </c>
      <c r="AH86" s="83">
        <v>2</v>
      </c>
      <c r="AI86" s="60">
        <f>基础信息!D91</f>
        <v>19.5</v>
      </c>
      <c r="AJ86" s="61">
        <f>基础信息!E91</f>
        <v>0.96457950643309154</v>
      </c>
      <c r="AK86" s="61">
        <f>基础信息!F91</f>
        <v>20.922787117743994</v>
      </c>
      <c r="AN86" s="83">
        <f t="shared" ref="AN86:AN100" si="45">求节点($V$7:$V$166,$AF$7:$AF$166,AK86)</f>
        <v>0</v>
      </c>
    </row>
    <row r="87" spans="10:42" x14ac:dyDescent="0.15">
      <c r="J87" s="83">
        <v>3</v>
      </c>
      <c r="K87" s="60">
        <f>基础信息!D92</f>
        <v>23.5</v>
      </c>
      <c r="L87" s="61">
        <f>基础信息!E92</f>
        <v>1.9310027754318846</v>
      </c>
      <c r="M87" s="61">
        <f>基础信息!F92</f>
        <v>28.96506192552858</v>
      </c>
      <c r="N87" s="83">
        <f t="shared" si="40"/>
        <v>3</v>
      </c>
      <c r="O87" s="83">
        <f t="shared" si="41"/>
        <v>0</v>
      </c>
      <c r="P87" s="83">
        <f t="shared" si="42"/>
        <v>0</v>
      </c>
      <c r="Q87" s="83">
        <f t="shared" si="43"/>
        <v>0</v>
      </c>
      <c r="R87" s="83">
        <f t="shared" si="44"/>
        <v>0</v>
      </c>
      <c r="V87" s="9">
        <v>81</v>
      </c>
      <c r="W87" s="9">
        <f>[4]王者铸币!K85</f>
        <v>2247153.3258457868</v>
      </c>
      <c r="X87" s="9">
        <f>[4]王者铸币!L85</f>
        <v>2875271.0454511913</v>
      </c>
      <c r="Y87" s="9">
        <f>[4]王者铸币!M85</f>
        <v>3004046.528112221</v>
      </c>
      <c r="Z87" s="9">
        <f>[4]王者铸币!N85</f>
        <v>2879767.1734037423</v>
      </c>
      <c r="AA87" s="9">
        <f>[4]王者铸币!O85</f>
        <v>2992652.5446528913</v>
      </c>
      <c r="AB87" s="9">
        <f t="shared" si="34"/>
        <v>7.4905110861526225</v>
      </c>
      <c r="AC87" s="9">
        <f t="shared" si="35"/>
        <v>9.5842368181706377</v>
      </c>
      <c r="AD87" s="9">
        <f t="shared" si="36"/>
        <v>10.013488427040738</v>
      </c>
      <c r="AE87" s="9">
        <f t="shared" si="37"/>
        <v>9.599223911345808</v>
      </c>
      <c r="AF87" s="9">
        <f t="shared" si="38"/>
        <v>9.9755084821763038</v>
      </c>
      <c r="AH87" s="83">
        <v>3</v>
      </c>
      <c r="AI87" s="60">
        <f>基础信息!D92</f>
        <v>23.5</v>
      </c>
      <c r="AJ87" s="61">
        <f>基础信息!E92</f>
        <v>1.9310027754318846</v>
      </c>
      <c r="AK87" s="61">
        <f>基础信息!F92</f>
        <v>28.96506192552858</v>
      </c>
      <c r="AN87" s="83">
        <f t="shared" si="45"/>
        <v>0</v>
      </c>
    </row>
    <row r="88" spans="10:42" x14ac:dyDescent="0.15">
      <c r="J88" s="83">
        <v>4</v>
      </c>
      <c r="K88" s="60">
        <f>基础信息!D93</f>
        <v>27.5</v>
      </c>
      <c r="L88" s="61">
        <f>基础信息!E93</f>
        <v>3.7740446275970769</v>
      </c>
      <c r="M88" s="61">
        <f>基础信息!F93</f>
        <v>37.642488096871389</v>
      </c>
      <c r="N88" s="83">
        <f t="shared" si="40"/>
        <v>4</v>
      </c>
      <c r="O88" s="83">
        <f t="shared" si="41"/>
        <v>0</v>
      </c>
      <c r="P88" s="83">
        <f t="shared" si="42"/>
        <v>0</v>
      </c>
      <c r="Q88" s="83">
        <f t="shared" si="43"/>
        <v>0</v>
      </c>
      <c r="R88" s="83">
        <f t="shared" si="44"/>
        <v>0</v>
      </c>
      <c r="V88" s="9">
        <v>82</v>
      </c>
      <c r="W88" s="9">
        <f>[4]王者铸币!K86</f>
        <v>2428983.2583183227</v>
      </c>
      <c r="X88" s="9">
        <f>[4]王者铸币!L86</f>
        <v>3109238.4314360409</v>
      </c>
      <c r="Y88" s="9">
        <f>[4]王者铸币!M86</f>
        <v>3257106.8210155247</v>
      </c>
      <c r="Z88" s="9">
        <f>[4]王者铸币!N86</f>
        <v>3141116.2746926872</v>
      </c>
      <c r="AA88" s="9">
        <f>[4]王者铸币!O86</f>
        <v>3328709.6906132447</v>
      </c>
      <c r="AB88" s="9">
        <f t="shared" si="34"/>
        <v>8.096610861061075</v>
      </c>
      <c r="AC88" s="9">
        <f t="shared" si="35"/>
        <v>10.364128104786802</v>
      </c>
      <c r="AD88" s="9">
        <f t="shared" si="36"/>
        <v>10.857022736718415</v>
      </c>
      <c r="AE88" s="9">
        <f t="shared" si="37"/>
        <v>10.470387582308957</v>
      </c>
      <c r="AF88" s="9">
        <f t="shared" si="38"/>
        <v>11.095698968710815</v>
      </c>
      <c r="AH88" s="83">
        <v>4</v>
      </c>
      <c r="AI88" s="60">
        <f>基础信息!D93</f>
        <v>27.5</v>
      </c>
      <c r="AJ88" s="61">
        <f>基础信息!E93</f>
        <v>3.7740446275970769</v>
      </c>
      <c r="AK88" s="61">
        <f>基础信息!F93</f>
        <v>37.642488096871389</v>
      </c>
      <c r="AN88" s="83">
        <f t="shared" si="45"/>
        <v>0</v>
      </c>
    </row>
    <row r="89" spans="10:42" x14ac:dyDescent="0.15">
      <c r="J89" s="83">
        <v>5</v>
      </c>
      <c r="K89" s="60">
        <f>基础信息!D94</f>
        <v>31.5</v>
      </c>
      <c r="L89" s="61">
        <f>基础信息!E94</f>
        <v>7.2578477527161347</v>
      </c>
      <c r="M89" s="61">
        <f>基础信息!F94</f>
        <v>46.621425173369133</v>
      </c>
      <c r="N89" s="83">
        <f t="shared" si="40"/>
        <v>5</v>
      </c>
      <c r="O89" s="83">
        <f t="shared" si="41"/>
        <v>0</v>
      </c>
      <c r="P89" s="83">
        <f t="shared" si="42"/>
        <v>0</v>
      </c>
      <c r="Q89" s="83">
        <f t="shared" si="43"/>
        <v>0</v>
      </c>
      <c r="R89" s="83">
        <f t="shared" si="44"/>
        <v>0</v>
      </c>
      <c r="V89" s="9">
        <v>83</v>
      </c>
      <c r="W89" s="9">
        <f>[4]王者铸币!K87</f>
        <v>2623863.7546371585</v>
      </c>
      <c r="X89" s="9">
        <f>[4]王者铸币!L87</f>
        <v>3365453.1228503631</v>
      </c>
      <c r="Y89" s="9">
        <f>[4]王者铸币!M87</f>
        <v>3537378.2395402496</v>
      </c>
      <c r="Z89" s="9">
        <f>[4]王者铸币!N87</f>
        <v>3421058.1177895833</v>
      </c>
      <c r="AA89" s="9">
        <f>[4]王者铸币!O87</f>
        <v>3701579.7567156474</v>
      </c>
      <c r="AB89" s="9">
        <f t="shared" si="34"/>
        <v>8.746212515457195</v>
      </c>
      <c r="AC89" s="9">
        <f t="shared" si="35"/>
        <v>11.218177076167876</v>
      </c>
      <c r="AD89" s="9">
        <f t="shared" si="36"/>
        <v>11.791260798467498</v>
      </c>
      <c r="AE89" s="9">
        <f t="shared" si="37"/>
        <v>11.403527059298611</v>
      </c>
      <c r="AF89" s="9">
        <f t="shared" si="38"/>
        <v>12.338599189052157</v>
      </c>
      <c r="AH89" s="83">
        <v>5</v>
      </c>
      <c r="AI89" s="60">
        <f>基础信息!D94</f>
        <v>31.5</v>
      </c>
      <c r="AJ89" s="61">
        <f>基础信息!E94</f>
        <v>7.2578477527161347</v>
      </c>
      <c r="AK89" s="61">
        <f>基础信息!F94</f>
        <v>46.621425173369133</v>
      </c>
      <c r="AN89" s="83">
        <f t="shared" si="45"/>
        <v>0</v>
      </c>
    </row>
    <row r="90" spans="10:42" x14ac:dyDescent="0.15">
      <c r="J90" s="83">
        <v>6</v>
      </c>
      <c r="K90" s="60">
        <f>基础信息!D95</f>
        <v>35.5</v>
      </c>
      <c r="L90" s="61">
        <f>基础信息!E95</f>
        <v>13.724686166700833</v>
      </c>
      <c r="M90" s="61">
        <f>基础信息!F95</f>
        <v>55.873561913262044</v>
      </c>
      <c r="N90" s="83">
        <f t="shared" si="40"/>
        <v>6</v>
      </c>
      <c r="O90" s="83">
        <f t="shared" si="41"/>
        <v>0</v>
      </c>
      <c r="P90" s="83">
        <f t="shared" si="42"/>
        <v>0</v>
      </c>
      <c r="Q90" s="83">
        <f t="shared" si="43"/>
        <v>0</v>
      </c>
      <c r="R90" s="83">
        <f t="shared" si="44"/>
        <v>0</v>
      </c>
      <c r="V90" s="9">
        <v>84</v>
      </c>
      <c r="W90" s="9">
        <f>[4]王者铸币!K88</f>
        <v>2832731.4989575823</v>
      </c>
      <c r="X90" s="9">
        <f>[4]王者铸币!L88</f>
        <v>3640215.3231941517</v>
      </c>
      <c r="Y90" s="9">
        <f>[4]王者铸币!M88</f>
        <v>3827611.6820312329</v>
      </c>
      <c r="Z90" s="9">
        <f>[4]王者铸币!N88</f>
        <v>3717412.6943480098</v>
      </c>
      <c r="AA90" s="9">
        <f>[4]王者铸币!O88</f>
        <v>4105282.263323524</v>
      </c>
      <c r="AB90" s="9">
        <f t="shared" si="34"/>
        <v>9.4424383298586072</v>
      </c>
      <c r="AC90" s="9">
        <f t="shared" si="35"/>
        <v>12.134051077313838</v>
      </c>
      <c r="AD90" s="9">
        <f t="shared" si="36"/>
        <v>12.758705606770777</v>
      </c>
      <c r="AE90" s="9">
        <f t="shared" si="37"/>
        <v>12.391375647826699</v>
      </c>
      <c r="AF90" s="9">
        <f t="shared" si="38"/>
        <v>13.684274211078414</v>
      </c>
      <c r="AH90" s="83">
        <v>6</v>
      </c>
      <c r="AI90" s="60">
        <f>基础信息!D95</f>
        <v>35.5</v>
      </c>
      <c r="AJ90" s="61">
        <f>基础信息!E95</f>
        <v>13.724686166700833</v>
      </c>
      <c r="AK90" s="61">
        <f>基础信息!F95</f>
        <v>55.873561913262044</v>
      </c>
      <c r="AN90" s="83">
        <f t="shared" si="45"/>
        <v>0</v>
      </c>
    </row>
    <row r="91" spans="10:42" x14ac:dyDescent="0.15">
      <c r="J91" s="83">
        <v>7</v>
      </c>
      <c r="K91" s="60">
        <f>基础信息!D96</f>
        <v>39.5</v>
      </c>
      <c r="L91" s="61">
        <f>基础信息!E96</f>
        <v>24.924269098598003</v>
      </c>
      <c r="M91" s="61">
        <f>基础信息!F96</f>
        <v>64.352574598751431</v>
      </c>
      <c r="N91" s="83">
        <f t="shared" si="40"/>
        <v>6</v>
      </c>
      <c r="O91" s="83">
        <f t="shared" si="41"/>
        <v>1</v>
      </c>
      <c r="P91" s="83">
        <f t="shared" si="42"/>
        <v>0</v>
      </c>
      <c r="Q91" s="83">
        <f t="shared" si="43"/>
        <v>0</v>
      </c>
      <c r="R91" s="83">
        <f t="shared" si="44"/>
        <v>0</v>
      </c>
      <c r="V91" s="9">
        <v>85</v>
      </c>
      <c r="W91" s="9">
        <f>[4]王者铸币!K89</f>
        <v>3056590.4045000304</v>
      </c>
      <c r="X91" s="9">
        <f>[4]王者铸币!L89</f>
        <v>3925309.6653160513</v>
      </c>
      <c r="Y91" s="9">
        <f>[4]王者铸币!M89</f>
        <v>4135028.2629697425</v>
      </c>
      <c r="Z91" s="9">
        <f>[4]王者铸币!N89</f>
        <v>4044920.8121738345</v>
      </c>
      <c r="AA91" s="9">
        <f>[4]王者铸币!O89</f>
        <v>4535854.2601846354</v>
      </c>
      <c r="AB91" s="9">
        <f t="shared" si="34"/>
        <v>10.188634681666768</v>
      </c>
      <c r="AC91" s="9">
        <f t="shared" si="35"/>
        <v>13.084365551053505</v>
      </c>
      <c r="AD91" s="9">
        <f t="shared" si="36"/>
        <v>13.783427543232476</v>
      </c>
      <c r="AE91" s="9">
        <f t="shared" si="37"/>
        <v>13.483069373912782</v>
      </c>
      <c r="AF91" s="9">
        <f t="shared" si="38"/>
        <v>15.119514200615452</v>
      </c>
      <c r="AH91" s="83">
        <v>7</v>
      </c>
      <c r="AI91" s="60">
        <f>基础信息!D96</f>
        <v>39.5</v>
      </c>
      <c r="AJ91" s="61">
        <f>基础信息!E96</f>
        <v>24.924269098598003</v>
      </c>
      <c r="AK91" s="61">
        <f>基础信息!F96</f>
        <v>64.352574598751431</v>
      </c>
      <c r="AN91" s="83">
        <f t="shared" si="45"/>
        <v>0</v>
      </c>
    </row>
    <row r="92" spans="10:42" x14ac:dyDescent="0.15">
      <c r="J92" s="83">
        <v>8</v>
      </c>
      <c r="K92" s="60">
        <f>基础信息!D97</f>
        <v>43.5</v>
      </c>
      <c r="L92" s="61">
        <f>基础信息!E97</f>
        <v>45.136608733654796</v>
      </c>
      <c r="M92" s="61">
        <f>基础信息!F97</f>
        <v>73.078652735991781</v>
      </c>
      <c r="N92" s="83">
        <f t="shared" si="40"/>
        <v>6</v>
      </c>
      <c r="O92" s="83">
        <f t="shared" si="41"/>
        <v>2</v>
      </c>
      <c r="P92" s="83">
        <f t="shared" si="42"/>
        <v>0</v>
      </c>
      <c r="Q92" s="83">
        <f t="shared" si="43"/>
        <v>0</v>
      </c>
      <c r="R92" s="83">
        <f t="shared" si="44"/>
        <v>0</v>
      </c>
      <c r="V92" s="9">
        <v>86</v>
      </c>
      <c r="W92" s="9">
        <f>[4]王者铸币!K90</f>
        <v>3296516.4388128449</v>
      </c>
      <c r="X92" s="9">
        <f>[4]王者铸币!L90</f>
        <v>4235750.4658437278</v>
      </c>
      <c r="Y92" s="9">
        <f>[4]王者铸币!M90</f>
        <v>4473222.926121911</v>
      </c>
      <c r="Z92" s="9">
        <f>[4]王者铸币!N90</f>
        <v>4404256.3972403407</v>
      </c>
      <c r="AA92" s="9">
        <f>[4]王者铸币!O90</f>
        <v>4936825.2355177989</v>
      </c>
      <c r="AB92" s="9">
        <f t="shared" si="34"/>
        <v>10.988388129376149</v>
      </c>
      <c r="AC92" s="9">
        <f t="shared" si="35"/>
        <v>14.119168219479093</v>
      </c>
      <c r="AD92" s="9">
        <f t="shared" si="36"/>
        <v>14.910743087073037</v>
      </c>
      <c r="AE92" s="9">
        <f t="shared" si="37"/>
        <v>14.680854657467803</v>
      </c>
      <c r="AF92" s="9">
        <f t="shared" si="38"/>
        <v>16.456084118392663</v>
      </c>
      <c r="AH92" s="83">
        <v>8</v>
      </c>
      <c r="AI92" s="60">
        <f>基础信息!D97</f>
        <v>43.5</v>
      </c>
      <c r="AJ92" s="61">
        <f>基础信息!E97</f>
        <v>45.136608733654796</v>
      </c>
      <c r="AK92" s="61">
        <f>基础信息!F97</f>
        <v>73.078652735991781</v>
      </c>
      <c r="AN92" s="83">
        <f t="shared" si="45"/>
        <v>3.1551419982595967</v>
      </c>
    </row>
    <row r="93" spans="10:42" x14ac:dyDescent="0.15">
      <c r="J93" s="83">
        <v>9</v>
      </c>
      <c r="K93" s="60">
        <f>基础信息!D98</f>
        <v>47.5</v>
      </c>
      <c r="L93" s="61">
        <f>基础信息!E98</f>
        <v>81.567079653693213</v>
      </c>
      <c r="M93" s="61">
        <f>基础信息!F98</f>
        <v>81.690385070357735</v>
      </c>
      <c r="N93" s="83">
        <f t="shared" si="40"/>
        <v>6</v>
      </c>
      <c r="O93" s="83">
        <f t="shared" si="41"/>
        <v>3</v>
      </c>
      <c r="P93" s="83">
        <f t="shared" si="42"/>
        <v>0</v>
      </c>
      <c r="Q93" s="83">
        <f t="shared" si="43"/>
        <v>0</v>
      </c>
      <c r="R93" s="83">
        <f t="shared" si="44"/>
        <v>0</v>
      </c>
      <c r="V93" s="9">
        <v>87</v>
      </c>
      <c r="W93" s="9">
        <f>[4]王者铸币!K91</f>
        <v>3553662.7953608884</v>
      </c>
      <c r="X93" s="9">
        <f>[4]王者铸币!L91</f>
        <v>4574097.6283422057</v>
      </c>
      <c r="Y93" s="9">
        <f>[4]王者铸币!M91</f>
        <v>4845702.2763407072</v>
      </c>
      <c r="Z93" s="9">
        <f>[4]王者铸币!N91</f>
        <v>4747107.0785107464</v>
      </c>
      <c r="AA93" s="9">
        <f>[4]王者铸币!O91</f>
        <v>5362210.2156789526</v>
      </c>
      <c r="AB93" s="9">
        <f t="shared" si="34"/>
        <v>11.845542651202962</v>
      </c>
      <c r="AC93" s="9">
        <f t="shared" si="35"/>
        <v>15.246992094474018</v>
      </c>
      <c r="AD93" s="9">
        <f t="shared" si="36"/>
        <v>16.152340921135689</v>
      </c>
      <c r="AE93" s="9">
        <f t="shared" si="37"/>
        <v>15.823690261702488</v>
      </c>
      <c r="AF93" s="9">
        <f t="shared" si="38"/>
        <v>17.874034052263177</v>
      </c>
      <c r="AH93" s="83">
        <v>9</v>
      </c>
      <c r="AI93" s="60">
        <f>基础信息!D98</f>
        <v>47.5</v>
      </c>
      <c r="AJ93" s="61">
        <f>基础信息!E98</f>
        <v>81.567079653693213</v>
      </c>
      <c r="AK93" s="61">
        <f>基础信息!F98</f>
        <v>81.690385070357735</v>
      </c>
      <c r="AN93" s="83">
        <f t="shared" si="45"/>
        <v>10.748871270036497</v>
      </c>
    </row>
    <row r="94" spans="10:42" x14ac:dyDescent="0.15">
      <c r="J94" s="83">
        <v>10</v>
      </c>
      <c r="K94" s="60">
        <f>基础信息!D99</f>
        <v>52</v>
      </c>
      <c r="L94" s="61">
        <f>基础信息!E99</f>
        <v>157.97060377387891</v>
      </c>
      <c r="M94" s="61">
        <f>基础信息!F99</f>
        <v>92.03038330510195</v>
      </c>
      <c r="N94" s="83">
        <f t="shared" si="40"/>
        <v>6</v>
      </c>
      <c r="O94" s="83">
        <f t="shared" si="41"/>
        <v>4</v>
      </c>
      <c r="P94" s="83">
        <f t="shared" si="42"/>
        <v>0</v>
      </c>
      <c r="Q94" s="83">
        <f t="shared" si="43"/>
        <v>0</v>
      </c>
      <c r="R94" s="83">
        <f t="shared" si="44"/>
        <v>0</v>
      </c>
      <c r="V94" s="9">
        <v>88</v>
      </c>
      <c r="W94" s="9">
        <f>[4]王者铸币!K92</f>
        <v>3829265.4362969827</v>
      </c>
      <c r="X94" s="9">
        <f>[4]王者铸币!L92</f>
        <v>4943175.7313804124</v>
      </c>
      <c r="Y94" s="9">
        <f>[4]王者铸币!M92</f>
        <v>5224336.7219571155</v>
      </c>
      <c r="Z94" s="9">
        <f>[4]王者铸币!N92</f>
        <v>5096199.2559075048</v>
      </c>
      <c r="AA94" s="9">
        <f>[4]王者铸币!O92</f>
        <v>5827353.9584931415</v>
      </c>
      <c r="AB94" s="9">
        <f t="shared" si="34"/>
        <v>12.764218120989943</v>
      </c>
      <c r="AC94" s="9">
        <f t="shared" si="35"/>
        <v>16.477252437934709</v>
      </c>
      <c r="AD94" s="9">
        <f t="shared" si="36"/>
        <v>17.414455739857051</v>
      </c>
      <c r="AE94" s="9">
        <f t="shared" si="37"/>
        <v>16.987330853025018</v>
      </c>
      <c r="AF94" s="9">
        <f t="shared" si="38"/>
        <v>19.424513194977138</v>
      </c>
      <c r="AH94" s="83">
        <v>10</v>
      </c>
      <c r="AI94" s="60">
        <f>基础信息!D99</f>
        <v>52</v>
      </c>
      <c r="AJ94" s="61">
        <f>基础信息!E99</f>
        <v>157.97060377387891</v>
      </c>
      <c r="AK94" s="61">
        <f>基础信息!F99</f>
        <v>92.03038330510195</v>
      </c>
      <c r="AN94" s="83">
        <f t="shared" si="45"/>
        <v>26.795420581244631</v>
      </c>
    </row>
    <row r="95" spans="10:42" x14ac:dyDescent="0.15">
      <c r="J95" s="83">
        <v>11</v>
      </c>
      <c r="K95" s="60">
        <f>基础信息!D100</f>
        <v>57</v>
      </c>
      <c r="L95" s="61">
        <f>基础信息!E100</f>
        <v>329.56496855407232</v>
      </c>
      <c r="M95" s="61">
        <f>基础信息!F100</f>
        <v>102.71853803916484</v>
      </c>
      <c r="N95" s="83">
        <f t="shared" si="40"/>
        <v>6</v>
      </c>
      <c r="O95" s="83">
        <f t="shared" si="41"/>
        <v>5</v>
      </c>
      <c r="P95" s="83">
        <f t="shared" si="42"/>
        <v>0</v>
      </c>
      <c r="Q95" s="83">
        <f t="shared" si="43"/>
        <v>0</v>
      </c>
      <c r="R95" s="83">
        <f t="shared" si="44"/>
        <v>0</v>
      </c>
      <c r="V95" s="9">
        <v>89</v>
      </c>
      <c r="W95" s="9">
        <f>[4]王者铸币!K93</f>
        <v>4124649.0330572058</v>
      </c>
      <c r="X95" s="9">
        <f>[4]王者铸币!L93</f>
        <v>5319532.0351173729</v>
      </c>
      <c r="Y95" s="9">
        <f>[4]王者铸币!M93</f>
        <v>5588061.0607280238</v>
      </c>
      <c r="Z95" s="9">
        <f>[4]王者铸币!N93</f>
        <v>5468085.1859206753</v>
      </c>
      <c r="AA95" s="9">
        <f>[4]王者铸币!O93</f>
        <v>6292062.2475386169</v>
      </c>
      <c r="AB95" s="9">
        <f t="shared" si="34"/>
        <v>13.748830110190687</v>
      </c>
      <c r="AC95" s="9">
        <f t="shared" si="35"/>
        <v>17.731773450391241</v>
      </c>
      <c r="AD95" s="9">
        <f t="shared" si="36"/>
        <v>18.626870202426748</v>
      </c>
      <c r="AE95" s="9">
        <f t="shared" si="37"/>
        <v>18.226950619735586</v>
      </c>
      <c r="AF95" s="9">
        <f t="shared" si="38"/>
        <v>20.973540825128723</v>
      </c>
      <c r="AH95" s="83">
        <v>11</v>
      </c>
      <c r="AI95" s="60">
        <f>基础信息!D100</f>
        <v>57</v>
      </c>
      <c r="AJ95" s="61">
        <f>基础信息!E100</f>
        <v>329.56496855407232</v>
      </c>
      <c r="AK95" s="61">
        <f>基础信息!F100</f>
        <v>102.71853803916484</v>
      </c>
      <c r="AN95" s="83">
        <f t="shared" si="45"/>
        <v>62.274289467931546</v>
      </c>
    </row>
    <row r="96" spans="10:42" x14ac:dyDescent="0.15">
      <c r="J96" s="83">
        <v>12</v>
      </c>
      <c r="K96" s="60">
        <f>基础信息!D101</f>
        <v>62</v>
      </c>
      <c r="L96" s="61">
        <f>基础信息!E101</f>
        <v>686.27045912077301</v>
      </c>
      <c r="M96" s="61">
        <f>基础信息!F101</f>
        <v>113.4549371467006</v>
      </c>
      <c r="N96" s="83">
        <f t="shared" si="40"/>
        <v>6</v>
      </c>
      <c r="O96" s="83">
        <f t="shared" si="41"/>
        <v>6</v>
      </c>
      <c r="P96" s="83">
        <f t="shared" si="42"/>
        <v>0</v>
      </c>
      <c r="Q96" s="83">
        <f t="shared" si="43"/>
        <v>0</v>
      </c>
      <c r="R96" s="83">
        <f t="shared" si="44"/>
        <v>0</v>
      </c>
      <c r="V96" s="9">
        <v>90</v>
      </c>
      <c r="W96" s="9">
        <f>[4]王者铸币!K94</f>
        <v>4441233.333333333</v>
      </c>
      <c r="X96" s="9">
        <f>[4]王者铸币!L94</f>
        <v>5686630.8399999999</v>
      </c>
      <c r="Y96" s="9">
        <f>[4]王者铸币!M94</f>
        <v>5978865.873333334</v>
      </c>
      <c r="Z96" s="9">
        <f>[4]王者铸币!N94</f>
        <v>5847056.8000000007</v>
      </c>
      <c r="AA96" s="9">
        <f>[4]王者铸币!O94</f>
        <v>6783678.533333336</v>
      </c>
      <c r="AB96" s="9">
        <f t="shared" si="34"/>
        <v>14.80411111111111</v>
      </c>
      <c r="AC96" s="9">
        <f t="shared" si="35"/>
        <v>18.955436133333333</v>
      </c>
      <c r="AD96" s="9">
        <f t="shared" si="36"/>
        <v>19.929552911111113</v>
      </c>
      <c r="AE96" s="9">
        <f t="shared" si="37"/>
        <v>19.490189333333337</v>
      </c>
      <c r="AF96" s="9">
        <f t="shared" si="38"/>
        <v>22.612261777777785</v>
      </c>
      <c r="AH96" s="83">
        <v>12</v>
      </c>
      <c r="AI96" s="60">
        <f>基础信息!D101</f>
        <v>62</v>
      </c>
      <c r="AJ96" s="61">
        <f>基础信息!E101</f>
        <v>686.27045912077301</v>
      </c>
      <c r="AK96" s="61">
        <f>基础信息!F101</f>
        <v>113.4549371467006</v>
      </c>
      <c r="AN96" s="83">
        <f t="shared" si="45"/>
        <v>136.79593125673</v>
      </c>
    </row>
    <row r="97" spans="10:40" x14ac:dyDescent="0.15">
      <c r="J97" s="83">
        <v>13</v>
      </c>
      <c r="K97" s="60">
        <f>基础信息!D102</f>
        <v>67</v>
      </c>
      <c r="L97" s="61">
        <f>基础信息!E102</f>
        <v>1426.7099622668038</v>
      </c>
      <c r="M97" s="61">
        <f>基础信息!F102</f>
        <v>124.11624751239822</v>
      </c>
      <c r="N97" s="83">
        <f t="shared" si="40"/>
        <v>6</v>
      </c>
      <c r="O97" s="83">
        <f t="shared" si="41"/>
        <v>6</v>
      </c>
      <c r="P97" s="83">
        <f t="shared" si="42"/>
        <v>1</v>
      </c>
      <c r="Q97" s="83">
        <f t="shared" si="43"/>
        <v>0</v>
      </c>
      <c r="R97" s="83">
        <f t="shared" si="44"/>
        <v>0</v>
      </c>
      <c r="V97" s="9">
        <v>91</v>
      </c>
      <c r="W97" s="9">
        <f>[4]王者铸币!K95</f>
        <v>4780539.9850249076</v>
      </c>
      <c r="X97" s="9">
        <f>[4]王者铸币!L95</f>
        <v>6122585.9879983114</v>
      </c>
      <c r="Y97" s="9">
        <f>[4]王者铸币!M95</f>
        <v>6434508.7513074176</v>
      </c>
      <c r="Z97" s="9">
        <f>[4]王者铸币!N95</f>
        <v>6307968.8354750155</v>
      </c>
      <c r="AA97" s="9">
        <f>[4]王者铸币!O95</f>
        <v>7372177.4484289419</v>
      </c>
      <c r="AB97" s="9">
        <f t="shared" si="34"/>
        <v>15.935133283416359</v>
      </c>
      <c r="AC97" s="9">
        <f t="shared" si="35"/>
        <v>20.408619959994372</v>
      </c>
      <c r="AD97" s="9">
        <f t="shared" si="36"/>
        <v>21.448362504358059</v>
      </c>
      <c r="AE97" s="9">
        <f t="shared" si="37"/>
        <v>21.026562784916717</v>
      </c>
      <c r="AF97" s="9">
        <f t="shared" si="38"/>
        <v>24.573924828096473</v>
      </c>
      <c r="AH97" s="83">
        <v>13</v>
      </c>
      <c r="AI97" s="60">
        <f>基础信息!D102</f>
        <v>67</v>
      </c>
      <c r="AJ97" s="61">
        <f>基础信息!E102</f>
        <v>1426.7099622668038</v>
      </c>
      <c r="AK97" s="61">
        <f>基础信息!F102</f>
        <v>124.11624751239822</v>
      </c>
      <c r="AN97" s="83">
        <f t="shared" si="45"/>
        <v>291.13643213472494</v>
      </c>
    </row>
    <row r="98" spans="10:40" x14ac:dyDescent="0.15">
      <c r="J98" s="83">
        <v>14</v>
      </c>
      <c r="K98" s="60">
        <f>基础信息!D103</f>
        <v>72</v>
      </c>
      <c r="L98" s="61">
        <f>基础信息!E103</f>
        <v>2961.6410125841235</v>
      </c>
      <c r="M98" s="61">
        <f>基础信息!F103</f>
        <v>134.91256595481366</v>
      </c>
      <c r="N98" s="83">
        <f t="shared" si="40"/>
        <v>6</v>
      </c>
      <c r="O98" s="83">
        <f t="shared" si="41"/>
        <v>6</v>
      </c>
      <c r="P98" s="83">
        <f t="shared" si="42"/>
        <v>2</v>
      </c>
      <c r="Q98" s="83">
        <f t="shared" si="43"/>
        <v>0</v>
      </c>
      <c r="R98" s="83">
        <f t="shared" si="44"/>
        <v>0</v>
      </c>
      <c r="V98" s="9">
        <v>92</v>
      </c>
      <c r="W98" s="9">
        <f>[4]王者铸币!K96</f>
        <v>5144199.8499699784</v>
      </c>
      <c r="X98" s="9">
        <f>[4]王者铸币!L96</f>
        <v>6580612.437362507</v>
      </c>
      <c r="Y98" s="9">
        <f>[4]王者铸币!M96</f>
        <v>6927255.7929585688</v>
      </c>
      <c r="Z98" s="9">
        <f>[4]王者铸币!N96</f>
        <v>6800833.6443544095</v>
      </c>
      <c r="AA98" s="9">
        <f>[4]王者铸币!O96</f>
        <v>8018805.2799549522</v>
      </c>
      <c r="AB98" s="9">
        <f t="shared" si="34"/>
        <v>17.147332833233261</v>
      </c>
      <c r="AC98" s="9">
        <f t="shared" si="35"/>
        <v>21.935374791208357</v>
      </c>
      <c r="AD98" s="9">
        <f t="shared" si="36"/>
        <v>23.09085264319523</v>
      </c>
      <c r="AE98" s="9">
        <f t="shared" si="37"/>
        <v>22.669445481181366</v>
      </c>
      <c r="AF98" s="9">
        <f t="shared" si="38"/>
        <v>26.729350933183174</v>
      </c>
      <c r="AH98" s="83">
        <v>14</v>
      </c>
      <c r="AI98" s="60">
        <f>基础信息!D103</f>
        <v>72</v>
      </c>
      <c r="AJ98" s="61">
        <f>基础信息!E103</f>
        <v>2961.6410125841235</v>
      </c>
      <c r="AK98" s="61">
        <f>基础信息!F103</f>
        <v>134.91256595481366</v>
      </c>
      <c r="AN98" s="83">
        <f t="shared" si="45"/>
        <v>611.08428217864582</v>
      </c>
    </row>
    <row r="99" spans="10:40" x14ac:dyDescent="0.15">
      <c r="J99" s="83">
        <v>15</v>
      </c>
      <c r="K99" s="60">
        <f>基础信息!D104</f>
        <v>77</v>
      </c>
      <c r="L99" s="61">
        <f>基础信息!E104</f>
        <v>6139.6022012692774</v>
      </c>
      <c r="M99" s="61">
        <f>基础信息!F104</f>
        <v>145.53468456757108</v>
      </c>
      <c r="N99" s="83">
        <f t="shared" si="40"/>
        <v>6</v>
      </c>
      <c r="O99" s="83">
        <f t="shared" si="41"/>
        <v>6</v>
      </c>
      <c r="P99" s="83">
        <f t="shared" si="42"/>
        <v>3</v>
      </c>
      <c r="Q99" s="83">
        <f t="shared" si="43"/>
        <v>0</v>
      </c>
      <c r="R99" s="83">
        <f t="shared" si="44"/>
        <v>0</v>
      </c>
      <c r="V99" s="9">
        <v>93</v>
      </c>
      <c r="W99" s="9">
        <f>[4]王者铸币!K97</f>
        <v>5533960.8426076462</v>
      </c>
      <c r="X99" s="9">
        <f>[4]王者铸币!L97</f>
        <v>7080275.0675190166</v>
      </c>
      <c r="Y99" s="9">
        <f>[4]王者铸币!M97</f>
        <v>7454666.2332818601</v>
      </c>
      <c r="Z99" s="9">
        <f>[4]王者铸币!N97</f>
        <v>7340954.1358311065</v>
      </c>
      <c r="AA99" s="9">
        <f>[4]王者铸币!O97</f>
        <v>8671166.6459067184</v>
      </c>
      <c r="AB99" s="9">
        <f t="shared" si="34"/>
        <v>18.446536142025487</v>
      </c>
      <c r="AC99" s="9">
        <f t="shared" si="35"/>
        <v>23.600916891730055</v>
      </c>
      <c r="AD99" s="9">
        <f t="shared" si="36"/>
        <v>24.848887444272869</v>
      </c>
      <c r="AE99" s="9">
        <f t="shared" si="37"/>
        <v>24.46984711943702</v>
      </c>
      <c r="AF99" s="9">
        <f t="shared" si="38"/>
        <v>28.903888819689062</v>
      </c>
      <c r="AH99" s="83">
        <v>15</v>
      </c>
      <c r="AI99" s="60">
        <f>基础信息!D104</f>
        <v>77</v>
      </c>
      <c r="AJ99" s="61">
        <f>基础信息!E104</f>
        <v>6139.6022012692774</v>
      </c>
      <c r="AK99" s="61">
        <f>基础信息!F104</f>
        <v>145.53468456757108</v>
      </c>
      <c r="AN99" s="83">
        <f t="shared" si="45"/>
        <v>1273.5126366201289</v>
      </c>
    </row>
    <row r="100" spans="10:40" x14ac:dyDescent="0.15">
      <c r="J100" s="83">
        <v>16</v>
      </c>
      <c r="K100" s="60">
        <f>基础信息!D105</f>
        <v>80</v>
      </c>
      <c r="L100" s="61">
        <f>基础信息!E105</f>
        <v>9502.5750000000007</v>
      </c>
      <c r="M100" s="61">
        <f>基础信息!F105</f>
        <v>151.0810487166913</v>
      </c>
      <c r="N100" s="83">
        <f t="shared" si="40"/>
        <v>6</v>
      </c>
      <c r="O100" s="83">
        <f t="shared" si="41"/>
        <v>6</v>
      </c>
      <c r="P100" s="83">
        <f t="shared" si="42"/>
        <v>4</v>
      </c>
      <c r="Q100" s="83">
        <f t="shared" si="43"/>
        <v>0</v>
      </c>
      <c r="R100" s="83">
        <f t="shared" si="44"/>
        <v>0</v>
      </c>
      <c r="V100" s="9">
        <v>94</v>
      </c>
      <c r="W100" s="9">
        <f>[4]王者铸币!K98</f>
        <v>5951696.3312484976</v>
      </c>
      <c r="X100" s="9">
        <f>[4]王者铸币!L98</f>
        <v>7615547.6653608754</v>
      </c>
      <c r="Y100" s="9">
        <f>[4]王者铸币!M98</f>
        <v>8020423.3695966834</v>
      </c>
      <c r="Z100" s="9">
        <f>[4]王者铸币!N98</f>
        <v>7877393.2025318472</v>
      </c>
      <c r="AA100" s="9">
        <f>[4]王者铸币!O98</f>
        <v>9366099.8035848811</v>
      </c>
      <c r="AB100" s="9">
        <f t="shared" si="34"/>
        <v>19.838987770828325</v>
      </c>
      <c r="AC100" s="9">
        <f t="shared" si="35"/>
        <v>25.385158884536253</v>
      </c>
      <c r="AD100" s="9">
        <f t="shared" si="36"/>
        <v>26.734744565322277</v>
      </c>
      <c r="AE100" s="9">
        <f t="shared" si="37"/>
        <v>26.257977341772825</v>
      </c>
      <c r="AF100" s="9">
        <f t="shared" si="38"/>
        <v>31.22033267861627</v>
      </c>
      <c r="AH100" s="83">
        <v>16</v>
      </c>
      <c r="AI100" s="60">
        <f>基础信息!D105</f>
        <v>80</v>
      </c>
      <c r="AJ100" s="61">
        <f>基础信息!E105</f>
        <v>9502.5750000000007</v>
      </c>
      <c r="AK100" s="61">
        <f>基础信息!F105</f>
        <v>151.0810487166913</v>
      </c>
      <c r="AN100" s="83">
        <f t="shared" si="45"/>
        <v>1974.5056333333227</v>
      </c>
    </row>
    <row r="101" spans="10:40" x14ac:dyDescent="0.15">
      <c r="V101" s="9">
        <v>95</v>
      </c>
      <c r="W101" s="9">
        <f>[4]王者铸币!K99</f>
        <v>6399414.1423333939</v>
      </c>
      <c r="X101" s="9">
        <f>[4]王者铸币!L99</f>
        <v>8199042.8615955962</v>
      </c>
      <c r="Y101" s="9">
        <f>[4]王者铸币!M99</f>
        <v>8610046.0517668165</v>
      </c>
      <c r="Z101" s="9">
        <f>[4]王者铸币!N99</f>
        <v>8467725.3825226016</v>
      </c>
      <c r="AA101" s="9">
        <f>[4]王者铸币!O99</f>
        <v>10174180.346989712</v>
      </c>
      <c r="AB101" s="9">
        <f t="shared" si="34"/>
        <v>21.331380474444646</v>
      </c>
      <c r="AC101" s="9">
        <f t="shared" si="35"/>
        <v>27.33014287198532</v>
      </c>
      <c r="AD101" s="9">
        <f t="shared" si="36"/>
        <v>28.700153505889389</v>
      </c>
      <c r="AE101" s="9">
        <f t="shared" si="37"/>
        <v>28.225751275075339</v>
      </c>
      <c r="AF101" s="9">
        <f t="shared" si="38"/>
        <v>33.913934489965705</v>
      </c>
    </row>
    <row r="102" spans="10:40" x14ac:dyDescent="0.15">
      <c r="V102" s="9">
        <v>96</v>
      </c>
      <c r="W102" s="9">
        <f>[4]王者铸币!K100</f>
        <v>6879266.2109590229</v>
      </c>
      <c r="X102" s="9">
        <f>[4]王者铸币!L100</f>
        <v>8792455.6341323648</v>
      </c>
      <c r="Y102" s="9">
        <f>[4]王者铸币!M100</f>
        <v>9227184.6571387928</v>
      </c>
      <c r="Z102" s="9">
        <f>[4]王者铸币!N100</f>
        <v>9110218.2525060549</v>
      </c>
      <c r="AA102" s="9">
        <f>[4]王者铸币!O100</f>
        <v>11040259.629002914</v>
      </c>
      <c r="AB102" s="9">
        <f t="shared" si="34"/>
        <v>22.930887369863409</v>
      </c>
      <c r="AC102" s="9">
        <f t="shared" si="35"/>
        <v>29.308185447107881</v>
      </c>
      <c r="AD102" s="9">
        <f t="shared" si="36"/>
        <v>30.757282190462643</v>
      </c>
      <c r="AE102" s="9">
        <f t="shared" si="37"/>
        <v>30.367394175020184</v>
      </c>
      <c r="AF102" s="9">
        <f t="shared" si="38"/>
        <v>36.800865430009715</v>
      </c>
    </row>
    <row r="103" spans="10:40" x14ac:dyDescent="0.15">
      <c r="V103" s="9">
        <v>97</v>
      </c>
      <c r="W103" s="9">
        <f>[4]王者铸币!K101</f>
        <v>7393558.9240551097</v>
      </c>
      <c r="X103" s="9">
        <f>[4]王者铸币!L101</f>
        <v>9438169.7695384957</v>
      </c>
      <c r="Y103" s="9">
        <f>[4]王者铸币!M101</f>
        <v>9946995.1670314446</v>
      </c>
      <c r="Z103" s="9">
        <f>[4]王者铸币!N101</f>
        <v>9857708.3417897858</v>
      </c>
      <c r="AA103" s="9">
        <f>[4]王者铸币!O101</f>
        <v>12046424.437290033</v>
      </c>
      <c r="AB103" s="9">
        <f t="shared" si="34"/>
        <v>24.645196413517031</v>
      </c>
      <c r="AC103" s="9">
        <f t="shared" si="35"/>
        <v>31.460565898461653</v>
      </c>
      <c r="AD103" s="9">
        <f t="shared" si="36"/>
        <v>33.156650556771481</v>
      </c>
      <c r="AE103" s="9">
        <f t="shared" si="37"/>
        <v>32.859027805965951</v>
      </c>
      <c r="AF103" s="9">
        <f t="shared" si="38"/>
        <v>40.154748124300113</v>
      </c>
    </row>
    <row r="104" spans="10:40" x14ac:dyDescent="0.15">
      <c r="V104" s="9">
        <v>98</v>
      </c>
      <c r="W104" s="9">
        <f>[4]王者铸币!K102</f>
        <v>7944764.2059273003</v>
      </c>
      <c r="X104" s="9">
        <f>[4]王者铸币!L102</f>
        <v>10166283.698281623</v>
      </c>
      <c r="Y104" s="9">
        <f>[4]王者铸币!M102</f>
        <v>10752570.135991223</v>
      </c>
      <c r="Z104" s="9">
        <f>[4]王者铸币!N102</f>
        <v>10691587.176710622</v>
      </c>
      <c r="AA104" s="9">
        <f>[4]王者铸币!O102</f>
        <v>13158252.727748362</v>
      </c>
      <c r="AB104" s="9">
        <f t="shared" si="34"/>
        <v>26.482547353091</v>
      </c>
      <c r="AC104" s="9">
        <f t="shared" si="35"/>
        <v>33.88761232760541</v>
      </c>
      <c r="AD104" s="9">
        <f t="shared" si="36"/>
        <v>35.841900453304078</v>
      </c>
      <c r="AE104" s="9">
        <f t="shared" si="37"/>
        <v>35.638623922368744</v>
      </c>
      <c r="AF104" s="9">
        <f t="shared" si="38"/>
        <v>43.860842425827876</v>
      </c>
    </row>
    <row r="105" spans="10:40" x14ac:dyDescent="0.15">
      <c r="V105" s="9">
        <v>99</v>
      </c>
      <c r="W105" s="9">
        <f>[4]王者铸币!K103</f>
        <v>8535531.3994477447</v>
      </c>
      <c r="X105" s="9">
        <f>[4]王者铸币!L103</f>
        <v>10948084.857079925</v>
      </c>
      <c r="Y105" s="9">
        <f>[4]王者铸币!M103</f>
        <v>11602005.812398219</v>
      </c>
      <c r="Z105" s="9">
        <f>[4]王者铸币!N103</f>
        <v>11580386.549641296</v>
      </c>
      <c r="AA105" s="9">
        <f>[4]王者铸币!O103</f>
        <v>14208683.212980472</v>
      </c>
      <c r="AB105" s="9">
        <f t="shared" si="34"/>
        <v>28.451771331492484</v>
      </c>
      <c r="AC105" s="9">
        <f t="shared" si="35"/>
        <v>36.493616190266415</v>
      </c>
      <c r="AD105" s="9">
        <f t="shared" si="36"/>
        <v>38.673352707994063</v>
      </c>
      <c r="AE105" s="9">
        <f t="shared" si="37"/>
        <v>38.601288498804323</v>
      </c>
      <c r="AF105" s="9">
        <f t="shared" si="38"/>
        <v>47.362277376601568</v>
      </c>
    </row>
    <row r="106" spans="10:40" x14ac:dyDescent="0.15">
      <c r="V106" s="9">
        <v>100</v>
      </c>
      <c r="W106" s="9">
        <f>[4]王者铸币!K104</f>
        <v>9168700</v>
      </c>
      <c r="X106" s="9">
        <f>[4]王者铸币!L104</f>
        <v>11773275.139999997</v>
      </c>
      <c r="Y106" s="9">
        <f>[4]王者铸币!M104</f>
        <v>12496179.120000001</v>
      </c>
      <c r="Z106" s="9">
        <f>[4]王者铸币!N104</f>
        <v>12433886.4</v>
      </c>
      <c r="AA106" s="9">
        <f>[4]王者铸币!O104</f>
        <v>15268388.800000001</v>
      </c>
      <c r="AB106" s="9">
        <f t="shared" si="34"/>
        <v>30.562333333333335</v>
      </c>
      <c r="AC106" s="9">
        <f t="shared" si="35"/>
        <v>39.244250466666657</v>
      </c>
      <c r="AD106" s="9">
        <f t="shared" si="36"/>
        <v>41.6539304</v>
      </c>
      <c r="AE106" s="9">
        <f t="shared" si="37"/>
        <v>41.446288000000003</v>
      </c>
      <c r="AF106" s="9">
        <f t="shared" si="38"/>
        <v>50.894629333333334</v>
      </c>
    </row>
    <row r="107" spans="10:40" x14ac:dyDescent="0.15">
      <c r="V107" s="9">
        <v>101</v>
      </c>
      <c r="W107" s="9">
        <f>[4]王者铸币!K105</f>
        <v>9847313.3033831418</v>
      </c>
      <c r="X107" s="9">
        <f>[4]王者铸币!L105</f>
        <v>12673585.058200896</v>
      </c>
      <c r="Y107" s="9">
        <f>[4]王者铸币!M105</f>
        <v>13415527.496008057</v>
      </c>
      <c r="Z107" s="9">
        <f>[4]王者铸币!N105</f>
        <v>13294842.284283755</v>
      </c>
      <c r="AA107" s="9">
        <f>[4]王者铸币!O105</f>
        <v>16431536.242448332</v>
      </c>
      <c r="AB107" s="9">
        <f t="shared" si="34"/>
        <v>32.824377677943808</v>
      </c>
      <c r="AC107" s="9">
        <f t="shared" si="35"/>
        <v>42.245283527336319</v>
      </c>
      <c r="AD107" s="9">
        <f t="shared" si="36"/>
        <v>44.71842498669352</v>
      </c>
      <c r="AE107" s="9">
        <f t="shared" si="37"/>
        <v>44.316140947612517</v>
      </c>
      <c r="AF107" s="9">
        <f t="shared" si="38"/>
        <v>54.771787474827775</v>
      </c>
    </row>
    <row r="108" spans="10:40" x14ac:dyDescent="0.15">
      <c r="V108" s="9">
        <v>102</v>
      </c>
      <c r="W108" s="9">
        <f>[4]王者铸币!K106</f>
        <v>10574633.033273291</v>
      </c>
      <c r="X108" s="9">
        <f>[4]王者铸币!L106</f>
        <v>13574769.452915478</v>
      </c>
      <c r="Y108" s="9">
        <f>[4]王者铸币!M106</f>
        <v>14334440.521650955</v>
      </c>
      <c r="Z108" s="9">
        <f>[4]王者铸币!N106</f>
        <v>14223459.996689549</v>
      </c>
      <c r="AA108" s="9">
        <f>[4]王者铸币!O106</f>
        <v>17673236.497227091</v>
      </c>
      <c r="AB108" s="9">
        <f t="shared" si="34"/>
        <v>35.248776777577639</v>
      </c>
      <c r="AC108" s="9">
        <f t="shared" si="35"/>
        <v>45.249231509718264</v>
      </c>
      <c r="AD108" s="9">
        <f t="shared" si="36"/>
        <v>47.781468405503183</v>
      </c>
      <c r="AE108" s="9">
        <f t="shared" si="37"/>
        <v>47.411533322298496</v>
      </c>
      <c r="AF108" s="9">
        <f t="shared" si="38"/>
        <v>58.910788324090305</v>
      </c>
    </row>
    <row r="109" spans="10:40" x14ac:dyDescent="0.15">
      <c r="V109" s="9">
        <v>103</v>
      </c>
      <c r="W109" s="9">
        <f>[4]王者铸币!K107</f>
        <v>11354155.018548628</v>
      </c>
      <c r="X109" s="9">
        <f>[4]王者铸币!L107</f>
        <v>14537809.407818083</v>
      </c>
      <c r="Y109" s="9">
        <f>[4]王者铸币!M107</f>
        <v>15336483.986341137</v>
      </c>
      <c r="Z109" s="9">
        <f>[4]王者铸币!N107</f>
        <v>15288125.735155111</v>
      </c>
      <c r="AA109" s="9">
        <f>[4]王者铸币!O107</f>
        <v>19077546.760780007</v>
      </c>
      <c r="AB109" s="9">
        <f t="shared" si="34"/>
        <v>37.847183395162091</v>
      </c>
      <c r="AC109" s="9">
        <f t="shared" si="35"/>
        <v>48.459364692726943</v>
      </c>
      <c r="AD109" s="9">
        <f t="shared" si="36"/>
        <v>51.12161328780379</v>
      </c>
      <c r="AE109" s="9">
        <f t="shared" si="37"/>
        <v>50.960419117183704</v>
      </c>
      <c r="AF109" s="9">
        <f t="shared" si="38"/>
        <v>63.591822535933353</v>
      </c>
    </row>
    <row r="110" spans="10:40" x14ac:dyDescent="0.15">
      <c r="V110" s="9">
        <v>104</v>
      </c>
      <c r="W110" s="9">
        <f>[4]王者铸币!K108</f>
        <v>12189625.995830329</v>
      </c>
      <c r="X110" s="9">
        <f>[4]王者铸币!L108</f>
        <v>15604566.789715353</v>
      </c>
      <c r="Y110" s="9">
        <f>[4]王者铸币!M108</f>
        <v>16530264.264685884</v>
      </c>
      <c r="Z110" s="9">
        <f>[4]王者铸币!N108</f>
        <v>16498473.595000714</v>
      </c>
      <c r="AA110" s="9">
        <f>[4]王者铸币!O108</f>
        <v>20667080.246582836</v>
      </c>
      <c r="AB110" s="9">
        <f t="shared" si="34"/>
        <v>40.632086652767761</v>
      </c>
      <c r="AC110" s="9">
        <f t="shared" si="35"/>
        <v>52.015222632384514</v>
      </c>
      <c r="AD110" s="9">
        <f t="shared" si="36"/>
        <v>55.100880882286283</v>
      </c>
      <c r="AE110" s="9">
        <f t="shared" si="37"/>
        <v>54.994911983335712</v>
      </c>
      <c r="AF110" s="9">
        <f t="shared" si="38"/>
        <v>68.890267488609453</v>
      </c>
    </row>
    <row r="111" spans="10:40" x14ac:dyDescent="0.15">
      <c r="V111" s="9">
        <v>105</v>
      </c>
      <c r="W111" s="9">
        <f>[4]王者铸币!K109</f>
        <v>13085061.618000122</v>
      </c>
      <c r="X111" s="9">
        <f>[4]王者铸币!L109</f>
        <v>16787675.525889214</v>
      </c>
      <c r="Y111" s="9">
        <f>[4]王者铸币!M109</f>
        <v>17786765.776866969</v>
      </c>
      <c r="Z111" s="9">
        <f>[4]王者铸币!N109</f>
        <v>17803492.208814453</v>
      </c>
      <c r="AA111" s="9">
        <f>[4]王者铸币!O109</f>
        <v>22286273.530553497</v>
      </c>
      <c r="AB111" s="9">
        <f t="shared" si="34"/>
        <v>43.616872060000404</v>
      </c>
      <c r="AC111" s="9">
        <f t="shared" si="35"/>
        <v>55.958918419630713</v>
      </c>
      <c r="AD111" s="9">
        <f t="shared" si="36"/>
        <v>59.289219256223227</v>
      </c>
      <c r="AE111" s="9">
        <f t="shared" si="37"/>
        <v>59.344974029381511</v>
      </c>
      <c r="AF111" s="9">
        <f t="shared" si="38"/>
        <v>74.287578435178318</v>
      </c>
    </row>
    <row r="112" spans="10:40" x14ac:dyDescent="0.15">
      <c r="V112" s="9">
        <v>106</v>
      </c>
      <c r="W112" s="9">
        <f>[4]王者铸币!K110</f>
        <v>14044765.755251367</v>
      </c>
      <c r="X112" s="9">
        <f>[4]王者铸币!L110</f>
        <v>18036406.914711267</v>
      </c>
      <c r="Y112" s="9">
        <f>[4]王者铸币!M110</f>
        <v>19106920.028809074</v>
      </c>
      <c r="Z112" s="9">
        <f>[4]王者铸币!N110</f>
        <v>19109985.555892348</v>
      </c>
      <c r="AA112" s="9">
        <f>[4]王者铸币!O110</f>
        <v>23924686.859648071</v>
      </c>
      <c r="AB112" s="9">
        <f t="shared" si="34"/>
        <v>46.815885850837887</v>
      </c>
      <c r="AC112" s="9">
        <f t="shared" si="35"/>
        <v>60.121356382370891</v>
      </c>
      <c r="AD112" s="9">
        <f t="shared" si="36"/>
        <v>63.689733429363578</v>
      </c>
      <c r="AE112" s="9">
        <f t="shared" si="37"/>
        <v>63.699951852974493</v>
      </c>
      <c r="AF112" s="9">
        <f t="shared" si="38"/>
        <v>79.748956198826903</v>
      </c>
    </row>
    <row r="113" spans="22:32" x14ac:dyDescent="0.15">
      <c r="V113" s="9">
        <v>107</v>
      </c>
      <c r="W113" s="9">
        <f>[4]王者铸币!K111</f>
        <v>15073351.181443553</v>
      </c>
      <c r="X113" s="9">
        <f>[4]王者铸币!L111</f>
        <v>19352531.908105947</v>
      </c>
      <c r="Y113" s="9">
        <f>[4]王者铸币!M111</f>
        <v>20552732.874484889</v>
      </c>
      <c r="Z113" s="9">
        <f>[4]王者铸币!N111</f>
        <v>20464996.867978398</v>
      </c>
      <c r="AA113" s="9">
        <f>[4]王者铸币!O111</f>
        <v>25632139.649156291</v>
      </c>
      <c r="AB113" s="9">
        <f t="shared" si="34"/>
        <v>50.244503938145179</v>
      </c>
      <c r="AC113" s="9">
        <f t="shared" si="35"/>
        <v>64.508439693686483</v>
      </c>
      <c r="AD113" s="9">
        <f t="shared" si="36"/>
        <v>68.5091095816163</v>
      </c>
      <c r="AE113" s="9">
        <f t="shared" si="37"/>
        <v>68.216656226594665</v>
      </c>
      <c r="AF113" s="9">
        <f t="shared" si="38"/>
        <v>85.440465497187631</v>
      </c>
    </row>
    <row r="114" spans="22:32" x14ac:dyDescent="0.15">
      <c r="V114" s="9">
        <v>108</v>
      </c>
      <c r="W114" s="9">
        <f>[4]王者铸币!K112</f>
        <v>16175761.74518794</v>
      </c>
      <c r="X114" s="9">
        <f>[4]王者铸币!L112</f>
        <v>20787281.55647717</v>
      </c>
      <c r="Y114" s="9">
        <f>[4]王者铸币!M112</f>
        <v>21940215.85802095</v>
      </c>
      <c r="Z114" s="9">
        <f>[4]王者铸币!N112</f>
        <v>21865652.541578818</v>
      </c>
      <c r="AA114" s="9">
        <f>[4]王者铸币!O112</f>
        <v>27540825.245374579</v>
      </c>
      <c r="AB114" s="9">
        <f t="shared" si="34"/>
        <v>53.919205817293133</v>
      </c>
      <c r="AC114" s="9">
        <f t="shared" si="35"/>
        <v>69.290938521590562</v>
      </c>
      <c r="AD114" s="9">
        <f t="shared" si="36"/>
        <v>73.134052860069829</v>
      </c>
      <c r="AE114" s="9">
        <f t="shared" si="37"/>
        <v>72.885508471929398</v>
      </c>
      <c r="AF114" s="9">
        <f t="shared" si="38"/>
        <v>91.802750817915268</v>
      </c>
    </row>
    <row r="115" spans="22:32" x14ac:dyDescent="0.15">
      <c r="V115" s="9">
        <v>109</v>
      </c>
      <c r="W115" s="9">
        <f>[4]王者铸币!K113</f>
        <v>17357296.132228825</v>
      </c>
      <c r="X115" s="9">
        <f>[4]王者铸币!L113</f>
        <v>22219636.140177585</v>
      </c>
      <c r="Y115" s="9">
        <f>[4]王者铸币!M113</f>
        <v>23453330.754416324</v>
      </c>
      <c r="Z115" s="9">
        <f>[4]王者铸币!N113</f>
        <v>23407506.151215725</v>
      </c>
      <c r="AA115" s="9">
        <f>[4]王者铸币!O113</f>
        <v>29581699.913017116</v>
      </c>
      <c r="AB115" s="9">
        <f t="shared" si="34"/>
        <v>57.857653774096086</v>
      </c>
      <c r="AC115" s="9">
        <f t="shared" si="35"/>
        <v>74.065453800591953</v>
      </c>
      <c r="AD115" s="9">
        <f t="shared" si="36"/>
        <v>78.177769181387745</v>
      </c>
      <c r="AE115" s="9">
        <f t="shared" si="37"/>
        <v>78.025020504052421</v>
      </c>
      <c r="AF115" s="9">
        <f t="shared" si="38"/>
        <v>98.605666376723718</v>
      </c>
    </row>
    <row r="116" spans="22:32" x14ac:dyDescent="0.15">
      <c r="V116" s="9">
        <v>110</v>
      </c>
      <c r="W116" s="9">
        <f>[4]王者铸币!K114</f>
        <v>18623633.333333336</v>
      </c>
      <c r="X116" s="9">
        <f>[4]王者铸币!L114</f>
        <v>23833859.793333333</v>
      </c>
      <c r="Y116" s="9">
        <f>[4]王者铸币!M114</f>
        <v>25218903.613333333</v>
      </c>
      <c r="Z116" s="9">
        <f>[4]王者铸币!N114</f>
        <v>25213624.800000004</v>
      </c>
      <c r="AA116" s="9">
        <f>[4]王者铸币!O114</f>
        <v>31968715.893333334</v>
      </c>
      <c r="AB116" s="9">
        <f t="shared" si="34"/>
        <v>62.078777777777788</v>
      </c>
      <c r="AC116" s="9">
        <f t="shared" si="35"/>
        <v>79.446199311111116</v>
      </c>
      <c r="AD116" s="9">
        <f t="shared" si="36"/>
        <v>84.063012044444449</v>
      </c>
      <c r="AE116" s="9">
        <f t="shared" si="37"/>
        <v>84.045416000000017</v>
      </c>
      <c r="AF116" s="9">
        <f t="shared" si="38"/>
        <v>106.56238631111111</v>
      </c>
    </row>
    <row r="117" spans="22:32" x14ac:dyDescent="0.15">
      <c r="V117" s="9">
        <v>111</v>
      </c>
      <c r="W117" s="9">
        <f>[4]王者铸币!K115</f>
        <v>19980859.940099616</v>
      </c>
      <c r="X117" s="9">
        <f>[4]王者铸币!L115</f>
        <v>25624261.476829678</v>
      </c>
      <c r="Y117" s="9">
        <f>[4]王者铸币!M115</f>
        <v>27154700.826068256</v>
      </c>
      <c r="Z117" s="9">
        <f>[4]王者铸币!N115</f>
        <v>27211389.388568114</v>
      </c>
      <c r="AA117" s="9">
        <f>[4]王者铸币!O115</f>
        <v>34591131.721369043</v>
      </c>
      <c r="AB117" s="9">
        <f t="shared" si="34"/>
        <v>66.602866466998719</v>
      </c>
      <c r="AC117" s="9">
        <f t="shared" si="35"/>
        <v>85.414204922765592</v>
      </c>
      <c r="AD117" s="9">
        <f t="shared" si="36"/>
        <v>90.515669420227525</v>
      </c>
      <c r="AE117" s="9">
        <f t="shared" si="37"/>
        <v>90.704631295227045</v>
      </c>
      <c r="AF117" s="9">
        <f t="shared" si="38"/>
        <v>115.30377240456347</v>
      </c>
    </row>
    <row r="118" spans="22:32" x14ac:dyDescent="0.15">
      <c r="V118" s="9">
        <v>112</v>
      </c>
      <c r="W118" s="9">
        <f>[4]王者铸币!K116</f>
        <v>21435499.399879914</v>
      </c>
      <c r="X118" s="9">
        <f>[4]王者铸币!L116</f>
        <v>27513915.518592812</v>
      </c>
      <c r="Y118" s="9">
        <f>[4]王者铸币!M116</f>
        <v>29166069.178555626</v>
      </c>
      <c r="Z118" s="9">
        <f>[4]王者铸币!N116</f>
        <v>29258027.960381161</v>
      </c>
      <c r="AA118" s="9">
        <f>[4]王者铸币!O116</f>
        <v>37092057.587206863</v>
      </c>
      <c r="AB118" s="9">
        <f t="shared" si="34"/>
        <v>71.451664666266382</v>
      </c>
      <c r="AC118" s="9">
        <f t="shared" si="35"/>
        <v>91.713051728642711</v>
      </c>
      <c r="AD118" s="9">
        <f t="shared" si="36"/>
        <v>97.220230595185427</v>
      </c>
      <c r="AE118" s="9">
        <f t="shared" si="37"/>
        <v>97.526759867937201</v>
      </c>
      <c r="AF118" s="9">
        <f t="shared" si="38"/>
        <v>123.64019195735621</v>
      </c>
    </row>
    <row r="119" spans="22:32" x14ac:dyDescent="0.15">
      <c r="V119" s="9">
        <v>113</v>
      </c>
      <c r="W119" s="9">
        <f>[4]王者铸币!K117</f>
        <v>22994543.370430589</v>
      </c>
      <c r="X119" s="9">
        <f>[4]王者铸币!L117</f>
        <v>29533585.286597919</v>
      </c>
      <c r="Y119" s="9">
        <f>[4]王者铸币!M117</f>
        <v>31332668.726163995</v>
      </c>
      <c r="Z119" s="9">
        <f>[4]王者铸币!N117</f>
        <v>31349348.076993696</v>
      </c>
      <c r="AA119" s="9">
        <f>[4]王者铸币!O117</f>
        <v>39748272.192596495</v>
      </c>
      <c r="AB119" s="9">
        <f t="shared" si="34"/>
        <v>76.648477901435299</v>
      </c>
      <c r="AC119" s="9">
        <f t="shared" si="35"/>
        <v>98.445284288659735</v>
      </c>
      <c r="AD119" s="9">
        <f t="shared" si="36"/>
        <v>104.44222908721332</v>
      </c>
      <c r="AE119" s="9">
        <f t="shared" si="37"/>
        <v>104.49782692331232</v>
      </c>
      <c r="AF119" s="9">
        <f t="shared" si="38"/>
        <v>132.49424064198831</v>
      </c>
    </row>
    <row r="120" spans="22:32" x14ac:dyDescent="0.15">
      <c r="V120" s="9">
        <v>114</v>
      </c>
      <c r="W120" s="9">
        <f>[4]王者铸币!K118</f>
        <v>24665485.324993998</v>
      </c>
      <c r="X120" s="9">
        <f>[4]王者铸币!L118</f>
        <v>31691694.976370022</v>
      </c>
      <c r="Y120" s="9">
        <f>[4]王者铸币!M118</f>
        <v>33542377.439266793</v>
      </c>
      <c r="Z120" s="9">
        <f>[4]王者铸币!N118</f>
        <v>33522850.79251666</v>
      </c>
      <c r="AA120" s="9">
        <f>[4]王者铸币!O118</f>
        <v>42584943.574086919</v>
      </c>
      <c r="AB120" s="9">
        <f t="shared" si="34"/>
        <v>82.218284416646654</v>
      </c>
      <c r="AC120" s="9">
        <f t="shared" si="35"/>
        <v>105.63898325456674</v>
      </c>
      <c r="AD120" s="9">
        <f t="shared" si="36"/>
        <v>111.80792479755598</v>
      </c>
      <c r="AE120" s="9">
        <f t="shared" si="37"/>
        <v>111.74283597505553</v>
      </c>
      <c r="AF120" s="9">
        <f t="shared" si="38"/>
        <v>141.94981191362305</v>
      </c>
    </row>
    <row r="121" spans="22:32" x14ac:dyDescent="0.15">
      <c r="V121" s="9">
        <v>115</v>
      </c>
      <c r="W121" s="9">
        <f>[4]王者铸币!K119</f>
        <v>26456356.569333576</v>
      </c>
      <c r="X121" s="9">
        <f>[4]王者铸币!L119</f>
        <v>33900352.957459956</v>
      </c>
      <c r="Y121" s="9">
        <f>[4]王者铸币!M119</f>
        <v>35824751.61954914</v>
      </c>
      <c r="Z121" s="9">
        <f>[4]王者铸币!N119</f>
        <v>35805129.27185189</v>
      </c>
      <c r="AA121" s="9">
        <f>[4]王者铸币!O119</f>
        <v>45578082.064255208</v>
      </c>
      <c r="AB121" s="9">
        <f t="shared" si="34"/>
        <v>88.187855231111925</v>
      </c>
      <c r="AC121" s="9">
        <f t="shared" si="35"/>
        <v>113.00117652486652</v>
      </c>
      <c r="AD121" s="9">
        <f t="shared" si="36"/>
        <v>119.41583873183046</v>
      </c>
      <c r="AE121" s="9">
        <f t="shared" si="37"/>
        <v>119.35043090617296</v>
      </c>
      <c r="AF121" s="9">
        <f t="shared" si="38"/>
        <v>151.92694021418401</v>
      </c>
    </row>
    <row r="122" spans="22:32" x14ac:dyDescent="0.15">
      <c r="V122" s="9">
        <v>116</v>
      </c>
      <c r="W122" s="9">
        <f>[4]王者铸币!K120</f>
        <v>28375764.843836069</v>
      </c>
      <c r="X122" s="9">
        <f>[4]王者铸币!L120</f>
        <v>36321112.968604833</v>
      </c>
      <c r="Y122" s="9">
        <f>[4]王者铸币!M120</f>
        <v>38390837.975741982</v>
      </c>
      <c r="Z122" s="9">
        <f>[4]王者铸币!N120</f>
        <v>38456082.469223231</v>
      </c>
      <c r="AA122" s="9">
        <f>[4]王者铸币!O120</f>
        <v>48985202.211582161</v>
      </c>
      <c r="AB122" s="9">
        <f t="shared" si="34"/>
        <v>94.585882812786892</v>
      </c>
      <c r="AC122" s="9">
        <f t="shared" si="35"/>
        <v>121.07037656201611</v>
      </c>
      <c r="AD122" s="9">
        <f t="shared" si="36"/>
        <v>127.96945991913994</v>
      </c>
      <c r="AE122" s="9">
        <f t="shared" si="37"/>
        <v>128.18694156407744</v>
      </c>
      <c r="AF122" s="9">
        <f t="shared" si="38"/>
        <v>163.28400737194053</v>
      </c>
    </row>
    <row r="123" spans="22:32" x14ac:dyDescent="0.15">
      <c r="V123" s="9">
        <v>117</v>
      </c>
      <c r="W123" s="9">
        <f>[4]王者铸币!K121</f>
        <v>30432935.696220413</v>
      </c>
      <c r="X123" s="9">
        <f>[4]王者铸币!L121</f>
        <v>38968124.467707627</v>
      </c>
      <c r="Y123" s="9">
        <f>[4]王者铸币!M121</f>
        <v>41229938.508277498</v>
      </c>
      <c r="Z123" s="9">
        <f>[4]王者铸币!N121</f>
        <v>41290394.579944976</v>
      </c>
      <c r="AA123" s="9">
        <f>[4]王者铸币!O121</f>
        <v>52720057.161024347</v>
      </c>
      <c r="AB123" s="9">
        <f t="shared" si="34"/>
        <v>101.44311898740138</v>
      </c>
      <c r="AC123" s="9">
        <f t="shared" si="35"/>
        <v>129.89374822569209</v>
      </c>
      <c r="AD123" s="9">
        <f t="shared" si="36"/>
        <v>137.433128360925</v>
      </c>
      <c r="AE123" s="9">
        <f t="shared" si="37"/>
        <v>137.63464859981659</v>
      </c>
      <c r="AF123" s="9">
        <f t="shared" si="38"/>
        <v>175.73352387008114</v>
      </c>
    </row>
    <row r="124" spans="22:32" x14ac:dyDescent="0.15">
      <c r="V124" s="9">
        <v>118</v>
      </c>
      <c r="W124" s="9">
        <f>[4]王者铸币!K122</f>
        <v>32637756.823709235</v>
      </c>
      <c r="X124" s="9">
        <f>[4]王者铸币!L122</f>
        <v>41805786.773643039</v>
      </c>
      <c r="Y124" s="9">
        <f>[4]王者铸币!M122</f>
        <v>44249566.988433018</v>
      </c>
      <c r="Z124" s="9">
        <f>[4]王者铸币!N122</f>
        <v>44394256.069253393</v>
      </c>
      <c r="AA124" s="9">
        <f>[4]王者铸币!O122</f>
        <v>56662075.112692215</v>
      </c>
      <c r="AB124" s="9">
        <f t="shared" si="34"/>
        <v>108.79252274569745</v>
      </c>
      <c r="AC124" s="9">
        <f t="shared" si="35"/>
        <v>139.35262257881013</v>
      </c>
      <c r="AD124" s="9">
        <f t="shared" si="36"/>
        <v>147.49855662811007</v>
      </c>
      <c r="AE124" s="9">
        <f t="shared" si="37"/>
        <v>147.98085356417798</v>
      </c>
      <c r="AF124" s="9">
        <f t="shared" si="38"/>
        <v>188.87358370897405</v>
      </c>
    </row>
    <row r="125" spans="22:32" x14ac:dyDescent="0.15">
      <c r="V125" s="9">
        <v>119</v>
      </c>
      <c r="W125" s="9">
        <f>[4]王者铸币!K123</f>
        <v>35000825.597790986</v>
      </c>
      <c r="X125" s="9">
        <f>[4]王者铸币!L123</f>
        <v>44869125.367021836</v>
      </c>
      <c r="Y125" s="9">
        <f>[4]王者铸币!M123</f>
        <v>47543787.420028217</v>
      </c>
      <c r="Z125" s="9">
        <f>[4]王者铸币!N123</f>
        <v>47667279.871311471</v>
      </c>
      <c r="AA125" s="9">
        <f>[4]王者铸币!O123</f>
        <v>60673597.021866962</v>
      </c>
      <c r="AB125" s="9">
        <f t="shared" si="34"/>
        <v>116.66941865930329</v>
      </c>
      <c r="AC125" s="9">
        <f t="shared" si="35"/>
        <v>149.56375122340611</v>
      </c>
      <c r="AD125" s="9">
        <f t="shared" si="36"/>
        <v>158.47929140009407</v>
      </c>
      <c r="AE125" s="9">
        <f t="shared" si="37"/>
        <v>158.89093290437157</v>
      </c>
      <c r="AF125" s="9">
        <f t="shared" si="38"/>
        <v>202.24532340622321</v>
      </c>
    </row>
    <row r="126" spans="22:32" x14ac:dyDescent="0.15">
      <c r="V126" s="9">
        <v>120</v>
      </c>
      <c r="W126" s="9">
        <f>[4]王者铸币!K124</f>
        <v>37533500</v>
      </c>
      <c r="X126" s="9">
        <f>[4]王者铸币!L124</f>
        <v>48154624.100000001</v>
      </c>
      <c r="Y126" s="9">
        <f>[4]王者铸币!M124</f>
        <v>51004397.799999997</v>
      </c>
      <c r="Z126" s="9">
        <f>[4]王者铸币!N124</f>
        <v>50921832</v>
      </c>
      <c r="AA126" s="9">
        <f>[4]王者铸币!O124</f>
        <v>64908099.199999988</v>
      </c>
      <c r="AB126" s="9">
        <f t="shared" si="34"/>
        <v>125.11166666666666</v>
      </c>
      <c r="AC126" s="9">
        <f t="shared" si="35"/>
        <v>160.51541366666666</v>
      </c>
      <c r="AD126" s="9">
        <f t="shared" si="36"/>
        <v>170.01465933333333</v>
      </c>
      <c r="AE126" s="9">
        <f t="shared" si="37"/>
        <v>169.73944</v>
      </c>
      <c r="AF126" s="9">
        <f t="shared" si="38"/>
        <v>216.36033066666661</v>
      </c>
    </row>
    <row r="127" spans="22:32" x14ac:dyDescent="0.15">
      <c r="V127" s="9">
        <v>121</v>
      </c>
      <c r="W127" s="9">
        <f>[4]王者铸币!K125</f>
        <v>40247953.213532597</v>
      </c>
      <c r="X127" s="9">
        <f>[4]王者铸币!L125</f>
        <v>51574432.356883705</v>
      </c>
      <c r="Y127" s="9">
        <f>[4]王者铸币!M125</f>
        <v>54454571.49204915</v>
      </c>
      <c r="Z127" s="9">
        <f>[4]王者铸币!N125</f>
        <v>54393919.153139174</v>
      </c>
      <c r="AA127" s="9">
        <f>[4]王者铸币!O125</f>
        <v>69620258.431577459</v>
      </c>
      <c r="AB127" s="9">
        <f t="shared" si="34"/>
        <v>134.15984404510866</v>
      </c>
      <c r="AC127" s="9">
        <f t="shared" si="35"/>
        <v>171.91477452294569</v>
      </c>
      <c r="AD127" s="9">
        <f t="shared" si="36"/>
        <v>181.5152383068305</v>
      </c>
      <c r="AE127" s="9">
        <f t="shared" si="37"/>
        <v>181.31306384379724</v>
      </c>
      <c r="AF127" s="9">
        <f t="shared" si="38"/>
        <v>232.06752810525819</v>
      </c>
    </row>
    <row r="128" spans="22:32" x14ac:dyDescent="0.15">
      <c r="V128" s="9">
        <v>122</v>
      </c>
      <c r="W128" s="9">
        <f>[4]王者铸币!K126</f>
        <v>43157232.133093171</v>
      </c>
      <c r="X128" s="9">
        <f>[4]王者铸币!L126</f>
        <v>55169318.446671128</v>
      </c>
      <c r="Y128" s="9">
        <f>[4]王者铸币!M126</f>
        <v>58238576.615354903</v>
      </c>
      <c r="Z128" s="9">
        <f>[4]王者铸币!N126</f>
        <v>58269230.590645336</v>
      </c>
      <c r="AA128" s="9">
        <f>[4]王者铸币!O126</f>
        <v>74664713.318172768</v>
      </c>
      <c r="AB128" s="9">
        <f t="shared" si="34"/>
        <v>143.8574404436439</v>
      </c>
      <c r="AC128" s="9">
        <f t="shared" si="35"/>
        <v>183.89772815557043</v>
      </c>
      <c r="AD128" s="9">
        <f t="shared" si="36"/>
        <v>194.12858871784968</v>
      </c>
      <c r="AE128" s="9">
        <f t="shared" si="37"/>
        <v>194.23076863548445</v>
      </c>
      <c r="AF128" s="9">
        <f t="shared" si="38"/>
        <v>248.88237772724256</v>
      </c>
    </row>
    <row r="129" spans="22:32" x14ac:dyDescent="0.15">
      <c r="V129" s="9">
        <v>123</v>
      </c>
      <c r="W129" s="9">
        <f>[4]王者铸币!K127</f>
        <v>46275320.074194521</v>
      </c>
      <c r="X129" s="9">
        <f>[4]王者铸币!L127</f>
        <v>59159860.901654817</v>
      </c>
      <c r="Y129" s="9">
        <f>[4]王者铸币!M127</f>
        <v>62598877.412652284</v>
      </c>
      <c r="Z129" s="9">
        <f>[4]王者铸币!N127</f>
        <v>62731145.412414618</v>
      </c>
      <c r="AA129" s="9">
        <f>[4]王者铸币!O127</f>
        <v>80443223.852325737</v>
      </c>
      <c r="AB129" s="9">
        <f t="shared" si="34"/>
        <v>154.25106691398173</v>
      </c>
      <c r="AC129" s="9">
        <f t="shared" si="35"/>
        <v>197.19953633884938</v>
      </c>
      <c r="AD129" s="9">
        <f t="shared" si="36"/>
        <v>208.66292470884093</v>
      </c>
      <c r="AE129" s="9">
        <f t="shared" si="37"/>
        <v>209.10381804138206</v>
      </c>
      <c r="AF129" s="9">
        <f t="shared" si="38"/>
        <v>268.14407950775245</v>
      </c>
    </row>
    <row r="130" spans="22:32" x14ac:dyDescent="0.15">
      <c r="V130" s="9">
        <v>124</v>
      </c>
      <c r="W130" s="9">
        <f>[4]王者铸币!K128</f>
        <v>49617203.983321287</v>
      </c>
      <c r="X130" s="9">
        <f>[4]王者铸币!L128</f>
        <v>63557284.989510976</v>
      </c>
      <c r="Y130" s="9">
        <f>[4]王者铸币!M128</f>
        <v>67242244.372536957</v>
      </c>
      <c r="Z130" s="9">
        <f>[4]王者铸币!N128</f>
        <v>67445010.304529369</v>
      </c>
      <c r="AA130" s="9">
        <f>[4]王者铸币!O128</f>
        <v>86656851.943141565</v>
      </c>
      <c r="AB130" s="9">
        <f t="shared" si="34"/>
        <v>165.3906799444043</v>
      </c>
      <c r="AC130" s="9">
        <f t="shared" si="35"/>
        <v>211.85761663170325</v>
      </c>
      <c r="AD130" s="9">
        <f t="shared" si="36"/>
        <v>224.14081457512319</v>
      </c>
      <c r="AE130" s="9">
        <f t="shared" si="37"/>
        <v>224.81670101509789</v>
      </c>
      <c r="AF130" s="9">
        <f t="shared" si="38"/>
        <v>288.85617314380522</v>
      </c>
    </row>
    <row r="131" spans="22:32" x14ac:dyDescent="0.15">
      <c r="V131" s="9">
        <v>125</v>
      </c>
      <c r="W131" s="9">
        <f>[4]王者铸币!K129</f>
        <v>53198946.472000502</v>
      </c>
      <c r="X131" s="9">
        <f>[4]王者铸币!L129</f>
        <v>68117583.825141042</v>
      </c>
      <c r="Y131" s="9">
        <f>[4]王者铸币!M129</f>
        <v>72205372.769803897</v>
      </c>
      <c r="Z131" s="9">
        <f>[4]王者铸币!N129</f>
        <v>72448069.169965327</v>
      </c>
      <c r="AA131" s="9">
        <f>[4]王者铸币!O129</f>
        <v>92541517.198880836</v>
      </c>
      <c r="AB131" s="9">
        <f t="shared" si="34"/>
        <v>177.32982157333501</v>
      </c>
      <c r="AC131" s="9">
        <f t="shared" si="35"/>
        <v>227.05861275047013</v>
      </c>
      <c r="AD131" s="9">
        <f t="shared" si="36"/>
        <v>240.68457589934633</v>
      </c>
      <c r="AE131" s="9">
        <f t="shared" si="37"/>
        <v>241.49356389988444</v>
      </c>
      <c r="AF131" s="9">
        <f t="shared" si="38"/>
        <v>308.47172399626947</v>
      </c>
    </row>
    <row r="132" spans="22:32" x14ac:dyDescent="0.15">
      <c r="V132" s="9">
        <v>126</v>
      </c>
      <c r="W132" s="9">
        <f>[4]王者铸币!K130</f>
        <v>57037763.021005474</v>
      </c>
      <c r="X132" s="9">
        <f>[4]王者铸币!L130</f>
        <v>73141256.631172001</v>
      </c>
      <c r="Y132" s="9">
        <f>[4]王者铸币!M130</f>
        <v>77485781.329401046</v>
      </c>
      <c r="Z132" s="9">
        <f>[4]王者铸币!N130</f>
        <v>77398164.41065903</v>
      </c>
      <c r="AA132" s="9">
        <f>[4]王者铸币!O130</f>
        <v>98814741.205303937</v>
      </c>
      <c r="AB132" s="9">
        <f t="shared" si="34"/>
        <v>190.12587673668492</v>
      </c>
      <c r="AC132" s="9">
        <f t="shared" si="35"/>
        <v>243.80418877057335</v>
      </c>
      <c r="AD132" s="9">
        <f t="shared" si="36"/>
        <v>258.28593776467017</v>
      </c>
      <c r="AE132" s="9">
        <f t="shared" si="37"/>
        <v>257.99388136886341</v>
      </c>
      <c r="AF132" s="9">
        <f t="shared" si="38"/>
        <v>329.38247068434646</v>
      </c>
    </row>
    <row r="133" spans="22:32" x14ac:dyDescent="0.15">
      <c r="V133" s="9">
        <v>127</v>
      </c>
      <c r="W133" s="9">
        <f>[4]王者铸币!K131</f>
        <v>61152104.725774169</v>
      </c>
      <c r="X133" s="9">
        <f>[4]王者铸币!L131</f>
        <v>78421709.718249992</v>
      </c>
      <c r="Y133" s="9">
        <f>[4]王者铸币!M131</f>
        <v>82707008.545314297</v>
      </c>
      <c r="Z133" s="9">
        <f>[4]王者铸币!N131</f>
        <v>82508551.847866446</v>
      </c>
      <c r="AA133" s="9">
        <f>[4]王者铸币!O131</f>
        <v>105668399.351427</v>
      </c>
      <c r="AB133" s="9">
        <f t="shared" si="34"/>
        <v>203.84034908591389</v>
      </c>
      <c r="AC133" s="9">
        <f t="shared" si="35"/>
        <v>261.40569906083329</v>
      </c>
      <c r="AD133" s="9">
        <f t="shared" si="36"/>
        <v>275.690028484381</v>
      </c>
      <c r="AE133" s="9">
        <f t="shared" si="37"/>
        <v>275.02850615955481</v>
      </c>
      <c r="AF133" s="9">
        <f t="shared" si="38"/>
        <v>352.22799783809</v>
      </c>
    </row>
    <row r="134" spans="22:32" x14ac:dyDescent="0.15">
      <c r="V134" s="9">
        <v>128</v>
      </c>
      <c r="W134" s="9">
        <f>[4]王者铸币!K132</f>
        <v>65561746.980751693</v>
      </c>
      <c r="X134" s="9">
        <f>[4]王者铸币!L132</f>
        <v>83683749.87519218</v>
      </c>
      <c r="Y134" s="9">
        <f>[4]王者铸币!M132</f>
        <v>88196630.930053294</v>
      </c>
      <c r="Z134" s="9">
        <f>[4]王者铸币!N132</f>
        <v>88116569.524443835</v>
      </c>
      <c r="AA134" s="9">
        <f>[4]王者铸币!O132</f>
        <v>113120855.23366818</v>
      </c>
      <c r="AB134" s="9">
        <f t="shared" si="34"/>
        <v>218.53915660250564</v>
      </c>
      <c r="AC134" s="9">
        <f t="shared" si="35"/>
        <v>278.94583291730726</v>
      </c>
      <c r="AD134" s="9">
        <f t="shared" si="36"/>
        <v>293.98876976684431</v>
      </c>
      <c r="AE134" s="9">
        <f t="shared" si="37"/>
        <v>293.72189841481276</v>
      </c>
      <c r="AF134" s="9">
        <f t="shared" si="38"/>
        <v>377.06951744556062</v>
      </c>
    </row>
    <row r="135" spans="22:32" x14ac:dyDescent="0.15">
      <c r="V135" s="9">
        <v>129</v>
      </c>
      <c r="W135" s="9">
        <f>[4]王者铸币!K133</f>
        <v>70287884.528915301</v>
      </c>
      <c r="X135" s="9">
        <f>[4]王者铸币!L133</f>
        <v>89720870.205984861</v>
      </c>
      <c r="Y135" s="9">
        <f>[4]王者铸币!M133</f>
        <v>94722707.090941459</v>
      </c>
      <c r="Z135" s="9">
        <f>[4]王者铸币!N133</f>
        <v>94815803.027262464</v>
      </c>
      <c r="AA135" s="9">
        <f>[4]王者铸币!O133</f>
        <v>121662478.31321071</v>
      </c>
      <c r="AB135" s="9">
        <f t="shared" si="34"/>
        <v>234.29294842971768</v>
      </c>
      <c r="AC135" s="9">
        <f t="shared" si="35"/>
        <v>299.06956735328288</v>
      </c>
      <c r="AD135" s="9">
        <f t="shared" si="36"/>
        <v>315.74235696980486</v>
      </c>
      <c r="AE135" s="9">
        <f t="shared" si="37"/>
        <v>316.05267675754152</v>
      </c>
      <c r="AF135" s="9">
        <f t="shared" si="38"/>
        <v>405.54159437736905</v>
      </c>
    </row>
    <row r="136" spans="22:32" x14ac:dyDescent="0.15">
      <c r="V136" s="9">
        <v>130</v>
      </c>
      <c r="W136" s="9">
        <f>[4]王者铸币!K134</f>
        <v>75353233.333333343</v>
      </c>
      <c r="X136" s="9">
        <f>[4]王者铸币!L134</f>
        <v>96305423.5</v>
      </c>
      <c r="Y136" s="9">
        <f>[4]王者铸币!M134</f>
        <v>101788831.74666665</v>
      </c>
      <c r="Z136" s="9">
        <f>[4]王者铸币!N134</f>
        <v>101954798.40000002</v>
      </c>
      <c r="AA136" s="9">
        <f>[4]王者铸币!O134</f>
        <v>130991412.34666668</v>
      </c>
      <c r="AB136" s="9">
        <f t="shared" ref="AB136:AB166" si="46">W136/$W$3</f>
        <v>251.17744444444449</v>
      </c>
      <c r="AC136" s="9">
        <f t="shared" ref="AC136:AC166" si="47">X136/$W$3</f>
        <v>321.01807833333334</v>
      </c>
      <c r="AD136" s="9">
        <f t="shared" ref="AD136:AD166" si="48">Y136/$W$3</f>
        <v>339.29610582222216</v>
      </c>
      <c r="AE136" s="9">
        <f t="shared" ref="AE136:AE166" si="49">Z136/$W$3</f>
        <v>339.84932800000007</v>
      </c>
      <c r="AF136" s="9">
        <f t="shared" ref="AF136:AF166" si="50">AA136/$W$3</f>
        <v>436.63804115555558</v>
      </c>
    </row>
    <row r="137" spans="22:32" x14ac:dyDescent="0.15">
      <c r="V137" s="9">
        <v>131</v>
      </c>
      <c r="W137" s="9">
        <f>[4]王者铸币!K135</f>
        <v>80782139.760398537</v>
      </c>
      <c r="X137" s="9">
        <f>[4]王者铸币!L135</f>
        <v>103297374.16602139</v>
      </c>
      <c r="Y137" s="9">
        <f>[4]王者铸币!M135</f>
        <v>109232498.89148378</v>
      </c>
      <c r="Z137" s="9">
        <f>[4]王者铸币!N135</f>
        <v>109580409.30627836</v>
      </c>
      <c r="AA137" s="9">
        <f>[4]王者铸币!O135</f>
        <v>140419135.20786852</v>
      </c>
      <c r="AB137" s="9">
        <f t="shared" si="46"/>
        <v>269.27379920132847</v>
      </c>
      <c r="AC137" s="9">
        <f t="shared" si="47"/>
        <v>344.32458055340464</v>
      </c>
      <c r="AD137" s="9">
        <f t="shared" si="48"/>
        <v>364.10832963827926</v>
      </c>
      <c r="AE137" s="9">
        <f t="shared" si="49"/>
        <v>365.26803102092788</v>
      </c>
      <c r="AF137" s="9">
        <f t="shared" si="50"/>
        <v>468.0637840262284</v>
      </c>
    </row>
    <row r="138" spans="22:32" x14ac:dyDescent="0.15">
      <c r="V138" s="9">
        <v>132</v>
      </c>
      <c r="W138" s="9">
        <f>[4]王者铸币!K136</f>
        <v>86600697.59951967</v>
      </c>
      <c r="X138" s="9">
        <f>[4]王者铸币!L136</f>
        <v>110820894.00979945</v>
      </c>
      <c r="Y138" s="9">
        <f>[4]王者铸币!M136</f>
        <v>117373786.721588</v>
      </c>
      <c r="Z138" s="9">
        <f>[4]王者铸币!N136</f>
        <v>117379941.49329616</v>
      </c>
      <c r="AA138" s="9">
        <f>[4]王者铸币!O136</f>
        <v>150162605.3574982</v>
      </c>
      <c r="AB138" s="9">
        <f t="shared" si="46"/>
        <v>288.66899199839889</v>
      </c>
      <c r="AC138" s="9">
        <f t="shared" si="47"/>
        <v>369.40298003266486</v>
      </c>
      <c r="AD138" s="9">
        <f t="shared" si="48"/>
        <v>391.24595573862666</v>
      </c>
      <c r="AE138" s="9">
        <f t="shared" si="49"/>
        <v>391.26647164432052</v>
      </c>
      <c r="AF138" s="9">
        <f t="shared" si="50"/>
        <v>500.54201785832731</v>
      </c>
    </row>
    <row r="139" spans="22:32" x14ac:dyDescent="0.15">
      <c r="V139" s="9">
        <v>133</v>
      </c>
      <c r="W139" s="9">
        <f>[4]王者铸币!K137</f>
        <v>92836873.48172237</v>
      </c>
      <c r="X139" s="9">
        <f>[4]王者铸币!L137</f>
        <v>118890049.85145175</v>
      </c>
      <c r="Y139" s="9">
        <f>[4]王者铸币!M137</f>
        <v>125522184.69425212</v>
      </c>
      <c r="Z139" s="9">
        <f>[4]王者铸币!N137</f>
        <v>125258535.76345803</v>
      </c>
      <c r="AA139" s="9">
        <f>[4]王者铸币!O137</f>
        <v>160445482.67202333</v>
      </c>
      <c r="AB139" s="9">
        <f t="shared" si="46"/>
        <v>309.45624493907457</v>
      </c>
      <c r="AC139" s="9">
        <f t="shared" si="47"/>
        <v>396.30016617150585</v>
      </c>
      <c r="AD139" s="9">
        <f t="shared" si="48"/>
        <v>418.40728231417376</v>
      </c>
      <c r="AE139" s="9">
        <f t="shared" si="49"/>
        <v>417.5284525448601</v>
      </c>
      <c r="AF139" s="9">
        <f t="shared" si="50"/>
        <v>534.81827557341114</v>
      </c>
    </row>
    <row r="140" spans="22:32" x14ac:dyDescent="0.15">
      <c r="V140" s="9">
        <v>134</v>
      </c>
      <c r="W140" s="9">
        <f>[4]王者铸币!K138</f>
        <v>99520641.299975917</v>
      </c>
      <c r="X140" s="9">
        <f>[4]王者铸币!L138</f>
        <v>127092617.6443042</v>
      </c>
      <c r="Y140" s="9">
        <f>[4]王者铸币!M138</f>
        <v>133953260.94410756</v>
      </c>
      <c r="Z140" s="9">
        <f>[4]王者铸币!N138</f>
        <v>133771719.53232566</v>
      </c>
      <c r="AA140" s="9">
        <f>[4]王者铸币!O138</f>
        <v>171691481.30044854</v>
      </c>
      <c r="AB140" s="9">
        <f t="shared" si="46"/>
        <v>331.7354709999197</v>
      </c>
      <c r="AC140" s="9">
        <f t="shared" si="47"/>
        <v>423.64205881434731</v>
      </c>
      <c r="AD140" s="9">
        <f t="shared" si="48"/>
        <v>446.5108698136919</v>
      </c>
      <c r="AE140" s="9">
        <f t="shared" si="49"/>
        <v>445.90573177441883</v>
      </c>
      <c r="AF140" s="9">
        <f t="shared" si="50"/>
        <v>572.30493766816176</v>
      </c>
    </row>
    <row r="141" spans="22:32" x14ac:dyDescent="0.15">
      <c r="V141" s="9">
        <v>135</v>
      </c>
      <c r="W141" s="9">
        <f>[4]王者铸币!K139</f>
        <v>106684126.27733433</v>
      </c>
      <c r="X141" s="9">
        <f>[4]王者铸币!L139</f>
        <v>136083935.87713358</v>
      </c>
      <c r="Y141" s="9">
        <f>[4]王者铸币!M139</f>
        <v>143415675.96929201</v>
      </c>
      <c r="Z141" s="9">
        <f>[4]王者铸币!N139</f>
        <v>143490093.86186877</v>
      </c>
      <c r="AA141" s="9">
        <f>[4]王者铸币!O139</f>
        <v>184439933.38961375</v>
      </c>
      <c r="AB141" s="9">
        <f t="shared" si="46"/>
        <v>355.61375425778112</v>
      </c>
      <c r="AC141" s="9">
        <f t="shared" si="47"/>
        <v>453.61311959044525</v>
      </c>
      <c r="AD141" s="9">
        <f t="shared" si="48"/>
        <v>478.05225323097341</v>
      </c>
      <c r="AE141" s="9">
        <f t="shared" si="49"/>
        <v>478.30031287289592</v>
      </c>
      <c r="AF141" s="9">
        <f t="shared" si="50"/>
        <v>614.79977796537912</v>
      </c>
    </row>
    <row r="142" spans="22:32" x14ac:dyDescent="0.15">
      <c r="V142" s="9">
        <v>136</v>
      </c>
      <c r="W142" s="9">
        <f>[4]王者铸币!K140</f>
        <v>114361759.37534429</v>
      </c>
      <c r="X142" s="9">
        <f>[4]王者铸币!L140</f>
        <v>145985793.86573982</v>
      </c>
      <c r="Y142" s="9">
        <f>[4]王者铸币!M140</f>
        <v>154277108.41234002</v>
      </c>
      <c r="Z142" s="9">
        <f>[4]王者铸币!N140</f>
        <v>154362247.1101681</v>
      </c>
      <c r="AA142" s="9">
        <f>[4]王者铸币!O140</f>
        <v>198512385.84476703</v>
      </c>
      <c r="AB142" s="9">
        <f t="shared" si="46"/>
        <v>381.20586458448099</v>
      </c>
      <c r="AC142" s="9">
        <f t="shared" si="47"/>
        <v>486.61931288579939</v>
      </c>
      <c r="AD142" s="9">
        <f t="shared" si="48"/>
        <v>514.25702804113337</v>
      </c>
      <c r="AE142" s="9">
        <f t="shared" si="49"/>
        <v>514.54082370056028</v>
      </c>
      <c r="AF142" s="9">
        <f t="shared" si="50"/>
        <v>661.70795281589017</v>
      </c>
    </row>
    <row r="143" spans="22:32" x14ac:dyDescent="0.15">
      <c r="V143" s="9">
        <v>137</v>
      </c>
      <c r="W143" s="9">
        <f>[4]王者铸币!K141</f>
        <v>122590442.78488168</v>
      </c>
      <c r="X143" s="9">
        <f>[4]王者铸币!L141</f>
        <v>156679957.4929294</v>
      </c>
      <c r="Y143" s="9">
        <f>[4]王者铸币!M141</f>
        <v>165562782.64516008</v>
      </c>
      <c r="Z143" s="9">
        <f>[4]王者铸币!N141</f>
        <v>165809622.69573289</v>
      </c>
      <c r="AA143" s="9">
        <f>[4]王者铸币!O141</f>
        <v>213145750.81765631</v>
      </c>
      <c r="AB143" s="9">
        <f t="shared" si="46"/>
        <v>408.63480928293893</v>
      </c>
      <c r="AC143" s="9">
        <f t="shared" si="47"/>
        <v>522.26652497643136</v>
      </c>
      <c r="AD143" s="9">
        <f t="shared" si="48"/>
        <v>551.87594215053355</v>
      </c>
      <c r="AE143" s="9">
        <f t="shared" si="49"/>
        <v>552.69874231910967</v>
      </c>
      <c r="AF143" s="9">
        <f t="shared" si="50"/>
        <v>710.48583605885437</v>
      </c>
    </row>
    <row r="144" spans="22:32" x14ac:dyDescent="0.15">
      <c r="V144" s="9">
        <v>138</v>
      </c>
      <c r="W144" s="9">
        <f>[4]王者铸币!K142</f>
        <v>131409727.29483674</v>
      </c>
      <c r="X144" s="9">
        <f>[4]王者铸币!L142</f>
        <v>167956269.19650018</v>
      </c>
      <c r="Y144" s="9">
        <f>[4]王者铸币!M142</f>
        <v>177618142.02991408</v>
      </c>
      <c r="Z144" s="9">
        <f>[4]王者铸币!N142</f>
        <v>177878479.65454447</v>
      </c>
      <c r="AA144" s="9">
        <f>[4]王者铸币!O142</f>
        <v>227687909.4739216</v>
      </c>
      <c r="AB144" s="9">
        <f t="shared" si="46"/>
        <v>438.0324243161225</v>
      </c>
      <c r="AC144" s="9">
        <f t="shared" si="47"/>
        <v>559.85423065500061</v>
      </c>
      <c r="AD144" s="9">
        <f t="shared" si="48"/>
        <v>592.06047343304692</v>
      </c>
      <c r="AE144" s="9">
        <f t="shared" si="49"/>
        <v>592.92826551514827</v>
      </c>
      <c r="AF144" s="9">
        <f t="shared" si="50"/>
        <v>758.95969824640531</v>
      </c>
    </row>
    <row r="145" spans="22:32" x14ac:dyDescent="0.15">
      <c r="V145" s="9">
        <v>139</v>
      </c>
      <c r="W145" s="9">
        <f>[4]王者铸币!K143</f>
        <v>140862002.39116395</v>
      </c>
      <c r="X145" s="9">
        <f>[4]王者铸币!L143</f>
        <v>180127113.76419383</v>
      </c>
      <c r="Y145" s="9">
        <f>[4]王者铸币!M143</f>
        <v>190435298.03572309</v>
      </c>
      <c r="Z145" s="9">
        <f>[4]王者铸币!N143</f>
        <v>189947197.30348477</v>
      </c>
      <c r="AA145" s="9">
        <f>[4]王者铸币!O143</f>
        <v>243305375.87225184</v>
      </c>
      <c r="AB145" s="9">
        <f t="shared" si="46"/>
        <v>469.54000797054647</v>
      </c>
      <c r="AC145" s="9">
        <f t="shared" si="47"/>
        <v>600.42371254731279</v>
      </c>
      <c r="AD145" s="9">
        <f t="shared" si="48"/>
        <v>634.78432678574359</v>
      </c>
      <c r="AE145" s="9">
        <f t="shared" si="49"/>
        <v>633.15732434494919</v>
      </c>
      <c r="AF145" s="9">
        <f t="shared" si="50"/>
        <v>811.01791957417277</v>
      </c>
    </row>
    <row r="146" spans="22:32" x14ac:dyDescent="0.15">
      <c r="V146" s="9">
        <v>140</v>
      </c>
      <c r="W146" s="9">
        <f>[4]王者铸币!K144</f>
        <v>150992700</v>
      </c>
      <c r="X146" s="9">
        <f>[4]王者铸币!L144</f>
        <v>192995001.54000002</v>
      </c>
      <c r="Y146" s="9">
        <f>[4]王者铸币!M144</f>
        <v>203266793.78000003</v>
      </c>
      <c r="Z146" s="9">
        <f>[4]王者铸币!N144</f>
        <v>202742732.40000001</v>
      </c>
      <c r="AA146" s="9">
        <f>[4]王者铸币!O144</f>
        <v>260289353.24000001</v>
      </c>
      <c r="AB146" s="9">
        <f t="shared" si="46"/>
        <v>503.30900000000003</v>
      </c>
      <c r="AC146" s="9">
        <f t="shared" si="47"/>
        <v>643.31667180000011</v>
      </c>
      <c r="AD146" s="9">
        <f t="shared" si="48"/>
        <v>677.55597926666678</v>
      </c>
      <c r="AE146" s="9">
        <f t="shared" si="49"/>
        <v>675.80910800000004</v>
      </c>
      <c r="AF146" s="9">
        <f t="shared" si="50"/>
        <v>867.63117746666671</v>
      </c>
    </row>
    <row r="147" spans="22:32" x14ac:dyDescent="0.15">
      <c r="V147" s="9">
        <v>141</v>
      </c>
      <c r="W147" s="9">
        <f>[4]王者铸币!K145</f>
        <v>161850512.85413015</v>
      </c>
      <c r="X147" s="9">
        <f>[4]王者铸币!L145</f>
        <v>206339529.76622602</v>
      </c>
      <c r="Y147" s="9">
        <f>[4]王者铸币!M145</f>
        <v>217150824.260526</v>
      </c>
      <c r="Z147" s="9">
        <f>[4]王者铸币!N145</f>
        <v>217122889.06323293</v>
      </c>
      <c r="AA147" s="9">
        <f>[4]王者铸币!O145</f>
        <v>278887413.17342532</v>
      </c>
      <c r="AB147" s="9">
        <f t="shared" si="46"/>
        <v>539.5017095137672</v>
      </c>
      <c r="AC147" s="9">
        <f t="shared" si="47"/>
        <v>687.79843255408673</v>
      </c>
      <c r="AD147" s="9">
        <f t="shared" si="48"/>
        <v>723.83608086842003</v>
      </c>
      <c r="AE147" s="9">
        <f t="shared" si="49"/>
        <v>723.74296354410978</v>
      </c>
      <c r="AF147" s="9">
        <f t="shared" si="50"/>
        <v>929.62471057808443</v>
      </c>
    </row>
    <row r="148" spans="22:32" x14ac:dyDescent="0.15">
      <c r="V148" s="9">
        <v>142</v>
      </c>
      <c r="W148" s="9">
        <f>[4]王者铸币!K146</f>
        <v>173487628.53237271</v>
      </c>
      <c r="X148" s="9">
        <f>[4]王者铸币!L146</f>
        <v>221180078.71982679</v>
      </c>
      <c r="Y148" s="9">
        <f>[4]王者铸币!M146</f>
        <v>233367942.93028018</v>
      </c>
      <c r="Z148" s="9">
        <f>[4]王者铸币!N146</f>
        <v>233301655.83433911</v>
      </c>
      <c r="AA148" s="9">
        <f>[4]王者铸币!O146</f>
        <v>299746022.28657466</v>
      </c>
      <c r="AB148" s="9">
        <f t="shared" si="46"/>
        <v>578.29209510790906</v>
      </c>
      <c r="AC148" s="9">
        <f t="shared" si="47"/>
        <v>737.26692906608935</v>
      </c>
      <c r="AD148" s="9">
        <f t="shared" si="48"/>
        <v>777.89314310093391</v>
      </c>
      <c r="AE148" s="9">
        <f t="shared" si="49"/>
        <v>777.67218611446367</v>
      </c>
      <c r="AF148" s="9">
        <f t="shared" si="50"/>
        <v>999.15340762191556</v>
      </c>
    </row>
    <row r="149" spans="22:32" x14ac:dyDescent="0.15">
      <c r="V149" s="9">
        <v>143</v>
      </c>
      <c r="W149" s="9">
        <f>[4]王者铸币!K147</f>
        <v>185959980.29677811</v>
      </c>
      <c r="X149" s="9">
        <f>[4]王者铸币!L147</f>
        <v>237366821.56738427</v>
      </c>
      <c r="Y149" s="9">
        <f>[4]王者铸币!M147</f>
        <v>250493449.44005692</v>
      </c>
      <c r="Z149" s="9">
        <f>[4]王者铸币!N147</f>
        <v>250627821.3586095</v>
      </c>
      <c r="AA149" s="9">
        <f>[4]王者铸币!O147</f>
        <v>322404670.9095664</v>
      </c>
      <c r="AB149" s="9">
        <f t="shared" si="46"/>
        <v>619.86660098926041</v>
      </c>
      <c r="AC149" s="9">
        <f t="shared" si="47"/>
        <v>791.22273855794754</v>
      </c>
      <c r="AD149" s="9">
        <f t="shared" si="48"/>
        <v>834.97816480018969</v>
      </c>
      <c r="AE149" s="9">
        <f t="shared" si="49"/>
        <v>835.42607119536501</v>
      </c>
      <c r="AF149" s="9">
        <f t="shared" si="50"/>
        <v>1074.6822363652213</v>
      </c>
    </row>
    <row r="150" spans="22:32" x14ac:dyDescent="0.15">
      <c r="V150" s="9">
        <v>144</v>
      </c>
      <c r="W150" s="9">
        <f>[4]王者铸币!K148</f>
        <v>199327515.93328518</v>
      </c>
      <c r="X150" s="9">
        <f>[4]王者铸币!L148</f>
        <v>254434307.68672124</v>
      </c>
      <c r="Y150" s="9">
        <f>[4]王者铸币!M148</f>
        <v>268792333.80037504</v>
      </c>
      <c r="Z150" s="9">
        <f>[4]王者铸币!N148</f>
        <v>269122776.42565906</v>
      </c>
      <c r="AA150" s="9">
        <f>[4]王者铸币!O148</f>
        <v>345004654.32198668</v>
      </c>
      <c r="AB150" s="9">
        <f t="shared" si="46"/>
        <v>664.42505311095056</v>
      </c>
      <c r="AC150" s="9">
        <f t="shared" si="47"/>
        <v>848.11435895573743</v>
      </c>
      <c r="AD150" s="9">
        <f t="shared" si="48"/>
        <v>895.97444600125016</v>
      </c>
      <c r="AE150" s="9">
        <f t="shared" si="49"/>
        <v>897.07592141886357</v>
      </c>
      <c r="AF150" s="9">
        <f t="shared" si="50"/>
        <v>1150.0155144066223</v>
      </c>
    </row>
    <row r="151" spans="22:32" x14ac:dyDescent="0.15">
      <c r="V151" s="9">
        <v>145</v>
      </c>
      <c r="W151" s="9">
        <f>[4]王者铸币!K149</f>
        <v>213654485.88800204</v>
      </c>
      <c r="X151" s="9">
        <f>[4]王者铸币!L149</f>
        <v>273114180.00373256</v>
      </c>
      <c r="Y151" s="9">
        <f>[4]王者铸币!M149</f>
        <v>288467437.43469077</v>
      </c>
      <c r="Z151" s="9">
        <f>[4]王者铸币!N149</f>
        <v>287953363.62878382</v>
      </c>
      <c r="AA151" s="9">
        <f>[4]王者铸币!O149</f>
        <v>368743540.04737598</v>
      </c>
      <c r="AB151" s="9">
        <f t="shared" si="46"/>
        <v>712.18161962667341</v>
      </c>
      <c r="AC151" s="9">
        <f t="shared" si="47"/>
        <v>910.38060001244185</v>
      </c>
      <c r="AD151" s="9">
        <f t="shared" si="48"/>
        <v>961.55812478230257</v>
      </c>
      <c r="AE151" s="9">
        <f t="shared" si="49"/>
        <v>959.84454542927938</v>
      </c>
      <c r="AF151" s="9">
        <f t="shared" si="50"/>
        <v>1229.1451334912533</v>
      </c>
    </row>
    <row r="152" spans="22:32" x14ac:dyDescent="0.15">
      <c r="V152" s="9">
        <v>146</v>
      </c>
      <c r="W152" s="9">
        <f>[4]王者铸币!K150</f>
        <v>229009752.08402196</v>
      </c>
      <c r="X152" s="9">
        <f>[4]王者铸币!L150</f>
        <v>292678179.11399543</v>
      </c>
      <c r="Y152" s="9">
        <f>[4]王者铸币!M150</f>
        <v>308203540.35634398</v>
      </c>
      <c r="Z152" s="9">
        <f>[4]王者铸币!N150</f>
        <v>307257232.299797</v>
      </c>
      <c r="AA152" s="9">
        <f>[4]王者铸币!O150</f>
        <v>393637190.89487922</v>
      </c>
      <c r="AB152" s="9">
        <f t="shared" si="46"/>
        <v>763.36584028007314</v>
      </c>
      <c r="AC152" s="9">
        <f t="shared" si="47"/>
        <v>975.59393037998473</v>
      </c>
      <c r="AD152" s="9">
        <f t="shared" si="48"/>
        <v>1027.3451345211465</v>
      </c>
      <c r="AE152" s="9">
        <f t="shared" si="49"/>
        <v>1024.1907743326567</v>
      </c>
      <c r="AF152" s="9">
        <f t="shared" si="50"/>
        <v>1312.1239696495975</v>
      </c>
    </row>
    <row r="153" spans="22:32" x14ac:dyDescent="0.15">
      <c r="V153" s="9">
        <v>147</v>
      </c>
      <c r="W153" s="9">
        <f>[4]王者铸币!K151</f>
        <v>245467118.90309674</v>
      </c>
      <c r="X153" s="9">
        <f>[4]王者铸币!L151</f>
        <v>312677218.44249725</v>
      </c>
      <c r="Y153" s="9">
        <f>[4]王者铸币!M151</f>
        <v>328841416.97771078</v>
      </c>
      <c r="Z153" s="9">
        <f>[4]王者铸币!N151</f>
        <v>327637053.74909592</v>
      </c>
      <c r="AA153" s="9">
        <f>[4]王者铸币!O151</f>
        <v>420527799.42378616</v>
      </c>
      <c r="AB153" s="9">
        <f t="shared" si="46"/>
        <v>818.22372967698914</v>
      </c>
      <c r="AC153" s="9">
        <f t="shared" si="47"/>
        <v>1042.2573948083241</v>
      </c>
      <c r="AD153" s="9">
        <f t="shared" si="48"/>
        <v>1096.1380565923694</v>
      </c>
      <c r="AE153" s="9">
        <f t="shared" si="49"/>
        <v>1092.1235124969865</v>
      </c>
      <c r="AF153" s="9">
        <f t="shared" si="50"/>
        <v>1401.7593314126204</v>
      </c>
    </row>
    <row r="154" spans="22:32" x14ac:dyDescent="0.15">
      <c r="V154" s="9">
        <v>148</v>
      </c>
      <c r="W154" s="9">
        <f>[4]王者铸币!K152</f>
        <v>263105687.92300683</v>
      </c>
      <c r="X154" s="9">
        <f>[4]王者铸币!L152</f>
        <v>335149990.71046567</v>
      </c>
      <c r="Y154" s="9">
        <f>[4]王者铸币!M152</f>
        <v>352694861.0423367</v>
      </c>
      <c r="Z154" s="9">
        <f>[4]王者铸币!N152</f>
        <v>351951223.73076534</v>
      </c>
      <c r="AA154" s="9">
        <f>[4]王者铸币!O152</f>
        <v>451024699.40003639</v>
      </c>
      <c r="AB154" s="9">
        <f t="shared" si="46"/>
        <v>877.01895974335616</v>
      </c>
      <c r="AC154" s="9">
        <f t="shared" si="47"/>
        <v>1117.1666357015522</v>
      </c>
      <c r="AD154" s="9">
        <f t="shared" si="48"/>
        <v>1175.649536807789</v>
      </c>
      <c r="AE154" s="9">
        <f t="shared" si="49"/>
        <v>1173.1707457692178</v>
      </c>
      <c r="AF154" s="9">
        <f t="shared" si="50"/>
        <v>1503.415664666788</v>
      </c>
    </row>
    <row r="155" spans="22:32" x14ac:dyDescent="0.15">
      <c r="V155" s="9">
        <v>149</v>
      </c>
      <c r="W155" s="9">
        <f>[4]王者铸币!K153</f>
        <v>282010238.11566132</v>
      </c>
      <c r="X155" s="9">
        <f>[4]王者铸币!L153</f>
        <v>359320907.37208146</v>
      </c>
      <c r="Y155" s="9">
        <f>[4]王者铸币!M153</f>
        <v>378388388.44646376</v>
      </c>
      <c r="Z155" s="9">
        <f>[4]王者铸币!N153</f>
        <v>377507319.00003505</v>
      </c>
      <c r="AA155" s="9">
        <f>[4]王者铸币!O153</f>
        <v>483914451.9744966</v>
      </c>
      <c r="AB155" s="9">
        <f t="shared" si="46"/>
        <v>940.03412705220444</v>
      </c>
      <c r="AC155" s="9">
        <f t="shared" si="47"/>
        <v>1197.7363579069381</v>
      </c>
      <c r="AD155" s="9">
        <f t="shared" si="48"/>
        <v>1261.2946281548793</v>
      </c>
      <c r="AE155" s="9">
        <f t="shared" si="49"/>
        <v>1258.3577300001168</v>
      </c>
      <c r="AF155" s="9">
        <f t="shared" si="50"/>
        <v>1613.048173248322</v>
      </c>
    </row>
    <row r="156" spans="22:32" x14ac:dyDescent="0.15">
      <c r="V156" s="9">
        <v>150</v>
      </c>
      <c r="W156" s="9">
        <f>[4]王者铸币!K154</f>
        <v>302271633.33333337</v>
      </c>
      <c r="X156" s="9">
        <f>[4]王者铸币!L154</f>
        <v>385141458.89999998</v>
      </c>
      <c r="Y156" s="9">
        <f>[4]王者铸币!M154</f>
        <v>405647795.11333334</v>
      </c>
      <c r="Z156" s="9">
        <f>[4]王者铸币!N154</f>
        <v>404914780.40000004</v>
      </c>
      <c r="AA156" s="9">
        <f>[4]王者铸币!O154</f>
        <v>520626582.00000006</v>
      </c>
      <c r="AB156" s="9">
        <f t="shared" si="46"/>
        <v>1007.5721111111112</v>
      </c>
      <c r="AC156" s="9">
        <f t="shared" si="47"/>
        <v>1283.8048629999998</v>
      </c>
      <c r="AD156" s="9">
        <f t="shared" si="48"/>
        <v>1352.1593170444444</v>
      </c>
      <c r="AE156" s="9">
        <f t="shared" si="49"/>
        <v>1349.7159346666667</v>
      </c>
      <c r="AF156" s="9">
        <f t="shared" si="50"/>
        <v>1735.4219400000002</v>
      </c>
    </row>
    <row r="157" spans="22:32" x14ac:dyDescent="0.15">
      <c r="V157" s="9">
        <v>151</v>
      </c>
      <c r="W157" s="9">
        <f>[4]王者铸币!K155</f>
        <v>323987259.04159367</v>
      </c>
      <c r="X157" s="9">
        <f>[4]王者铸币!L155</f>
        <v>413010970.00019264</v>
      </c>
      <c r="Y157" s="9">
        <f>[4]王者铸币!M155</f>
        <v>435127458.44828528</v>
      </c>
      <c r="Z157" s="9">
        <f>[4]王者铸币!N155</f>
        <v>436133896.75846213</v>
      </c>
      <c r="AA157" s="9">
        <f>[4]王者铸币!O155</f>
        <v>566913946.71539974</v>
      </c>
      <c r="AB157" s="9">
        <f t="shared" si="46"/>
        <v>1079.9575301386456</v>
      </c>
      <c r="AC157" s="9">
        <f t="shared" si="47"/>
        <v>1376.7032333339755</v>
      </c>
      <c r="AD157" s="9">
        <f t="shared" si="48"/>
        <v>1450.4248614942842</v>
      </c>
      <c r="AE157" s="9">
        <f t="shared" si="49"/>
        <v>1453.7796558615405</v>
      </c>
      <c r="AF157" s="9">
        <f t="shared" si="50"/>
        <v>1889.7131557179991</v>
      </c>
    </row>
    <row r="158" spans="22:32" x14ac:dyDescent="0.15">
      <c r="V158" s="9">
        <v>152</v>
      </c>
      <c r="W158" s="9">
        <f>[4]王者铸币!K156</f>
        <v>347261490.39807874</v>
      </c>
      <c r="X158" s="9">
        <f>[4]王者铸币!L156</f>
        <v>442580154.75382477</v>
      </c>
      <c r="Y158" s="9">
        <f>[4]王者铸币!M156</f>
        <v>468970500.52780443</v>
      </c>
      <c r="Z158" s="9">
        <f>[4]王者铸币!N156</f>
        <v>473854696.45340496</v>
      </c>
      <c r="AA158" s="9">
        <f>[4]王者铸币!O156</f>
        <v>880771393.48392916</v>
      </c>
      <c r="AB158" s="9">
        <f t="shared" si="46"/>
        <v>1157.5383013269291</v>
      </c>
      <c r="AC158" s="9">
        <f t="shared" si="47"/>
        <v>1475.2671825127493</v>
      </c>
      <c r="AD158" s="9">
        <f t="shared" si="48"/>
        <v>1563.2350017593481</v>
      </c>
      <c r="AE158" s="9">
        <f t="shared" si="49"/>
        <v>1579.5156548446832</v>
      </c>
      <c r="AF158" s="9">
        <f t="shared" si="50"/>
        <v>2935.9046449464304</v>
      </c>
    </row>
    <row r="159" spans="22:32" x14ac:dyDescent="0.15">
      <c r="V159" s="9">
        <v>153</v>
      </c>
      <c r="W159" s="9">
        <f>[4]王者铸币!K157</f>
        <v>372206193.92688954</v>
      </c>
      <c r="X159" s="9">
        <f>[4]王者铸币!L157</f>
        <v>477917656.23568696</v>
      </c>
      <c r="Y159" s="9">
        <f>[4]王者铸币!M157</f>
        <v>508258042.90413111</v>
      </c>
      <c r="Z159" s="9">
        <f>[4]王者铸币!N157</f>
        <v>628541786.1291852</v>
      </c>
      <c r="AA159" s="9">
        <f>[4]王者铸币!O157</f>
        <v>1511723577.9209633</v>
      </c>
      <c r="AB159" s="9">
        <f t="shared" si="46"/>
        <v>1240.6873130896317</v>
      </c>
      <c r="AC159" s="9">
        <f t="shared" si="47"/>
        <v>1593.0588541189566</v>
      </c>
      <c r="AD159" s="9">
        <f t="shared" si="48"/>
        <v>1694.1934763471038</v>
      </c>
      <c r="AE159" s="9">
        <f t="shared" si="49"/>
        <v>2095.1392870972841</v>
      </c>
      <c r="AF159" s="9">
        <f t="shared" si="50"/>
        <v>5039.0785930698776</v>
      </c>
    </row>
    <row r="160" spans="22:32" x14ac:dyDescent="0.15">
      <c r="V160" s="9">
        <v>154</v>
      </c>
      <c r="W160" s="9">
        <f>[4]王者铸币!K158</f>
        <v>398941265.19990379</v>
      </c>
      <c r="X160" s="9">
        <f>[4]王者铸币!L158</f>
        <v>514660035.37831634</v>
      </c>
      <c r="Y160" s="9">
        <f>[4]王者铸币!M158</f>
        <v>626218676.36384892</v>
      </c>
      <c r="Z160" s="9">
        <f>[4]王者铸币!N158</f>
        <v>887300487.42303503</v>
      </c>
      <c r="AA160" s="9">
        <f>[4]王者铸币!O158</f>
        <v>2134071428.7251456</v>
      </c>
      <c r="AB160" s="9">
        <f t="shared" si="46"/>
        <v>1329.8042173330127</v>
      </c>
      <c r="AC160" s="9">
        <f t="shared" si="47"/>
        <v>1715.5334512610546</v>
      </c>
      <c r="AD160" s="9">
        <f t="shared" si="48"/>
        <v>2087.3955878794964</v>
      </c>
      <c r="AE160" s="9">
        <f t="shared" si="49"/>
        <v>2957.6682914101166</v>
      </c>
      <c r="AF160" s="9">
        <f t="shared" si="50"/>
        <v>7113.5714290838187</v>
      </c>
    </row>
    <row r="161" spans="22:32" x14ac:dyDescent="0.15">
      <c r="V161" s="9">
        <v>155</v>
      </c>
      <c r="W161" s="9">
        <f>[4]王者铸币!K159</f>
        <v>427595205.10933751</v>
      </c>
      <c r="X161" s="9">
        <f>[4]王者铸币!L159</f>
        <v>613743275.62094128</v>
      </c>
      <c r="Y161" s="9">
        <f>[4]王者铸币!M159</f>
        <v>819420293.87153435</v>
      </c>
      <c r="Z161" s="9">
        <f>[4]王者铸币!N159</f>
        <v>1153696442.6350124</v>
      </c>
      <c r="AA161" s="9">
        <f>[4]王者铸币!O159</f>
        <v>2783481228.959764</v>
      </c>
      <c r="AB161" s="9">
        <f t="shared" si="46"/>
        <v>1425.3173503644584</v>
      </c>
      <c r="AC161" s="9">
        <f t="shared" si="47"/>
        <v>2045.810918736471</v>
      </c>
      <c r="AD161" s="9">
        <f t="shared" si="48"/>
        <v>2731.4009795717811</v>
      </c>
      <c r="AE161" s="9">
        <f t="shared" si="49"/>
        <v>3845.6548087833748</v>
      </c>
      <c r="AF161" s="9">
        <f t="shared" si="50"/>
        <v>9278.2707631992125</v>
      </c>
    </row>
    <row r="162" spans="22:32" x14ac:dyDescent="0.15">
      <c r="V162" s="9">
        <v>156</v>
      </c>
      <c r="W162" s="9">
        <f>[4]王者铸币!K160</f>
        <v>458305737.50137722</v>
      </c>
      <c r="X162" s="9">
        <f>[4]王者铸币!L160</f>
        <v>691594939.62301695</v>
      </c>
      <c r="Y162" s="9">
        <f>[4]王者铸币!M160</f>
        <v>925783129.75278211</v>
      </c>
      <c r="Z162" s="9">
        <f>[4]王者铸币!N160</f>
        <v>1303449171.8540978</v>
      </c>
      <c r="AA162" s="9">
        <f>[4]王者铸币!O160</f>
        <v>3144279708.8619761</v>
      </c>
      <c r="AB162" s="9">
        <f t="shared" si="46"/>
        <v>1527.6857916712574</v>
      </c>
      <c r="AC162" s="9">
        <f t="shared" si="47"/>
        <v>2305.3164654100565</v>
      </c>
      <c r="AD162" s="9">
        <f t="shared" si="48"/>
        <v>3085.9437658426068</v>
      </c>
      <c r="AE162" s="9">
        <f t="shared" si="49"/>
        <v>4344.8305728469932</v>
      </c>
      <c r="AF162" s="9">
        <f t="shared" si="50"/>
        <v>10480.932362873255</v>
      </c>
    </row>
    <row r="163" spans="22:32" x14ac:dyDescent="0.15">
      <c r="V163" s="9">
        <v>157</v>
      </c>
      <c r="W163" s="9">
        <f>[4]王者铸币!K161</f>
        <v>491220471.13952672</v>
      </c>
      <c r="X163" s="9">
        <f>[4]王者铸币!L161</f>
        <v>741264104.46325719</v>
      </c>
      <c r="Y163" s="9">
        <f>[4]王者铸币!M161</f>
        <v>992270891.7018441</v>
      </c>
      <c r="Z163" s="9">
        <f>[4]王者铸币!N161</f>
        <v>1397060100.2300334</v>
      </c>
      <c r="AA163" s="9">
        <f>[4]王者铸币!O161</f>
        <v>3360108651.3224902</v>
      </c>
      <c r="AB163" s="9">
        <f t="shared" si="46"/>
        <v>1637.401570465089</v>
      </c>
      <c r="AC163" s="9">
        <f t="shared" si="47"/>
        <v>2470.8803482108574</v>
      </c>
      <c r="AD163" s="9">
        <f t="shared" si="48"/>
        <v>3307.5696390061471</v>
      </c>
      <c r="AE163" s="9">
        <f t="shared" si="49"/>
        <v>4656.8670007667779</v>
      </c>
      <c r="AF163" s="9">
        <f t="shared" si="50"/>
        <v>11200.362171074967</v>
      </c>
    </row>
    <row r="164" spans="22:32" x14ac:dyDescent="0.15">
      <c r="V164" s="9">
        <v>158</v>
      </c>
      <c r="W164" s="9">
        <f>[4]王者铸币!K162</f>
        <v>526497609.17934704</v>
      </c>
      <c r="X164" s="9">
        <f>[4]王者铸币!L162</f>
        <v>794498197.24536836</v>
      </c>
      <c r="Y164" s="9">
        <f>[4]王者铸币!M162</f>
        <v>1063530710.542281</v>
      </c>
      <c r="Z164" s="9">
        <f>[4]王者铸币!N162</f>
        <v>1497389809.0667496</v>
      </c>
      <c r="AA164" s="9">
        <f>[4]王者铸币!O162</f>
        <v>3601414463.8579769</v>
      </c>
      <c r="AB164" s="9">
        <f t="shared" si="46"/>
        <v>1754.9920305978235</v>
      </c>
      <c r="AC164" s="9">
        <f t="shared" si="47"/>
        <v>2648.3273241512279</v>
      </c>
      <c r="AD164" s="9">
        <f t="shared" si="48"/>
        <v>3545.10236847427</v>
      </c>
      <c r="AE164" s="9">
        <f t="shared" si="49"/>
        <v>4991.2993635558323</v>
      </c>
      <c r="AF164" s="9">
        <f t="shared" si="50"/>
        <v>12004.714879526589</v>
      </c>
    </row>
    <row r="165" spans="22:32" x14ac:dyDescent="0.15">
      <c r="V165" s="9">
        <v>159</v>
      </c>
      <c r="W165" s="9">
        <f>[4]王者铸币!K163</f>
        <v>564306709.5646559</v>
      </c>
      <c r="X165" s="9">
        <f>[4]王者铸币!L163</f>
        <v>851553085.19143009</v>
      </c>
      <c r="Y165" s="9">
        <f>[4]王者铸币!M163</f>
        <v>1139905093.3206048</v>
      </c>
      <c r="Z165" s="9">
        <f>[4]王者铸币!N163</f>
        <v>1604920528.5019345</v>
      </c>
      <c r="AA165" s="9">
        <f>[4]王者铸币!O163</f>
        <v>3860039630.0892692</v>
      </c>
      <c r="AB165" s="9">
        <f t="shared" si="46"/>
        <v>1881.0223652155196</v>
      </c>
      <c r="AC165" s="9">
        <f t="shared" si="47"/>
        <v>2838.5102839714336</v>
      </c>
      <c r="AD165" s="9">
        <f t="shared" si="48"/>
        <v>3799.6836444020159</v>
      </c>
      <c r="AE165" s="9">
        <f t="shared" si="49"/>
        <v>5349.7350950064483</v>
      </c>
      <c r="AF165" s="9">
        <f t="shared" si="50"/>
        <v>12866.79876696423</v>
      </c>
    </row>
    <row r="166" spans="22:32" x14ac:dyDescent="0.15">
      <c r="V166" s="9">
        <v>160</v>
      </c>
      <c r="W166" s="9">
        <f>[4]王者铸币!K164</f>
        <v>604829500</v>
      </c>
      <c r="X166" s="9">
        <f>[4]王者铸币!L164</f>
        <v>912703000</v>
      </c>
      <c r="Y166" s="9">
        <f>[4]王者铸币!M164</f>
        <v>1221761130</v>
      </c>
      <c r="Z166" s="9">
        <f>[4]王者铸币!N164</f>
        <v>1720169100.0000002</v>
      </c>
      <c r="AA166" s="9">
        <f>[4]王者铸币!O164</f>
        <v>4137227220.000001</v>
      </c>
      <c r="AB166" s="9">
        <f t="shared" si="46"/>
        <v>2016.0983333333334</v>
      </c>
      <c r="AC166" s="9">
        <f t="shared" si="47"/>
        <v>3042.3433333333332</v>
      </c>
      <c r="AD166" s="9">
        <f t="shared" si="48"/>
        <v>4072.5371</v>
      </c>
      <c r="AE166" s="9">
        <f t="shared" si="49"/>
        <v>5733.8970000000008</v>
      </c>
      <c r="AF166" s="9">
        <f t="shared" si="50"/>
        <v>13790.757400000004</v>
      </c>
    </row>
  </sheetData>
  <mergeCells count="14">
    <mergeCell ref="N43:R43"/>
    <mergeCell ref="N63:R63"/>
    <mergeCell ref="N83:R83"/>
    <mergeCell ref="AL3:AP3"/>
    <mergeCell ref="AL23:AP23"/>
    <mergeCell ref="AL43:AP43"/>
    <mergeCell ref="AL63:AP63"/>
    <mergeCell ref="AL83:AP83"/>
    <mergeCell ref="AB5:AF5"/>
    <mergeCell ref="AU5:AY5"/>
    <mergeCell ref="C3:G3"/>
    <mergeCell ref="W5:AA5"/>
    <mergeCell ref="N3:R3"/>
    <mergeCell ref="N23:R2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AEE9-7893-4061-AB3F-36980ECF0288}">
  <sheetPr codeName="Sheet10"/>
  <dimension ref="A2:AY164"/>
  <sheetViews>
    <sheetView workbookViewId="0">
      <selection activeCell="Q34" sqref="Q34"/>
    </sheetView>
  </sheetViews>
  <sheetFormatPr defaultRowHeight="11.25" x14ac:dyDescent="0.15"/>
  <cols>
    <col min="1" max="1" width="9" style="9"/>
    <col min="2" max="2" width="9.625" style="9" customWidth="1"/>
    <col min="3" max="3" width="20.5" style="100" bestFit="1" customWidth="1"/>
    <col min="4" max="7" width="5.625" style="70" customWidth="1"/>
    <col min="8" max="8" width="5.625" style="9" customWidth="1"/>
    <col min="9" max="13" width="6.625" style="9" customWidth="1"/>
    <col min="14" max="18" width="5.625" style="9" customWidth="1"/>
    <col min="19" max="20" width="9" style="9"/>
    <col min="21" max="21" width="10.5" style="83" bestFit="1" customWidth="1"/>
    <col min="22" max="22" width="10.5" style="83" customWidth="1"/>
    <col min="23" max="23" width="8.25" style="81" bestFit="1" customWidth="1"/>
    <col min="24" max="24" width="10.5" style="81" customWidth="1"/>
    <col min="25" max="34" width="5.625" style="9" customWidth="1"/>
    <col min="35" max="38" width="9" style="9"/>
    <col min="39" max="43" width="5.625" style="9" customWidth="1"/>
    <col min="44" max="16384" width="9" style="9"/>
  </cols>
  <sheetData>
    <row r="2" spans="1:51" s="70" customFormat="1" x14ac:dyDescent="0.15">
      <c r="A2" s="83"/>
      <c r="C2" s="100"/>
      <c r="U2" s="83"/>
      <c r="V2" s="83"/>
      <c r="W2" s="81"/>
      <c r="X2" s="81"/>
    </row>
    <row r="3" spans="1:51" s="84" customFormat="1" x14ac:dyDescent="0.15">
      <c r="C3" s="101"/>
      <c r="D3" s="128" t="s">
        <v>190</v>
      </c>
      <c r="E3" s="128"/>
      <c r="F3" s="128"/>
      <c r="G3" s="128"/>
      <c r="H3" s="128"/>
      <c r="N3" s="128" t="s">
        <v>193</v>
      </c>
      <c r="O3" s="128"/>
      <c r="P3" s="128"/>
      <c r="Q3" s="128"/>
      <c r="R3" s="128"/>
      <c r="U3" s="84" t="s">
        <v>0</v>
      </c>
      <c r="W3" s="90"/>
      <c r="X3" s="90"/>
      <c r="Y3" s="128" t="s">
        <v>292</v>
      </c>
      <c r="Z3" s="128"/>
      <c r="AA3" s="128"/>
      <c r="AB3" s="128"/>
      <c r="AC3" s="128"/>
      <c r="AD3" s="128" t="s">
        <v>293</v>
      </c>
      <c r="AE3" s="128"/>
      <c r="AF3" s="128"/>
      <c r="AG3" s="128"/>
      <c r="AH3" s="128"/>
      <c r="AM3" s="128" t="s">
        <v>295</v>
      </c>
      <c r="AN3" s="128"/>
      <c r="AO3" s="128"/>
      <c r="AP3" s="128"/>
      <c r="AQ3" s="128"/>
      <c r="AU3" s="128" t="s">
        <v>313</v>
      </c>
      <c r="AV3" s="128"/>
      <c r="AW3" s="128"/>
      <c r="AX3" s="128"/>
      <c r="AY3" s="128"/>
    </row>
    <row r="4" spans="1:51" s="84" customFormat="1" ht="33.75" x14ac:dyDescent="0.15">
      <c r="C4" s="101" t="s">
        <v>177</v>
      </c>
      <c r="D4" s="84" t="s">
        <v>178</v>
      </c>
      <c r="E4" s="84" t="s">
        <v>179</v>
      </c>
      <c r="F4" s="84" t="s">
        <v>180</v>
      </c>
      <c r="G4" s="84" t="s">
        <v>181</v>
      </c>
      <c r="H4" s="84" t="s">
        <v>182</v>
      </c>
      <c r="I4" s="84" t="s">
        <v>184</v>
      </c>
      <c r="J4" s="84" t="s">
        <v>183</v>
      </c>
      <c r="K4" s="84" t="s">
        <v>191</v>
      </c>
      <c r="L4" s="84" t="s">
        <v>187</v>
      </c>
      <c r="M4" s="84" t="s">
        <v>192</v>
      </c>
      <c r="N4" s="84" t="s">
        <v>178</v>
      </c>
      <c r="O4" s="84" t="s">
        <v>179</v>
      </c>
      <c r="P4" s="84" t="s">
        <v>180</v>
      </c>
      <c r="Q4" s="84" t="s">
        <v>181</v>
      </c>
      <c r="R4" s="84" t="s">
        <v>182</v>
      </c>
      <c r="U4" s="84" t="s">
        <v>21</v>
      </c>
      <c r="V4" s="84" t="s">
        <v>121</v>
      </c>
      <c r="W4" s="90" t="s">
        <v>122</v>
      </c>
      <c r="X4" s="90" t="s">
        <v>103</v>
      </c>
      <c r="Y4" s="84" t="s">
        <v>8</v>
      </c>
      <c r="Z4" s="84" t="s">
        <v>9</v>
      </c>
      <c r="AA4" s="84" t="s">
        <v>10</v>
      </c>
      <c r="AB4" s="84" t="s">
        <v>11</v>
      </c>
      <c r="AC4" s="84" t="s">
        <v>12</v>
      </c>
      <c r="AD4" s="84" t="s">
        <v>8</v>
      </c>
      <c r="AE4" s="84" t="s">
        <v>9</v>
      </c>
      <c r="AF4" s="84" t="s">
        <v>10</v>
      </c>
      <c r="AG4" s="84" t="s">
        <v>11</v>
      </c>
      <c r="AH4" s="84" t="s">
        <v>12</v>
      </c>
      <c r="AI4" s="84" t="s">
        <v>194</v>
      </c>
      <c r="AJ4" s="84" t="s">
        <v>270</v>
      </c>
      <c r="AK4" s="84" t="s">
        <v>271</v>
      </c>
      <c r="AL4" s="84" t="s">
        <v>294</v>
      </c>
      <c r="AM4" s="104" t="s">
        <v>8</v>
      </c>
      <c r="AN4" s="104" t="s">
        <v>9</v>
      </c>
      <c r="AO4" s="104" t="s">
        <v>10</v>
      </c>
      <c r="AP4" s="104" t="s">
        <v>11</v>
      </c>
      <c r="AQ4" s="104" t="s">
        <v>12</v>
      </c>
      <c r="AT4" s="84" t="s">
        <v>307</v>
      </c>
      <c r="AU4" s="84" t="s">
        <v>308</v>
      </c>
      <c r="AV4" s="84" t="s">
        <v>309</v>
      </c>
      <c r="AW4" s="84" t="s">
        <v>310</v>
      </c>
      <c r="AX4" s="84" t="s">
        <v>311</v>
      </c>
      <c r="AY4" s="84" t="s">
        <v>312</v>
      </c>
    </row>
    <row r="5" spans="1:51" x14ac:dyDescent="0.15">
      <c r="A5" s="83"/>
      <c r="B5" s="9">
        <f>SUM(D5:H5)</f>
        <v>0</v>
      </c>
      <c r="C5" s="100">
        <v>1</v>
      </c>
      <c r="E5" s="9"/>
      <c r="H5" s="70"/>
      <c r="I5" s="97">
        <v>0</v>
      </c>
      <c r="J5" s="118">
        <v>100</v>
      </c>
      <c r="K5" s="118">
        <v>0</v>
      </c>
      <c r="L5" s="80">
        <v>0.2</v>
      </c>
      <c r="M5" s="9">
        <f>J5+K5+IFERROR(SUMPRODUCT(D5:H5,$D$27:$H$27*$D$29:$H$29)/SUM(D5:H5)+SUMPRODUCT(D5:H5,$D$28:$H$28)/SUM(D5:H5),0)</f>
        <v>100</v>
      </c>
      <c r="N5" s="9">
        <f>IFERROR(SUMPRODUCT($D5:$H5,INDEX($D$34:$H$38,MATCH(N$4,$C$34:$C$38,0),))/SUM($D5:$H5)/100*$I5*$L5,0)</f>
        <v>0</v>
      </c>
      <c r="O5" s="116">
        <f t="shared" ref="O5:R20" si="0">IFERROR(SUMPRODUCT($D5:$H5,INDEX($D$34:$H$38,MATCH(O$4,$C$34:$C$38,0),))/SUM($D5:$H5)/100*$I5*$L5,0)</f>
        <v>0</v>
      </c>
      <c r="P5" s="116">
        <f t="shared" si="0"/>
        <v>0</v>
      </c>
      <c r="Q5" s="116">
        <f t="shared" si="0"/>
        <v>0</v>
      </c>
      <c r="R5" s="116">
        <f t="shared" si="0"/>
        <v>0</v>
      </c>
      <c r="S5" s="113"/>
      <c r="U5" s="83">
        <v>1</v>
      </c>
      <c r="V5" s="60">
        <f>基础信息!D10</f>
        <v>16</v>
      </c>
      <c r="W5" s="61">
        <f>基础信息!E10</f>
        <v>2.5387719203926467</v>
      </c>
      <c r="X5" s="61">
        <f>基础信息!F10</f>
        <v>18.226342304552581</v>
      </c>
      <c r="Y5" s="9">
        <v>0</v>
      </c>
      <c r="Z5" s="9">
        <v>0</v>
      </c>
      <c r="AA5" s="9">
        <v>0</v>
      </c>
      <c r="AB5" s="9">
        <v>0</v>
      </c>
      <c r="AC5" s="9">
        <v>0</v>
      </c>
      <c r="AD5" s="9">
        <f>SUM(Y$5:Y5)</f>
        <v>0</v>
      </c>
      <c r="AE5" s="83">
        <f>SUM(Z$5:Z5)</f>
        <v>0</v>
      </c>
      <c r="AF5" s="83">
        <f>SUM(AA$5:AA5)</f>
        <v>0</v>
      </c>
      <c r="AG5" s="83">
        <f>SUM(AB$5:AB5)</f>
        <v>0</v>
      </c>
      <c r="AH5" s="83">
        <f>SUM(AC$5:AC5)</f>
        <v>0</v>
      </c>
      <c r="AI5" s="9">
        <v>0</v>
      </c>
      <c r="AJ5" s="9">
        <v>0</v>
      </c>
      <c r="AK5" s="9">
        <v>0</v>
      </c>
      <c r="AL5" s="9">
        <f>IFERROR(求节点('六艺&amp;奇遇'!$T$5:$T$113,'六艺&amp;奇遇'!$U$5:$U$113,AK5),0)</f>
        <v>0</v>
      </c>
      <c r="AM5" s="103">
        <f>IFERROR(求节点('六艺&amp;奇遇'!$T$5:$T$113,'六艺&amp;奇遇'!V$5:V$113,$AK5),0)</f>
        <v>0</v>
      </c>
      <c r="AN5" s="103">
        <f>IFERROR(求节点('六艺&amp;奇遇'!$T$5:$T$113,'六艺&amp;奇遇'!W$5:W$113,$AK5),0)</f>
        <v>0</v>
      </c>
      <c r="AO5" s="103">
        <f>IFERROR(求节点('六艺&amp;奇遇'!$T$5:$T$113,'六艺&amp;奇遇'!X$5:X$113,$AK5),0)</f>
        <v>0</v>
      </c>
      <c r="AP5" s="103">
        <f>IFERROR(求节点('六艺&amp;奇遇'!$T$5:$T$113,'六艺&amp;奇遇'!Y$5:Y$113,$AK5),0)</f>
        <v>0</v>
      </c>
      <c r="AQ5" s="103">
        <f>IFERROR(求节点('六艺&amp;奇遇'!$T$5:$T$113,'六艺&amp;奇遇'!Z$5:Z$113,$AK5),0)</f>
        <v>0</v>
      </c>
      <c r="AT5" s="9">
        <v>1</v>
      </c>
      <c r="AU5" s="9">
        <f>MIN(IFERROR(求节点($X$5:$X$20,$AL$5:$AL$20,$AT5),0),MAX($AL$5:$AL$20))</f>
        <v>0</v>
      </c>
      <c r="AV5" s="117">
        <f>MIN(IFERROR(求节点($X$25:$X$40,$AL$25:$AL$40,$AT5),0),MAX($AL$25:$AL$40))</f>
        <v>0</v>
      </c>
      <c r="AW5" s="117">
        <f>MIN(IFERROR(求节点($X$45:$X$60,$AL$45:$AL$60,$AT5),0),MAX($AL$45:$AL$60))</f>
        <v>0</v>
      </c>
      <c r="AX5" s="117">
        <f>MIN(IFERROR(求节点($X$65:$X$80,$AL$65:$AL$80,$AT5),0),MAX($AL$65:$AL$80))</f>
        <v>0</v>
      </c>
      <c r="AY5" s="117">
        <f>MIN(IFERROR(求节点($X$85:$X$100,$AL$85:$AL$100,$AT5),0),MAX($AL$85:$AL$100))</f>
        <v>0</v>
      </c>
    </row>
    <row r="6" spans="1:51" x14ac:dyDescent="0.15">
      <c r="A6" s="83"/>
      <c r="B6" s="116">
        <f t="shared" ref="B6:B20" si="1">SUM(D6:H6)</f>
        <v>0</v>
      </c>
      <c r="C6" s="100">
        <v>2</v>
      </c>
      <c r="E6" s="9"/>
      <c r="H6" s="70"/>
      <c r="I6" s="97">
        <v>0</v>
      </c>
      <c r="J6" s="118">
        <v>100</v>
      </c>
      <c r="K6" s="118">
        <v>10</v>
      </c>
      <c r="L6" s="80">
        <v>0.2</v>
      </c>
      <c r="M6" s="116">
        <f t="shared" ref="M6:M20" si="2">J6+K6+IFERROR(SUMPRODUCT(D6:H6,$D$27:$H$27*$D$29:$H$29)/SUM(D6:H6)+SUMPRODUCT(D6:H6,$D$28:$H$28)/SUM(D6:H6),0)</f>
        <v>110</v>
      </c>
      <c r="N6" s="116">
        <f t="shared" ref="N6:N20" si="3">IFERROR(SUMPRODUCT($D6:$H6,INDEX($D$34:$H$38,MATCH(N$4,$C$34:$C$38,0),))/SUM($D6:$H6)/100*$I6*$L6,0)</f>
        <v>0</v>
      </c>
      <c r="O6" s="116">
        <f t="shared" si="0"/>
        <v>0</v>
      </c>
      <c r="P6" s="116">
        <f t="shared" si="0"/>
        <v>0</v>
      </c>
      <c r="Q6" s="116">
        <f t="shared" si="0"/>
        <v>0</v>
      </c>
      <c r="R6" s="116">
        <f t="shared" si="0"/>
        <v>0</v>
      </c>
      <c r="S6" s="113"/>
      <c r="U6" s="83">
        <v>2</v>
      </c>
      <c r="V6" s="60">
        <f>基础信息!D11</f>
        <v>19.5</v>
      </c>
      <c r="W6" s="61">
        <f>基础信息!E11</f>
        <v>4.8228975321654577</v>
      </c>
      <c r="X6" s="61">
        <f>基础信息!F11</f>
        <v>25.408961498441148</v>
      </c>
      <c r="Y6" s="100">
        <f>($W6-$W5)*N5</f>
        <v>0</v>
      </c>
      <c r="Z6" s="100">
        <f t="shared" ref="Z6:AC6" si="4">($W6-$W5)*O5</f>
        <v>0</v>
      </c>
      <c r="AA6" s="100">
        <f t="shared" si="4"/>
        <v>0</v>
      </c>
      <c r="AB6" s="100">
        <f t="shared" si="4"/>
        <v>0</v>
      </c>
      <c r="AC6" s="100">
        <f t="shared" si="4"/>
        <v>0</v>
      </c>
      <c r="AD6" s="83">
        <f>SUM(Y$5:Y6)</f>
        <v>0</v>
      </c>
      <c r="AE6" s="83">
        <f>SUM(Z$5:Z6)</f>
        <v>0</v>
      </c>
      <c r="AF6" s="83">
        <f>SUM(AA$5:AA6)</f>
        <v>0</v>
      </c>
      <c r="AG6" s="83">
        <f>SUM(AB$5:AB6)</f>
        <v>0</v>
      </c>
      <c r="AH6" s="83">
        <f>SUM(AC$5:AC6)</f>
        <v>0</v>
      </c>
      <c r="AI6" s="100">
        <f>M5*(W6-W5)+AI5</f>
        <v>228.41256117728111</v>
      </c>
      <c r="AJ6" s="100">
        <f>I5*(W6-W5)+AJ5</f>
        <v>0</v>
      </c>
      <c r="AK6" s="100">
        <f>IFERROR(I5*(W6-W5)*SUMPRODUCT(D5:H5,$D$27:$H$27)/SUM(D5:H5)+AK5,0)</f>
        <v>0</v>
      </c>
      <c r="AL6" s="103">
        <f>IFERROR(求节点('六艺&amp;奇遇'!$T$5:$T$113,'六艺&amp;奇遇'!$U$5:$U$113,AK6),0)</f>
        <v>0</v>
      </c>
      <c r="AM6" s="103">
        <f>IFERROR(求节点('六艺&amp;奇遇'!$T$5:$T$113,'六艺&amp;奇遇'!V$5:V$113,$AK6),0)</f>
        <v>0</v>
      </c>
      <c r="AN6" s="103">
        <f>IFERROR(求节点('六艺&amp;奇遇'!$T$5:$T$113,'六艺&amp;奇遇'!W$5:W$113,$AK6),0)</f>
        <v>0</v>
      </c>
      <c r="AO6" s="103">
        <f>IFERROR(求节点('六艺&amp;奇遇'!$T$5:$T$113,'六艺&amp;奇遇'!X$5:X$113,$AK6),0)</f>
        <v>0</v>
      </c>
      <c r="AP6" s="103">
        <f>IFERROR(求节点('六艺&amp;奇遇'!$T$5:$T$113,'六艺&amp;奇遇'!Y$5:Y$113,$AK6),0)</f>
        <v>0</v>
      </c>
      <c r="AQ6" s="103">
        <f>IFERROR(求节点('六艺&amp;奇遇'!$T$5:$T$113,'六艺&amp;奇遇'!Z$5:Z$113,$AK6),0)</f>
        <v>0</v>
      </c>
      <c r="AT6" s="9">
        <v>2</v>
      </c>
      <c r="AU6" s="117">
        <f t="shared" ref="AU6:AU69" si="5">MIN(IFERROR(求节点($X$5:$X$20,$AL$5:$AL$20,$AT6),0),MAX($AL$5:$AL$20))</f>
        <v>0</v>
      </c>
      <c r="AV6" s="117">
        <f t="shared" ref="AV6:AV69" si="6">MIN(IFERROR(求节点($X$25:$X$40,$AL$25:$AL$40,$AT6),0),MAX($AL$25:$AL$40))</f>
        <v>0</v>
      </c>
      <c r="AW6" s="117">
        <f t="shared" ref="AW6:AW69" si="7">MIN(IFERROR(求节点($X$45:$X$60,$AL$45:$AL$60,$AT6),0),MAX($AL$45:$AL$60))</f>
        <v>0</v>
      </c>
      <c r="AX6" s="117">
        <f t="shared" ref="AX6:AX69" si="8">MIN(IFERROR(求节点($X$65:$X$80,$AL$65:$AL$80,$AT6),0),MAX($AL$65:$AL$80))</f>
        <v>0</v>
      </c>
      <c r="AY6" s="117">
        <f t="shared" ref="AY6:AY69" si="9">MIN(IFERROR(求节点($X$85:$X$100,$AL$85:$AL$100,$AT6),0),MAX($AL$85:$AL$100))</f>
        <v>0</v>
      </c>
    </row>
    <row r="7" spans="1:51" x14ac:dyDescent="0.15">
      <c r="A7" s="83"/>
      <c r="B7" s="116">
        <f t="shared" si="1"/>
        <v>0</v>
      </c>
      <c r="C7" s="100">
        <v>3</v>
      </c>
      <c r="D7" s="97"/>
      <c r="E7" s="9"/>
      <c r="H7" s="70"/>
      <c r="I7" s="97">
        <v>0</v>
      </c>
      <c r="J7" s="118">
        <v>100</v>
      </c>
      <c r="K7" s="118">
        <v>20</v>
      </c>
      <c r="L7" s="80">
        <v>0.2</v>
      </c>
      <c r="M7" s="116">
        <f t="shared" si="2"/>
        <v>120</v>
      </c>
      <c r="N7" s="116">
        <f t="shared" si="3"/>
        <v>0</v>
      </c>
      <c r="O7" s="116">
        <f t="shared" si="0"/>
        <v>0</v>
      </c>
      <c r="P7" s="116">
        <f t="shared" si="0"/>
        <v>0</v>
      </c>
      <c r="Q7" s="116">
        <f t="shared" si="0"/>
        <v>0</v>
      </c>
      <c r="R7" s="116">
        <f t="shared" si="0"/>
        <v>0</v>
      </c>
      <c r="S7" s="113"/>
      <c r="U7" s="83">
        <v>3</v>
      </c>
      <c r="V7" s="60">
        <f>基础信息!D12</f>
        <v>23.5</v>
      </c>
      <c r="W7" s="61">
        <f>基础信息!E12</f>
        <v>9.6550138771594227</v>
      </c>
      <c r="X7" s="61">
        <f>基础信息!F12</f>
        <v>34.130602806306101</v>
      </c>
      <c r="Y7" s="100">
        <f t="shared" ref="Y7:Y20" si="10">($W7-$W6)*N6</f>
        <v>0</v>
      </c>
      <c r="Z7" s="100">
        <f t="shared" ref="Z7:Z20" si="11">($W7-$W6)*O6</f>
        <v>0</v>
      </c>
      <c r="AA7" s="100">
        <f t="shared" ref="AA7:AA20" si="12">($W7-$W6)*P6</f>
        <v>0</v>
      </c>
      <c r="AB7" s="100">
        <f t="shared" ref="AB7:AB20" si="13">($W7-$W6)*Q6</f>
        <v>0</v>
      </c>
      <c r="AC7" s="100">
        <f t="shared" ref="AC7:AC20" si="14">($W7-$W6)*R6</f>
        <v>0</v>
      </c>
      <c r="AD7" s="83">
        <f>SUM(Y$5:Y7)</f>
        <v>0</v>
      </c>
      <c r="AE7" s="83">
        <f>SUM(Z$5:Z7)</f>
        <v>0</v>
      </c>
      <c r="AF7" s="83">
        <f>SUM(AA$5:AA7)</f>
        <v>0</v>
      </c>
      <c r="AG7" s="83">
        <f>SUM(AB$5:AB7)</f>
        <v>0</v>
      </c>
      <c r="AH7" s="83">
        <f>SUM(AC$5:AC7)</f>
        <v>0</v>
      </c>
      <c r="AI7" s="100">
        <f t="shared" ref="AI7:AI20" si="15">M6*(W7-W6)+AI6</f>
        <v>759.94535912661718</v>
      </c>
      <c r="AJ7" s="100">
        <f>I6*(W7-W6)+AJ6</f>
        <v>0</v>
      </c>
      <c r="AK7" s="116">
        <f t="shared" ref="AK7:AK20" si="16">IFERROR(I6*(W7-W6)*SUMPRODUCT(D6:H6,$D$27:$H$27)/SUM(D6:H6)+AK6,0)</f>
        <v>0</v>
      </c>
      <c r="AL7" s="103">
        <f>IFERROR(求节点('六艺&amp;奇遇'!$T$5:$T$113,'六艺&amp;奇遇'!$U$5:$U$113,AK7),0)</f>
        <v>0</v>
      </c>
      <c r="AM7" s="103">
        <f>IFERROR(求节点('六艺&amp;奇遇'!$T$5:$T$113,'六艺&amp;奇遇'!V$5:V$113,$AK7),0)</f>
        <v>0</v>
      </c>
      <c r="AN7" s="103">
        <f>IFERROR(求节点('六艺&amp;奇遇'!$T$5:$T$113,'六艺&amp;奇遇'!W$5:W$113,$AK7),0)</f>
        <v>0</v>
      </c>
      <c r="AO7" s="103">
        <f>IFERROR(求节点('六艺&amp;奇遇'!$T$5:$T$113,'六艺&amp;奇遇'!X$5:X$113,$AK7),0)</f>
        <v>0</v>
      </c>
      <c r="AP7" s="103">
        <f>IFERROR(求节点('六艺&amp;奇遇'!$T$5:$T$113,'六艺&amp;奇遇'!Y$5:Y$113,$AK7),0)</f>
        <v>0</v>
      </c>
      <c r="AQ7" s="103">
        <f>IFERROR(求节点('六艺&amp;奇遇'!$T$5:$T$113,'六艺&amp;奇遇'!Z$5:Z$113,$AK7),0)</f>
        <v>0</v>
      </c>
      <c r="AT7" s="117">
        <v>3</v>
      </c>
      <c r="AU7" s="117">
        <f t="shared" si="5"/>
        <v>0</v>
      </c>
      <c r="AV7" s="117">
        <f t="shared" si="6"/>
        <v>0</v>
      </c>
      <c r="AW7" s="117">
        <f t="shared" si="7"/>
        <v>0</v>
      </c>
      <c r="AX7" s="117">
        <f t="shared" si="8"/>
        <v>0</v>
      </c>
      <c r="AY7" s="117">
        <f t="shared" si="9"/>
        <v>0</v>
      </c>
    </row>
    <row r="8" spans="1:51" x14ac:dyDescent="0.15">
      <c r="A8" s="83"/>
      <c r="B8" s="116">
        <f t="shared" si="1"/>
        <v>100</v>
      </c>
      <c r="C8" s="100">
        <v>4</v>
      </c>
      <c r="D8" s="97">
        <v>50</v>
      </c>
      <c r="E8" s="9">
        <v>50</v>
      </c>
      <c r="H8" s="70"/>
      <c r="I8" s="97">
        <v>5</v>
      </c>
      <c r="J8" s="70">
        <v>100</v>
      </c>
      <c r="K8" s="112">
        <v>30</v>
      </c>
      <c r="L8" s="80">
        <v>0.2</v>
      </c>
      <c r="M8" s="116">
        <f t="shared" si="2"/>
        <v>165</v>
      </c>
      <c r="N8" s="116">
        <f t="shared" si="3"/>
        <v>0.8</v>
      </c>
      <c r="O8" s="116">
        <f t="shared" si="0"/>
        <v>0.2</v>
      </c>
      <c r="P8" s="116">
        <f t="shared" si="0"/>
        <v>0</v>
      </c>
      <c r="Q8" s="116">
        <f t="shared" si="0"/>
        <v>0</v>
      </c>
      <c r="R8" s="116">
        <f t="shared" si="0"/>
        <v>0</v>
      </c>
      <c r="S8" s="113"/>
      <c r="U8" s="83">
        <v>4</v>
      </c>
      <c r="V8" s="60">
        <f>基础信息!D13</f>
        <v>27.5</v>
      </c>
      <c r="W8" s="61">
        <f>基础信息!E13</f>
        <v>18.870223137985384</v>
      </c>
      <c r="X8" s="61">
        <f>基础信息!F13</f>
        <v>43.121594697945582</v>
      </c>
      <c r="Y8" s="100">
        <f t="shared" si="10"/>
        <v>0</v>
      </c>
      <c r="Z8" s="100">
        <f t="shared" si="11"/>
        <v>0</v>
      </c>
      <c r="AA8" s="100">
        <f t="shared" si="12"/>
        <v>0</v>
      </c>
      <c r="AB8" s="100">
        <f t="shared" si="13"/>
        <v>0</v>
      </c>
      <c r="AC8" s="100">
        <f t="shared" si="14"/>
        <v>0</v>
      </c>
      <c r="AD8" s="83">
        <f>SUM(Y$5:Y8)</f>
        <v>0</v>
      </c>
      <c r="AE8" s="83">
        <f>SUM(Z$5:Z8)</f>
        <v>0</v>
      </c>
      <c r="AF8" s="83">
        <f>SUM(AA$5:AA8)</f>
        <v>0</v>
      </c>
      <c r="AG8" s="83">
        <f>SUM(AB$5:AB8)</f>
        <v>0</v>
      </c>
      <c r="AH8" s="83">
        <f>SUM(AC$5:AC8)</f>
        <v>0</v>
      </c>
      <c r="AI8" s="100">
        <f>M7*(W8-W7)+AI7</f>
        <v>1865.7704704257326</v>
      </c>
      <c r="AJ8" s="100">
        <f t="shared" ref="AJ8:AJ20" si="17">I7*(W8-W7)+AJ7</f>
        <v>0</v>
      </c>
      <c r="AK8" s="116">
        <f t="shared" si="16"/>
        <v>0</v>
      </c>
      <c r="AL8" s="103">
        <f>IFERROR(求节点('六艺&amp;奇遇'!$T$5:$T$113,'六艺&amp;奇遇'!$U$5:$U$113,AK8),0)</f>
        <v>0</v>
      </c>
      <c r="AM8" s="103">
        <f>IFERROR(求节点('六艺&amp;奇遇'!$T$5:$T$113,'六艺&amp;奇遇'!V$5:V$113,$AK8),0)</f>
        <v>0</v>
      </c>
      <c r="AN8" s="103">
        <f>IFERROR(求节点('六艺&amp;奇遇'!$T$5:$T$113,'六艺&amp;奇遇'!W$5:W$113,$AK8),0)</f>
        <v>0</v>
      </c>
      <c r="AO8" s="103">
        <f>IFERROR(求节点('六艺&amp;奇遇'!$T$5:$T$113,'六艺&amp;奇遇'!X$5:X$113,$AK8),0)</f>
        <v>0</v>
      </c>
      <c r="AP8" s="103">
        <f>IFERROR(求节点('六艺&amp;奇遇'!$T$5:$T$113,'六艺&amp;奇遇'!Y$5:Y$113,$AK8),0)</f>
        <v>0</v>
      </c>
      <c r="AQ8" s="103">
        <f>IFERROR(求节点('六艺&amp;奇遇'!$T$5:$T$113,'六艺&amp;奇遇'!Z$5:Z$113,$AK8),0)</f>
        <v>0</v>
      </c>
      <c r="AT8" s="117">
        <v>4</v>
      </c>
      <c r="AU8" s="117">
        <f t="shared" si="5"/>
        <v>0</v>
      </c>
      <c r="AV8" s="117">
        <f t="shared" si="6"/>
        <v>0</v>
      </c>
      <c r="AW8" s="117">
        <f t="shared" si="7"/>
        <v>0</v>
      </c>
      <c r="AX8" s="117">
        <f t="shared" si="8"/>
        <v>0</v>
      </c>
      <c r="AY8" s="117">
        <f t="shared" si="9"/>
        <v>0</v>
      </c>
    </row>
    <row r="9" spans="1:51" x14ac:dyDescent="0.15">
      <c r="A9" s="83"/>
      <c r="B9" s="116">
        <f t="shared" si="1"/>
        <v>100</v>
      </c>
      <c r="C9" s="100">
        <v>5</v>
      </c>
      <c r="D9" s="97">
        <v>30</v>
      </c>
      <c r="E9" s="9">
        <v>50</v>
      </c>
      <c r="F9" s="70">
        <v>20</v>
      </c>
      <c r="H9" s="70"/>
      <c r="I9" s="97">
        <v>5</v>
      </c>
      <c r="J9" s="70">
        <v>100</v>
      </c>
      <c r="K9" s="112">
        <v>40</v>
      </c>
      <c r="L9" s="80">
        <v>0.2</v>
      </c>
      <c r="M9" s="116">
        <f t="shared" si="2"/>
        <v>206</v>
      </c>
      <c r="N9" s="116">
        <f t="shared" si="3"/>
        <v>0.68000000000000016</v>
      </c>
      <c r="O9" s="116">
        <f t="shared" si="0"/>
        <v>0.26</v>
      </c>
      <c r="P9" s="116">
        <f t="shared" si="0"/>
        <v>0.06</v>
      </c>
      <c r="Q9" s="116">
        <f t="shared" si="0"/>
        <v>0</v>
      </c>
      <c r="R9" s="116">
        <f t="shared" si="0"/>
        <v>0</v>
      </c>
      <c r="S9" s="113"/>
      <c r="U9" s="83">
        <v>5</v>
      </c>
      <c r="V9" s="60">
        <f>基础信息!D14</f>
        <v>31.5</v>
      </c>
      <c r="W9" s="61">
        <f>基础信息!E14</f>
        <v>36.28923876358067</v>
      </c>
      <c r="X9" s="61">
        <f>基础信息!F14</f>
        <v>52.20122679843417</v>
      </c>
      <c r="Y9" s="100">
        <f t="shared" si="10"/>
        <v>13.935212500476229</v>
      </c>
      <c r="Z9" s="100">
        <f>($W9-$W8)*O8</f>
        <v>3.4838031251190573</v>
      </c>
      <c r="AA9" s="100">
        <f t="shared" si="12"/>
        <v>0</v>
      </c>
      <c r="AB9" s="100">
        <f t="shared" si="13"/>
        <v>0</v>
      </c>
      <c r="AC9" s="100">
        <f t="shared" si="14"/>
        <v>0</v>
      </c>
      <c r="AD9" s="83">
        <f>SUM(Y$5:Y9)</f>
        <v>13.935212500476229</v>
      </c>
      <c r="AE9" s="83">
        <f>SUM(Z$5:Z9)</f>
        <v>3.4838031251190573</v>
      </c>
      <c r="AF9" s="83">
        <f>SUM(AA$5:AA9)</f>
        <v>0</v>
      </c>
      <c r="AG9" s="83">
        <f>SUM(AB$5:AB9)</f>
        <v>0</v>
      </c>
      <c r="AH9" s="83">
        <f>SUM(AC$5:AC9)</f>
        <v>0</v>
      </c>
      <c r="AI9" s="100">
        <f t="shared" si="15"/>
        <v>4739.9080486489547</v>
      </c>
      <c r="AJ9" s="100">
        <f t="shared" si="17"/>
        <v>87.095078127976421</v>
      </c>
      <c r="AK9" s="116">
        <f t="shared" si="16"/>
        <v>130.64261719196463</v>
      </c>
      <c r="AL9" s="103">
        <f>IFERROR(求节点('六艺&amp;奇遇'!$T$5:$T$113,'六艺&amp;奇遇'!$U$5:$U$113,AK9),0)</f>
        <v>983.85570315178779</v>
      </c>
      <c r="AM9" s="103">
        <f>IFERROR(求节点('六艺&amp;奇遇'!$T$5:$T$113,'六艺&amp;奇遇'!V$5:V$113,$AK9),0)</f>
        <v>0</v>
      </c>
      <c r="AN9" s="103">
        <f>IFERROR(求节点('六艺&amp;奇遇'!$T$5:$T$113,'六艺&amp;奇遇'!W$5:W$113,$AK9),0)</f>
        <v>0</v>
      </c>
      <c r="AO9" s="103">
        <f>IFERROR(求节点('六艺&amp;奇遇'!$T$5:$T$113,'六艺&amp;奇遇'!X$5:X$113,$AK9),0)</f>
        <v>0</v>
      </c>
      <c r="AP9" s="103">
        <f>IFERROR(求节点('六艺&amp;奇遇'!$T$5:$T$113,'六艺&amp;奇遇'!Y$5:Y$113,$AK9),0)</f>
        <v>0</v>
      </c>
      <c r="AQ9" s="103">
        <f>IFERROR(求节点('六艺&amp;奇遇'!$T$5:$T$113,'六艺&amp;奇遇'!Z$5:Z$113,$AK9),0)</f>
        <v>0</v>
      </c>
      <c r="AT9" s="117">
        <v>5</v>
      </c>
      <c r="AU9" s="117">
        <f t="shared" si="5"/>
        <v>0</v>
      </c>
      <c r="AV9" s="117">
        <f t="shared" si="6"/>
        <v>0</v>
      </c>
      <c r="AW9" s="117">
        <f t="shared" si="7"/>
        <v>0</v>
      </c>
      <c r="AX9" s="117">
        <f t="shared" si="8"/>
        <v>0</v>
      </c>
      <c r="AY9" s="117">
        <f t="shared" si="9"/>
        <v>0</v>
      </c>
    </row>
    <row r="10" spans="1:51" x14ac:dyDescent="0.15">
      <c r="A10" s="83"/>
      <c r="B10" s="116">
        <f t="shared" si="1"/>
        <v>100</v>
      </c>
      <c r="C10" s="100">
        <v>6</v>
      </c>
      <c r="E10" s="9">
        <v>60</v>
      </c>
      <c r="F10" s="70">
        <v>35</v>
      </c>
      <c r="G10" s="70">
        <v>5</v>
      </c>
      <c r="H10" s="70"/>
      <c r="I10" s="97">
        <v>5</v>
      </c>
      <c r="J10" s="70">
        <v>100</v>
      </c>
      <c r="K10" s="112">
        <v>50</v>
      </c>
      <c r="L10" s="80">
        <v>0.2</v>
      </c>
      <c r="M10" s="116">
        <f t="shared" si="2"/>
        <v>262.25</v>
      </c>
      <c r="N10" s="116">
        <f t="shared" si="3"/>
        <v>0.5</v>
      </c>
      <c r="O10" s="116">
        <f t="shared" si="0"/>
        <v>0.375</v>
      </c>
      <c r="P10" s="116">
        <f t="shared" si="0"/>
        <v>0.12</v>
      </c>
      <c r="Q10" s="116">
        <f t="shared" si="0"/>
        <v>5.000000000000001E-3</v>
      </c>
      <c r="R10" s="116">
        <f t="shared" si="0"/>
        <v>0</v>
      </c>
      <c r="S10" s="113"/>
      <c r="U10" s="83">
        <v>6</v>
      </c>
      <c r="V10" s="60">
        <f>基础信息!D15</f>
        <v>35.5</v>
      </c>
      <c r="W10" s="61">
        <f>基础信息!E15</f>
        <v>68.623430833504159</v>
      </c>
      <c r="X10" s="61">
        <f>基础信息!F15</f>
        <v>61.20919943756077</v>
      </c>
      <c r="Y10" s="100">
        <f t="shared" si="10"/>
        <v>21.987250607547978</v>
      </c>
      <c r="Z10" s="100">
        <f t="shared" si="11"/>
        <v>8.4068899381801074</v>
      </c>
      <c r="AA10" s="100">
        <f t="shared" si="12"/>
        <v>1.9400515241954093</v>
      </c>
      <c r="AB10" s="100">
        <f t="shared" si="13"/>
        <v>0</v>
      </c>
      <c r="AC10" s="100">
        <f t="shared" si="14"/>
        <v>0</v>
      </c>
      <c r="AD10" s="83">
        <f>SUM(Y$5:Y10)</f>
        <v>35.922463108024203</v>
      </c>
      <c r="AE10" s="83">
        <f>SUM(Z$5:Z10)</f>
        <v>11.890693063299164</v>
      </c>
      <c r="AF10" s="83">
        <f>SUM(AA$5:AA10)</f>
        <v>1.9400515241954093</v>
      </c>
      <c r="AG10" s="83">
        <f>SUM(AB$5:AB10)</f>
        <v>0</v>
      </c>
      <c r="AH10" s="83">
        <f>SUM(AC$5:AC10)</f>
        <v>0</v>
      </c>
      <c r="AI10" s="100">
        <f t="shared" si="15"/>
        <v>11400.751615053194</v>
      </c>
      <c r="AJ10" s="100">
        <f t="shared" si="17"/>
        <v>248.76603847759387</v>
      </c>
      <c r="AK10" s="116">
        <f t="shared" si="16"/>
        <v>470.15163392616125</v>
      </c>
      <c r="AL10" s="103">
        <f>IFERROR(求节点('六艺&amp;奇遇'!$T$5:$T$113,'六艺&amp;奇遇'!$U$5:$U$113,AK10),0)</f>
        <v>3080.606535704645</v>
      </c>
      <c r="AM10" s="103">
        <f>IFERROR(求节点('六艺&amp;奇遇'!$T$5:$T$113,'六艺&amp;奇遇'!V$5:V$113,$AK10),0)</f>
        <v>0</v>
      </c>
      <c r="AN10" s="103">
        <f>IFERROR(求节点('六艺&amp;奇遇'!$T$5:$T$113,'六艺&amp;奇遇'!W$5:W$113,$AK10),0)</f>
        <v>0</v>
      </c>
      <c r="AO10" s="103">
        <f>IFERROR(求节点('六艺&amp;奇遇'!$T$5:$T$113,'六艺&amp;奇遇'!X$5:X$113,$AK10),0)</f>
        <v>0</v>
      </c>
      <c r="AP10" s="103">
        <f>IFERROR(求节点('六艺&amp;奇遇'!$T$5:$T$113,'六艺&amp;奇遇'!Y$5:Y$113,$AK10),0)</f>
        <v>0</v>
      </c>
      <c r="AQ10" s="103">
        <f>IFERROR(求节点('六艺&amp;奇遇'!$T$5:$T$113,'六艺&amp;奇遇'!Z$5:Z$113,$AK10),0)</f>
        <v>0</v>
      </c>
      <c r="AT10" s="117">
        <v>6</v>
      </c>
      <c r="AU10" s="117">
        <f t="shared" si="5"/>
        <v>0</v>
      </c>
      <c r="AV10" s="117">
        <f t="shared" si="6"/>
        <v>0</v>
      </c>
      <c r="AW10" s="117">
        <f t="shared" si="7"/>
        <v>0</v>
      </c>
      <c r="AX10" s="117">
        <f t="shared" si="8"/>
        <v>0</v>
      </c>
      <c r="AY10" s="117">
        <f t="shared" si="9"/>
        <v>0</v>
      </c>
    </row>
    <row r="11" spans="1:51" x14ac:dyDescent="0.15">
      <c r="A11" s="83"/>
      <c r="B11" s="116">
        <f t="shared" si="1"/>
        <v>100</v>
      </c>
      <c r="C11" s="100">
        <v>7</v>
      </c>
      <c r="D11" s="9"/>
      <c r="E11" s="9">
        <v>45</v>
      </c>
      <c r="F11" s="70">
        <v>45</v>
      </c>
      <c r="G11" s="70">
        <v>10</v>
      </c>
      <c r="H11" s="70"/>
      <c r="I11" s="97">
        <v>5</v>
      </c>
      <c r="J11" s="70">
        <v>100</v>
      </c>
      <c r="K11" s="112">
        <v>60</v>
      </c>
      <c r="L11" s="80">
        <v>0.2</v>
      </c>
      <c r="M11" s="116">
        <f t="shared" si="2"/>
        <v>293.25</v>
      </c>
      <c r="N11" s="116">
        <f t="shared" si="3"/>
        <v>0.45</v>
      </c>
      <c r="O11" s="116">
        <f t="shared" si="0"/>
        <v>0.375</v>
      </c>
      <c r="P11" s="116">
        <f t="shared" si="0"/>
        <v>0.16500000000000004</v>
      </c>
      <c r="Q11" s="116">
        <f t="shared" si="0"/>
        <v>1.0000000000000002E-2</v>
      </c>
      <c r="R11" s="116">
        <f t="shared" si="0"/>
        <v>0</v>
      </c>
      <c r="S11" s="113"/>
      <c r="U11" s="83">
        <v>7</v>
      </c>
      <c r="V11" s="60">
        <f>基础信息!D16</f>
        <v>39.5</v>
      </c>
      <c r="W11" s="61">
        <f>基础信息!E16</f>
        <v>124.62134549299002</v>
      </c>
      <c r="X11" s="61">
        <f>基础信息!F16</f>
        <v>69.722501590522299</v>
      </c>
      <c r="Y11" s="100">
        <f t="shared" si="10"/>
        <v>27.998957329742929</v>
      </c>
      <c r="Z11" s="100">
        <f t="shared" si="11"/>
        <v>20.999217997307198</v>
      </c>
      <c r="AA11" s="100">
        <f t="shared" si="12"/>
        <v>6.7197497591383026</v>
      </c>
      <c r="AB11" s="100">
        <f t="shared" si="13"/>
        <v>0.27998957329742935</v>
      </c>
      <c r="AC11" s="100">
        <f t="shared" si="14"/>
        <v>0</v>
      </c>
      <c r="AD11" s="83">
        <f>SUM(Y$5:Y11)</f>
        <v>63.921420437767132</v>
      </c>
      <c r="AE11" s="83">
        <f>SUM(Z$5:Z11)</f>
        <v>32.889911060606366</v>
      </c>
      <c r="AF11" s="83">
        <f>SUM(AA$5:AA11)</f>
        <v>8.6598012833337119</v>
      </c>
      <c r="AG11" s="83">
        <f>SUM(AB$5:AB11)</f>
        <v>0.27998957329742935</v>
      </c>
      <c r="AH11" s="83">
        <f>SUM(AC$5:AC11)</f>
        <v>0</v>
      </c>
      <c r="AI11" s="100">
        <f t="shared" si="15"/>
        <v>26086.204734503361</v>
      </c>
      <c r="AJ11" s="100">
        <f t="shared" si="17"/>
        <v>528.75561177502311</v>
      </c>
      <c r="AK11" s="116">
        <f t="shared" si="16"/>
        <v>1324.1198324833206</v>
      </c>
      <c r="AL11" s="103">
        <f>IFERROR(求节点('六艺&amp;奇遇'!$T$5:$T$113,'六艺&amp;奇遇'!$U$5:$U$113,AK11),0)</f>
        <v>4248.2396649666407</v>
      </c>
      <c r="AM11" s="103">
        <f>IFERROR(求节点('六艺&amp;奇遇'!$T$5:$T$113,'六艺&amp;奇遇'!V$5:V$113,$AK11),0)</f>
        <v>0</v>
      </c>
      <c r="AN11" s="103">
        <f>IFERROR(求节点('六艺&amp;奇遇'!$T$5:$T$113,'六艺&amp;奇遇'!W$5:W$113,$AK11),0)</f>
        <v>0</v>
      </c>
      <c r="AO11" s="103">
        <f>IFERROR(求节点('六艺&amp;奇遇'!$T$5:$T$113,'六艺&amp;奇遇'!X$5:X$113,$AK11),0)</f>
        <v>0</v>
      </c>
      <c r="AP11" s="103">
        <f>IFERROR(求节点('六艺&amp;奇遇'!$T$5:$T$113,'六艺&amp;奇遇'!Y$5:Y$113,$AK11),0)</f>
        <v>0</v>
      </c>
      <c r="AQ11" s="103">
        <f>IFERROR(求节点('六艺&amp;奇遇'!$T$5:$T$113,'六艺&amp;奇遇'!Z$5:Z$113,$AK11),0)</f>
        <v>0</v>
      </c>
      <c r="AT11" s="117">
        <v>7</v>
      </c>
      <c r="AU11" s="117">
        <f t="shared" si="5"/>
        <v>0</v>
      </c>
      <c r="AV11" s="117">
        <f t="shared" si="6"/>
        <v>0</v>
      </c>
      <c r="AW11" s="117">
        <f t="shared" si="7"/>
        <v>0</v>
      </c>
      <c r="AX11" s="117">
        <f t="shared" si="8"/>
        <v>0</v>
      </c>
      <c r="AY11" s="117">
        <f t="shared" si="9"/>
        <v>0</v>
      </c>
    </row>
    <row r="12" spans="1:51" x14ac:dyDescent="0.15">
      <c r="A12" s="83"/>
      <c r="B12" s="116">
        <f t="shared" si="1"/>
        <v>100</v>
      </c>
      <c r="C12" s="100">
        <v>8</v>
      </c>
      <c r="D12" s="9"/>
      <c r="E12" s="97">
        <v>30</v>
      </c>
      <c r="F12" s="70">
        <v>55</v>
      </c>
      <c r="G12" s="97">
        <v>15</v>
      </c>
      <c r="H12" s="70"/>
      <c r="I12" s="97">
        <v>5</v>
      </c>
      <c r="J12" s="70">
        <v>100</v>
      </c>
      <c r="K12" s="112">
        <v>80</v>
      </c>
      <c r="L12" s="80">
        <v>0.2</v>
      </c>
      <c r="M12" s="116">
        <f t="shared" si="2"/>
        <v>334.25</v>
      </c>
      <c r="N12" s="116">
        <f t="shared" si="3"/>
        <v>0.4</v>
      </c>
      <c r="O12" s="116">
        <f t="shared" si="0"/>
        <v>0.375</v>
      </c>
      <c r="P12" s="116">
        <f t="shared" si="0"/>
        <v>0.21000000000000002</v>
      </c>
      <c r="Q12" s="116">
        <f t="shared" si="0"/>
        <v>1.4999999999999999E-2</v>
      </c>
      <c r="R12" s="116">
        <f t="shared" si="0"/>
        <v>0</v>
      </c>
      <c r="S12" s="113"/>
      <c r="U12" s="83">
        <v>8</v>
      </c>
      <c r="V12" s="60">
        <f>基础信息!D17</f>
        <v>43.5</v>
      </c>
      <c r="W12" s="61">
        <f>基础信息!E17</f>
        <v>225.68304366827394</v>
      </c>
      <c r="X12" s="61">
        <f>基础信息!F17</f>
        <v>78.238948396428512</v>
      </c>
      <c r="Y12" s="100">
        <f t="shared" si="10"/>
        <v>45.477764178877763</v>
      </c>
      <c r="Z12" s="100">
        <f t="shared" si="11"/>
        <v>37.898136815731469</v>
      </c>
      <c r="AA12" s="100">
        <f t="shared" si="12"/>
        <v>16.675180198921851</v>
      </c>
      <c r="AB12" s="100">
        <f t="shared" si="13"/>
        <v>1.0106169817528394</v>
      </c>
      <c r="AC12" s="100">
        <f t="shared" si="14"/>
        <v>0</v>
      </c>
      <c r="AD12" s="83">
        <f>SUM(Y$5:Y12)</f>
        <v>109.3991846166449</v>
      </c>
      <c r="AE12" s="83">
        <f>SUM(Z$5:Z12)</f>
        <v>70.788047876337828</v>
      </c>
      <c r="AF12" s="83">
        <f>SUM(AA$5:AA12)</f>
        <v>25.334981482255564</v>
      </c>
      <c r="AG12" s="83">
        <f>SUM(AB$5:AB12)</f>
        <v>1.2906065550502688</v>
      </c>
      <c r="AH12" s="83">
        <f>SUM(AC$5:AC12)</f>
        <v>0</v>
      </c>
      <c r="AI12" s="100">
        <f t="shared" si="15"/>
        <v>55722.547724405369</v>
      </c>
      <c r="AJ12" s="100">
        <f t="shared" si="17"/>
        <v>1034.0641026514427</v>
      </c>
      <c r="AK12" s="116">
        <f t="shared" si="16"/>
        <v>2890.5761542002215</v>
      </c>
      <c r="AL12" s="103">
        <f>IFERROR(求节点('六艺&amp;奇遇'!$T$5:$T$113,'六艺&amp;奇遇'!$U$5:$U$113,AK12),0)</f>
        <v>5890.5761542002219</v>
      </c>
      <c r="AM12" s="103">
        <f>IFERROR(求节点('六艺&amp;奇遇'!$T$5:$T$113,'六艺&amp;奇遇'!V$5:V$113,$AK12),0)</f>
        <v>0</v>
      </c>
      <c r="AN12" s="103">
        <f>IFERROR(求节点('六艺&amp;奇遇'!$T$5:$T$113,'六艺&amp;奇遇'!W$5:W$113,$AK12),0)</f>
        <v>0</v>
      </c>
      <c r="AO12" s="103">
        <f>IFERROR(求节点('六艺&amp;奇遇'!$T$5:$T$113,'六艺&amp;奇遇'!X$5:X$113,$AK12),0)</f>
        <v>0</v>
      </c>
      <c r="AP12" s="103">
        <f>IFERROR(求节点('六艺&amp;奇遇'!$T$5:$T$113,'六艺&amp;奇遇'!Y$5:Y$113,$AK12),0)</f>
        <v>0</v>
      </c>
      <c r="AQ12" s="103">
        <f>IFERROR(求节点('六艺&amp;奇遇'!$T$5:$T$113,'六艺&amp;奇遇'!Z$5:Z$113,$AK12),0)</f>
        <v>0</v>
      </c>
      <c r="AT12" s="117">
        <v>8</v>
      </c>
      <c r="AU12" s="117">
        <f t="shared" si="5"/>
        <v>0</v>
      </c>
      <c r="AV12" s="117">
        <f t="shared" si="6"/>
        <v>0</v>
      </c>
      <c r="AW12" s="117">
        <f t="shared" si="7"/>
        <v>0</v>
      </c>
      <c r="AX12" s="117">
        <f t="shared" si="8"/>
        <v>0</v>
      </c>
      <c r="AY12" s="117">
        <f t="shared" si="9"/>
        <v>0</v>
      </c>
    </row>
    <row r="13" spans="1:51" x14ac:dyDescent="0.15">
      <c r="A13" s="83"/>
      <c r="B13" s="116">
        <f t="shared" si="1"/>
        <v>100</v>
      </c>
      <c r="C13" s="100">
        <v>9</v>
      </c>
      <c r="D13" s="9"/>
      <c r="E13" s="97">
        <v>15</v>
      </c>
      <c r="F13" s="70">
        <v>65</v>
      </c>
      <c r="G13" s="97">
        <v>20</v>
      </c>
      <c r="H13" s="70"/>
      <c r="I13" s="97">
        <v>5</v>
      </c>
      <c r="J13" s="70">
        <v>100</v>
      </c>
      <c r="K13" s="112">
        <v>100</v>
      </c>
      <c r="L13" s="80">
        <v>0.2</v>
      </c>
      <c r="M13" s="116">
        <f t="shared" si="2"/>
        <v>375.25</v>
      </c>
      <c r="N13" s="116">
        <f t="shared" si="3"/>
        <v>0.35000000000000003</v>
      </c>
      <c r="O13" s="116">
        <f t="shared" si="0"/>
        <v>0.375</v>
      </c>
      <c r="P13" s="116">
        <f t="shared" si="0"/>
        <v>0.255</v>
      </c>
      <c r="Q13" s="116">
        <f t="shared" si="0"/>
        <v>2.0000000000000004E-2</v>
      </c>
      <c r="R13" s="116">
        <f t="shared" si="0"/>
        <v>0</v>
      </c>
      <c r="S13" s="113"/>
      <c r="U13" s="83">
        <v>9</v>
      </c>
      <c r="V13" s="60">
        <f>基础信息!D18</f>
        <v>47.5</v>
      </c>
      <c r="W13" s="61">
        <f>基础信息!E18</f>
        <v>407.83539826846607</v>
      </c>
      <c r="X13" s="61">
        <f>基础信息!F18</f>
        <v>86.747293257864058</v>
      </c>
      <c r="Y13" s="100">
        <f t="shared" si="10"/>
        <v>72.860941840076848</v>
      </c>
      <c r="Z13" s="100">
        <f t="shared" si="11"/>
        <v>68.307132975072051</v>
      </c>
      <c r="AA13" s="100">
        <f t="shared" si="12"/>
        <v>38.251994466040351</v>
      </c>
      <c r="AB13" s="100">
        <f t="shared" si="13"/>
        <v>2.732285319002882</v>
      </c>
      <c r="AC13" s="100">
        <f t="shared" si="14"/>
        <v>0</v>
      </c>
      <c r="AD13" s="83">
        <f>SUM(Y$5:Y13)</f>
        <v>182.26012645672176</v>
      </c>
      <c r="AE13" s="83">
        <f>SUM(Z$5:Z13)</f>
        <v>139.09518085140988</v>
      </c>
      <c r="AF13" s="83">
        <f>SUM(AA$5:AA13)</f>
        <v>63.586975948295915</v>
      </c>
      <c r="AG13" s="83">
        <f>SUM(AB$5:AB13)</f>
        <v>4.0228918740531512</v>
      </c>
      <c r="AH13" s="83">
        <f>SUM(AC$5:AC13)</f>
        <v>0</v>
      </c>
      <c r="AI13" s="100">
        <f t="shared" si="15"/>
        <v>116606.97224951959</v>
      </c>
      <c r="AJ13" s="100">
        <f t="shared" si="17"/>
        <v>1944.8258756524033</v>
      </c>
      <c r="AK13" s="116">
        <f t="shared" si="16"/>
        <v>5759.4757391532476</v>
      </c>
      <c r="AL13" s="103">
        <f>IFERROR(求节点('六艺&amp;奇遇'!$T$5:$T$113,'六艺&amp;奇遇'!$U$5:$U$113,AK13),0)</f>
        <v>7655.6854434919487</v>
      </c>
      <c r="AM13" s="103">
        <f>IFERROR(求节点('六艺&amp;奇遇'!$T$5:$T$113,'六艺&amp;奇遇'!V$5:V$113,$AK13),0)</f>
        <v>0</v>
      </c>
      <c r="AN13" s="103">
        <f>IFERROR(求节点('六艺&amp;奇遇'!$T$5:$T$113,'六艺&amp;奇遇'!W$5:W$113,$AK13),0)</f>
        <v>0</v>
      </c>
      <c r="AO13" s="103">
        <f>IFERROR(求节点('六艺&amp;奇遇'!$T$5:$T$113,'六艺&amp;奇遇'!X$5:X$113,$AK13),0)</f>
        <v>0</v>
      </c>
      <c r="AP13" s="103">
        <f>IFERROR(求节点('六艺&amp;奇遇'!$T$5:$T$113,'六艺&amp;奇遇'!Y$5:Y$113,$AK13),0)</f>
        <v>0</v>
      </c>
      <c r="AQ13" s="103">
        <f>IFERROR(求节点('六艺&amp;奇遇'!$T$5:$T$113,'六艺&amp;奇遇'!Z$5:Z$113,$AK13),0)</f>
        <v>0</v>
      </c>
      <c r="AT13" s="117">
        <v>9</v>
      </c>
      <c r="AU13" s="117">
        <f t="shared" si="5"/>
        <v>0</v>
      </c>
      <c r="AV13" s="117">
        <f t="shared" si="6"/>
        <v>0</v>
      </c>
      <c r="AW13" s="117">
        <f t="shared" si="7"/>
        <v>0</v>
      </c>
      <c r="AX13" s="117">
        <f t="shared" si="8"/>
        <v>0</v>
      </c>
      <c r="AY13" s="117">
        <f t="shared" si="9"/>
        <v>0</v>
      </c>
    </row>
    <row r="14" spans="1:51" x14ac:dyDescent="0.15">
      <c r="A14" s="83"/>
      <c r="B14" s="116">
        <f t="shared" si="1"/>
        <v>100</v>
      </c>
      <c r="C14" s="100">
        <v>10</v>
      </c>
      <c r="D14" s="9"/>
      <c r="E14" s="97"/>
      <c r="F14" s="70">
        <v>74</v>
      </c>
      <c r="G14" s="97">
        <v>25</v>
      </c>
      <c r="H14" s="70">
        <v>1</v>
      </c>
      <c r="I14" s="97">
        <v>5</v>
      </c>
      <c r="J14" s="70">
        <v>100</v>
      </c>
      <c r="K14" s="112">
        <v>120</v>
      </c>
      <c r="L14" s="80">
        <v>0.2</v>
      </c>
      <c r="M14" s="116">
        <f t="shared" si="2"/>
        <v>420.7</v>
      </c>
      <c r="N14" s="116">
        <f t="shared" si="3"/>
        <v>0.29600000000000004</v>
      </c>
      <c r="O14" s="116">
        <f t="shared" si="0"/>
        <v>0.37200000000000011</v>
      </c>
      <c r="P14" s="116">
        <f t="shared" si="0"/>
        <v>0.30390000000000006</v>
      </c>
      <c r="Q14" s="116">
        <f t="shared" si="0"/>
        <v>2.7999999999999997E-2</v>
      </c>
      <c r="R14" s="116">
        <f t="shared" si="0"/>
        <v>1E-4</v>
      </c>
      <c r="S14" s="113"/>
      <c r="U14" s="83">
        <v>10</v>
      </c>
      <c r="V14" s="60">
        <f>基础信息!D19</f>
        <v>52</v>
      </c>
      <c r="W14" s="61">
        <f>基础信息!E19</f>
        <v>789.85301886939453</v>
      </c>
      <c r="X14" s="61">
        <f>基础信息!F19</f>
        <v>96.265821375882837</v>
      </c>
      <c r="Y14" s="100">
        <f t="shared" si="10"/>
        <v>133.70616721032496</v>
      </c>
      <c r="Z14" s="100">
        <f t="shared" si="11"/>
        <v>143.25660772534818</v>
      </c>
      <c r="AA14" s="100">
        <f t="shared" si="12"/>
        <v>97.414493253236756</v>
      </c>
      <c r="AB14" s="100">
        <f t="shared" si="13"/>
        <v>7.6403524120185704</v>
      </c>
      <c r="AC14" s="100">
        <f t="shared" si="14"/>
        <v>0</v>
      </c>
      <c r="AD14" s="83">
        <f>SUM(Y$5:Y14)</f>
        <v>315.96629366704673</v>
      </c>
      <c r="AE14" s="83">
        <f>SUM(Z$5:Z14)</f>
        <v>282.35178857675805</v>
      </c>
      <c r="AF14" s="83">
        <f>SUM(AA$5:AA14)</f>
        <v>161.00146920153267</v>
      </c>
      <c r="AG14" s="83">
        <f>SUM(AB$5:AB14)</f>
        <v>11.663244286071722</v>
      </c>
      <c r="AH14" s="83">
        <f>SUM(AC$5:AC14)</f>
        <v>0</v>
      </c>
      <c r="AI14" s="100">
        <f t="shared" si="15"/>
        <v>259959.084380018</v>
      </c>
      <c r="AJ14" s="100">
        <f t="shared" si="17"/>
        <v>3854.9139786570458</v>
      </c>
      <c r="AK14" s="116">
        <f t="shared" si="16"/>
        <v>11871.757668768103</v>
      </c>
      <c r="AL14" s="103">
        <f>IFERROR(求节点('六艺&amp;奇遇'!$T$5:$T$113,'六艺&amp;奇遇'!$U$5:$U$113,AK14),0)</f>
        <v>9561.5273006304305</v>
      </c>
      <c r="AM14" s="103">
        <f>IFERROR(求节点('六艺&amp;奇遇'!$T$5:$T$113,'六艺&amp;奇遇'!V$5:V$113,$AK14),0)</f>
        <v>0</v>
      </c>
      <c r="AN14" s="103">
        <f>IFERROR(求节点('六艺&amp;奇遇'!$T$5:$T$113,'六艺&amp;奇遇'!W$5:W$113,$AK14),0)</f>
        <v>0</v>
      </c>
      <c r="AO14" s="103">
        <f>IFERROR(求节点('六艺&amp;奇遇'!$T$5:$T$113,'六艺&amp;奇遇'!X$5:X$113,$AK14),0)</f>
        <v>0</v>
      </c>
      <c r="AP14" s="103">
        <f>IFERROR(求节点('六艺&amp;奇遇'!$T$5:$T$113,'六艺&amp;奇遇'!Y$5:Y$113,$AK14),0)</f>
        <v>0</v>
      </c>
      <c r="AQ14" s="103">
        <f>IFERROR(求节点('六艺&amp;奇遇'!$T$5:$T$113,'六艺&amp;奇遇'!Z$5:Z$113,$AK14),0)</f>
        <v>0</v>
      </c>
      <c r="AT14" s="117">
        <v>10</v>
      </c>
      <c r="AU14" s="117">
        <f t="shared" si="5"/>
        <v>0</v>
      </c>
      <c r="AV14" s="117">
        <f t="shared" si="6"/>
        <v>0</v>
      </c>
      <c r="AW14" s="117">
        <f t="shared" si="7"/>
        <v>0</v>
      </c>
      <c r="AX14" s="117">
        <f t="shared" si="8"/>
        <v>0</v>
      </c>
      <c r="AY14" s="117">
        <f t="shared" si="9"/>
        <v>0</v>
      </c>
    </row>
    <row r="15" spans="1:51" x14ac:dyDescent="0.15">
      <c r="A15" s="83"/>
      <c r="B15" s="116">
        <f t="shared" si="1"/>
        <v>100</v>
      </c>
      <c r="C15" s="100">
        <v>11</v>
      </c>
      <c r="D15" s="9"/>
      <c r="E15" s="97"/>
      <c r="F15" s="116">
        <v>68</v>
      </c>
      <c r="G15" s="116">
        <v>30</v>
      </c>
      <c r="H15" s="70">
        <v>2</v>
      </c>
      <c r="I15" s="70">
        <v>5</v>
      </c>
      <c r="J15" s="70">
        <v>100</v>
      </c>
      <c r="K15" s="112">
        <v>140</v>
      </c>
      <c r="L15" s="80">
        <v>0.2</v>
      </c>
      <c r="M15" s="116">
        <f t="shared" si="2"/>
        <v>453.4</v>
      </c>
      <c r="N15" s="116">
        <f t="shared" si="3"/>
        <v>0.27200000000000002</v>
      </c>
      <c r="O15" s="116">
        <f t="shared" si="0"/>
        <v>0.38400000000000001</v>
      </c>
      <c r="P15" s="116">
        <f t="shared" si="0"/>
        <v>0.30780000000000007</v>
      </c>
      <c r="Q15" s="116">
        <f t="shared" si="0"/>
        <v>3.6000000000000004E-2</v>
      </c>
      <c r="R15" s="116">
        <f t="shared" si="0"/>
        <v>2.0000000000000001E-4</v>
      </c>
      <c r="S15" s="113"/>
      <c r="U15" s="83">
        <v>11</v>
      </c>
      <c r="V15" s="60">
        <f>基础信息!D20</f>
        <v>57</v>
      </c>
      <c r="W15" s="61">
        <f>基础信息!E20</f>
        <v>1647.8248427703616</v>
      </c>
      <c r="X15" s="61">
        <f>基础信息!F20</f>
        <v>106.86832874572353</v>
      </c>
      <c r="Y15" s="100">
        <f t="shared" si="10"/>
        <v>253.95965987468628</v>
      </c>
      <c r="Z15" s="100">
        <f t="shared" si="11"/>
        <v>319.16551849115984</v>
      </c>
      <c r="AA15" s="100">
        <f t="shared" si="12"/>
        <v>260.73763728350394</v>
      </c>
      <c r="AB15" s="100">
        <f t="shared" si="13"/>
        <v>24.023211069227074</v>
      </c>
      <c r="AC15" s="100">
        <f t="shared" si="14"/>
        <v>8.5797182390096705E-2</v>
      </c>
      <c r="AD15" s="83">
        <f>SUM(Y$5:Y15)</f>
        <v>569.92595354173295</v>
      </c>
      <c r="AE15" s="83">
        <f>SUM(Z$5:Z15)</f>
        <v>601.51730706791795</v>
      </c>
      <c r="AF15" s="83">
        <f>SUM(AA$5:AA15)</f>
        <v>421.73910648503659</v>
      </c>
      <c r="AG15" s="83">
        <f>SUM(AB$5:AB15)</f>
        <v>35.686455355298797</v>
      </c>
      <c r="AH15" s="83">
        <f>SUM(AC$5:AC15)</f>
        <v>8.5797182390096705E-2</v>
      </c>
      <c r="AI15" s="100">
        <f t="shared" si="15"/>
        <v>620907.83069515484</v>
      </c>
      <c r="AJ15" s="100">
        <f t="shared" si="17"/>
        <v>8144.7730981618806</v>
      </c>
      <c r="AK15" s="116">
        <f t="shared" si="16"/>
        <v>25899.596989548911</v>
      </c>
      <c r="AL15" s="103">
        <f>IFERROR(求节点('六艺&amp;奇遇'!$T$5:$T$113,'六艺&amp;奇遇'!$U$5:$U$113,AK15),0)</f>
        <v>13769.879096864674</v>
      </c>
      <c r="AM15" s="103">
        <f>IFERROR(求节点('六艺&amp;奇遇'!$T$5:$T$113,'六艺&amp;奇遇'!V$5:V$113,$AK15),0)</f>
        <v>0</v>
      </c>
      <c r="AN15" s="103">
        <f>IFERROR(求节点('六艺&amp;奇遇'!$T$5:$T$113,'六艺&amp;奇遇'!W$5:W$113,$AK15),0)</f>
        <v>0</v>
      </c>
      <c r="AO15" s="103">
        <f>IFERROR(求节点('六艺&amp;奇遇'!$T$5:$T$113,'六艺&amp;奇遇'!X$5:X$113,$AK15),0)</f>
        <v>0</v>
      </c>
      <c r="AP15" s="103">
        <f>IFERROR(求节点('六艺&amp;奇遇'!$T$5:$T$113,'六艺&amp;奇遇'!Y$5:Y$113,$AK15),0)</f>
        <v>0</v>
      </c>
      <c r="AQ15" s="103">
        <f>IFERROR(求节点('六艺&amp;奇遇'!$T$5:$T$113,'六艺&amp;奇遇'!Z$5:Z$113,$AK15),0)</f>
        <v>0</v>
      </c>
      <c r="AT15" s="117">
        <v>11</v>
      </c>
      <c r="AU15" s="117">
        <f t="shared" si="5"/>
        <v>0</v>
      </c>
      <c r="AV15" s="117">
        <f t="shared" si="6"/>
        <v>0</v>
      </c>
      <c r="AW15" s="117">
        <f t="shared" si="7"/>
        <v>0</v>
      </c>
      <c r="AX15" s="117">
        <f t="shared" si="8"/>
        <v>0</v>
      </c>
      <c r="AY15" s="117">
        <f t="shared" si="9"/>
        <v>0</v>
      </c>
    </row>
    <row r="16" spans="1:51" x14ac:dyDescent="0.15">
      <c r="A16" s="83"/>
      <c r="B16" s="116">
        <f t="shared" si="1"/>
        <v>100</v>
      </c>
      <c r="C16" s="100">
        <v>12</v>
      </c>
      <c r="D16" s="9"/>
      <c r="E16" s="9"/>
      <c r="F16" s="116">
        <v>67</v>
      </c>
      <c r="G16" s="116">
        <v>30</v>
      </c>
      <c r="H16" s="97">
        <v>3</v>
      </c>
      <c r="I16" s="70">
        <v>5</v>
      </c>
      <c r="J16" s="70">
        <v>100</v>
      </c>
      <c r="K16" s="112">
        <v>160</v>
      </c>
      <c r="L16" s="80">
        <v>0.2</v>
      </c>
      <c r="M16" s="116">
        <f t="shared" si="2"/>
        <v>477.85</v>
      </c>
      <c r="N16" s="116">
        <f t="shared" si="3"/>
        <v>0.26800000000000002</v>
      </c>
      <c r="O16" s="116">
        <f t="shared" si="0"/>
        <v>0.38100000000000001</v>
      </c>
      <c r="P16" s="116">
        <f t="shared" si="0"/>
        <v>0.31170000000000009</v>
      </c>
      <c r="Q16" s="116">
        <f t="shared" si="0"/>
        <v>3.9000000000000007E-2</v>
      </c>
      <c r="R16" s="116">
        <f t="shared" si="0"/>
        <v>2.9999999999999997E-4</v>
      </c>
      <c r="S16" s="113"/>
      <c r="U16" s="83">
        <v>12</v>
      </c>
      <c r="V16" s="60">
        <f>基础信息!D21</f>
        <v>62</v>
      </c>
      <c r="W16" s="61">
        <f>基础信息!E21</f>
        <v>3431.3522956038646</v>
      </c>
      <c r="X16" s="61">
        <f>基础信息!F21</f>
        <v>117.44125295293078</v>
      </c>
      <c r="Y16" s="100">
        <f t="shared" si="10"/>
        <v>485.11946717071288</v>
      </c>
      <c r="Z16" s="100">
        <f t="shared" si="11"/>
        <v>684.87454188806521</v>
      </c>
      <c r="AA16" s="100">
        <f t="shared" si="12"/>
        <v>548.96974998215239</v>
      </c>
      <c r="AB16" s="100">
        <f t="shared" si="13"/>
        <v>64.206988302006124</v>
      </c>
      <c r="AC16" s="100">
        <f t="shared" si="14"/>
        <v>0.35670549056670064</v>
      </c>
      <c r="AD16" s="83">
        <f>SUM(Y$5:Y16)</f>
        <v>1055.0454207124458</v>
      </c>
      <c r="AE16" s="83">
        <f>SUM(Z$5:Z16)</f>
        <v>1286.3918489559833</v>
      </c>
      <c r="AF16" s="83">
        <f>SUM(AA$5:AA16)</f>
        <v>970.70885646718898</v>
      </c>
      <c r="AG16" s="83">
        <f>SUM(AB$5:AB16)</f>
        <v>99.893443657304914</v>
      </c>
      <c r="AH16" s="83">
        <f>SUM(AC$5:AC16)</f>
        <v>0.44250267295679735</v>
      </c>
      <c r="AI16" s="100">
        <f t="shared" si="15"/>
        <v>1429559.1778098652</v>
      </c>
      <c r="AJ16" s="100">
        <f t="shared" si="17"/>
        <v>17062.410362329396</v>
      </c>
      <c r="AK16" s="116">
        <f t="shared" si="16"/>
        <v>55684.505451868412</v>
      </c>
      <c r="AL16" s="103">
        <f>IFERROR(求节点('六艺&amp;奇遇'!$T$5:$T$113,'六艺&amp;奇遇'!$U$5:$U$113,AK16),0)</f>
        <v>24673.802180747363</v>
      </c>
      <c r="AM16" s="103">
        <f>IFERROR(求节点('六艺&amp;奇遇'!$T$5:$T$113,'六艺&amp;奇遇'!V$5:V$113,$AK16),0)</f>
        <v>0</v>
      </c>
      <c r="AN16" s="103">
        <f>IFERROR(求节点('六艺&amp;奇遇'!$T$5:$T$113,'六艺&amp;奇遇'!W$5:W$113,$AK16),0)</f>
        <v>0</v>
      </c>
      <c r="AO16" s="103">
        <f>IFERROR(求节点('六艺&amp;奇遇'!$T$5:$T$113,'六艺&amp;奇遇'!X$5:X$113,$AK16),0)</f>
        <v>0</v>
      </c>
      <c r="AP16" s="103">
        <f>IFERROR(求节点('六艺&amp;奇遇'!$T$5:$T$113,'六艺&amp;奇遇'!Y$5:Y$113,$AK16),0)</f>
        <v>0</v>
      </c>
      <c r="AQ16" s="103">
        <f>IFERROR(求节点('六艺&amp;奇遇'!$T$5:$T$113,'六艺&amp;奇遇'!Z$5:Z$113,$AK16),0)</f>
        <v>0</v>
      </c>
      <c r="AT16" s="117">
        <v>12</v>
      </c>
      <c r="AU16" s="117">
        <f t="shared" si="5"/>
        <v>0</v>
      </c>
      <c r="AV16" s="117">
        <f t="shared" si="6"/>
        <v>0</v>
      </c>
      <c r="AW16" s="117">
        <f t="shared" si="7"/>
        <v>0</v>
      </c>
      <c r="AX16" s="117">
        <f t="shared" si="8"/>
        <v>0</v>
      </c>
      <c r="AY16" s="117">
        <f t="shared" si="9"/>
        <v>0</v>
      </c>
    </row>
    <row r="17" spans="1:51" x14ac:dyDescent="0.15">
      <c r="A17" s="83"/>
      <c r="B17" s="116">
        <f t="shared" si="1"/>
        <v>100</v>
      </c>
      <c r="C17" s="100">
        <v>13</v>
      </c>
      <c r="E17" s="9"/>
      <c r="F17" s="116">
        <v>66</v>
      </c>
      <c r="G17" s="116">
        <v>30</v>
      </c>
      <c r="H17" s="116">
        <v>4</v>
      </c>
      <c r="I17" s="70">
        <v>5</v>
      </c>
      <c r="J17" s="70">
        <v>100</v>
      </c>
      <c r="K17" s="112">
        <v>180</v>
      </c>
      <c r="L17" s="80">
        <v>0.2</v>
      </c>
      <c r="M17" s="116">
        <f t="shared" si="2"/>
        <v>502.3</v>
      </c>
      <c r="N17" s="116">
        <f t="shared" si="3"/>
        <v>0.26400000000000001</v>
      </c>
      <c r="O17" s="116">
        <f t="shared" si="0"/>
        <v>0.37799999999999995</v>
      </c>
      <c r="P17" s="116">
        <f t="shared" si="0"/>
        <v>0.31559999999999999</v>
      </c>
      <c r="Q17" s="116">
        <f t="shared" si="0"/>
        <v>4.200000000000001E-2</v>
      </c>
      <c r="R17" s="116">
        <f t="shared" si="0"/>
        <v>4.0000000000000002E-4</v>
      </c>
      <c r="S17" s="113"/>
      <c r="U17" s="83">
        <v>13</v>
      </c>
      <c r="V17" s="60">
        <f>基础信息!D22</f>
        <v>67</v>
      </c>
      <c r="W17" s="61">
        <f>基础信息!E22</f>
        <v>7133.5498113340191</v>
      </c>
      <c r="X17" s="61">
        <f>基础信息!F22</f>
        <v>128.00586023511804</v>
      </c>
      <c r="Y17" s="100">
        <f t="shared" si="10"/>
        <v>992.18893421568146</v>
      </c>
      <c r="Z17" s="100">
        <f t="shared" si="11"/>
        <v>1410.5372534931889</v>
      </c>
      <c r="AA17" s="100">
        <f t="shared" si="12"/>
        <v>1153.9749656530894</v>
      </c>
      <c r="AB17" s="100">
        <f t="shared" si="13"/>
        <v>144.38570311347604</v>
      </c>
      <c r="AC17" s="100">
        <f t="shared" si="14"/>
        <v>1.1106592547190461</v>
      </c>
      <c r="AD17" s="83">
        <f>SUM(Y$5:Y17)</f>
        <v>2047.2343549281272</v>
      </c>
      <c r="AE17" s="83">
        <f>SUM(Z$5:Z17)</f>
        <v>2696.9291024491722</v>
      </c>
      <c r="AF17" s="83">
        <f>SUM(AA$5:AA17)</f>
        <v>2124.6838221202784</v>
      </c>
      <c r="AG17" s="83">
        <f>SUM(AB$5:AB17)</f>
        <v>244.27914677078095</v>
      </c>
      <c r="AH17" s="83">
        <f>SUM(AC$5:AC17)</f>
        <v>1.5531619276758435</v>
      </c>
      <c r="AI17" s="100">
        <f t="shared" si="15"/>
        <v>3198654.2607015194</v>
      </c>
      <c r="AJ17" s="100">
        <f t="shared" si="17"/>
        <v>35573.397940980169</v>
      </c>
      <c r="AK17" s="116">
        <f t="shared" si="16"/>
        <v>117881.423716135</v>
      </c>
      <c r="AL17" s="103">
        <f>IFERROR(求节点('六艺&amp;奇遇'!$T$5:$T$113,'六艺&amp;奇遇'!$U$5:$U$113,AK17),0)</f>
        <v>26400</v>
      </c>
      <c r="AM17" s="103">
        <f>IFERROR(求节点('六艺&amp;奇遇'!$T$5:$T$113,'六艺&amp;奇遇'!V$5:V$113,$AK17),0)</f>
        <v>0</v>
      </c>
      <c r="AN17" s="103">
        <f>IFERROR(求节点('六艺&amp;奇遇'!$T$5:$T$113,'六艺&amp;奇遇'!W$5:W$113,$AK17),0)</f>
        <v>0</v>
      </c>
      <c r="AO17" s="103">
        <f>IFERROR(求节点('六艺&amp;奇遇'!$T$5:$T$113,'六艺&amp;奇遇'!X$5:X$113,$AK17),0)</f>
        <v>0</v>
      </c>
      <c r="AP17" s="103">
        <f>IFERROR(求节点('六艺&amp;奇遇'!$T$5:$T$113,'六艺&amp;奇遇'!Y$5:Y$113,$AK17),0)</f>
        <v>0</v>
      </c>
      <c r="AQ17" s="103">
        <f>IFERROR(求节点('六艺&amp;奇遇'!$T$5:$T$113,'六艺&amp;奇遇'!Z$5:Z$113,$AK17),0)</f>
        <v>0</v>
      </c>
      <c r="AT17" s="117">
        <v>13</v>
      </c>
      <c r="AU17" s="117">
        <f t="shared" si="5"/>
        <v>0</v>
      </c>
      <c r="AV17" s="117">
        <f t="shared" si="6"/>
        <v>0</v>
      </c>
      <c r="AW17" s="117">
        <f t="shared" si="7"/>
        <v>0</v>
      </c>
      <c r="AX17" s="117">
        <f t="shared" si="8"/>
        <v>0</v>
      </c>
      <c r="AY17" s="117">
        <f t="shared" si="9"/>
        <v>0</v>
      </c>
    </row>
    <row r="18" spans="1:51" x14ac:dyDescent="0.15">
      <c r="A18" s="83"/>
      <c r="B18" s="116">
        <f t="shared" si="1"/>
        <v>100</v>
      </c>
      <c r="C18" s="100">
        <v>14</v>
      </c>
      <c r="E18" s="9"/>
      <c r="F18" s="116">
        <v>65</v>
      </c>
      <c r="G18" s="116">
        <v>30</v>
      </c>
      <c r="H18" s="116">
        <v>5</v>
      </c>
      <c r="I18" s="70">
        <v>5</v>
      </c>
      <c r="J18" s="70">
        <v>100</v>
      </c>
      <c r="K18" s="112">
        <v>200</v>
      </c>
      <c r="L18" s="80">
        <v>0.2</v>
      </c>
      <c r="M18" s="116">
        <f t="shared" si="2"/>
        <v>526.75</v>
      </c>
      <c r="N18" s="116">
        <f t="shared" si="3"/>
        <v>0.26</v>
      </c>
      <c r="O18" s="116">
        <f t="shared" si="0"/>
        <v>0.375</v>
      </c>
      <c r="P18" s="116">
        <f t="shared" si="0"/>
        <v>0.31950000000000006</v>
      </c>
      <c r="Q18" s="116">
        <f t="shared" si="0"/>
        <v>4.4999999999999998E-2</v>
      </c>
      <c r="R18" s="116">
        <f t="shared" si="0"/>
        <v>5.0000000000000001E-4</v>
      </c>
      <c r="S18" s="113"/>
      <c r="U18" s="83">
        <v>14</v>
      </c>
      <c r="V18" s="60">
        <f>基础信息!D23</f>
        <v>72</v>
      </c>
      <c r="W18" s="61">
        <f>基础信息!E23</f>
        <v>14808.205062920617</v>
      </c>
      <c r="X18" s="61">
        <f>基础信息!F23</f>
        <v>138.53345528648683</v>
      </c>
      <c r="Y18" s="100">
        <f t="shared" si="10"/>
        <v>2026.1089864188618</v>
      </c>
      <c r="Z18" s="100">
        <f t="shared" si="11"/>
        <v>2901.0196850997336</v>
      </c>
      <c r="AA18" s="100">
        <f t="shared" si="12"/>
        <v>2422.1211974007301</v>
      </c>
      <c r="AB18" s="100">
        <f t="shared" si="13"/>
        <v>322.33552056663717</v>
      </c>
      <c r="AC18" s="100">
        <f t="shared" si="14"/>
        <v>3.0698621006346394</v>
      </c>
      <c r="AD18" s="83">
        <f>SUM(Y$5:Y18)</f>
        <v>4073.3433413469893</v>
      </c>
      <c r="AE18" s="83">
        <f>SUM(Z$5:Z18)</f>
        <v>5597.9487875489058</v>
      </c>
      <c r="AF18" s="83">
        <f>SUM(AA$5:AA18)</f>
        <v>4546.8050195210089</v>
      </c>
      <c r="AG18" s="83">
        <f>SUM(AB$5:AB18)</f>
        <v>566.61466733741815</v>
      </c>
      <c r="AH18" s="83">
        <f>SUM(AC$5:AC18)</f>
        <v>4.6230240283104829</v>
      </c>
      <c r="AI18" s="100">
        <f t="shared" si="15"/>
        <v>7053633.5935734678</v>
      </c>
      <c r="AJ18" s="100">
        <f t="shared" si="17"/>
        <v>73946.674198913155</v>
      </c>
      <c r="AK18" s="116">
        <f t="shared" si="16"/>
        <v>247583.09746794851</v>
      </c>
      <c r="AL18" s="103">
        <f>IFERROR(求节点('六艺&amp;奇遇'!$T$5:$T$113,'六艺&amp;奇遇'!$U$5:$U$113,AK18),0)</f>
        <v>26400</v>
      </c>
      <c r="AM18" s="103">
        <f>IFERROR(求节点('六艺&amp;奇遇'!$T$5:$T$113,'六艺&amp;奇遇'!V$5:V$113,$AK18),0)</f>
        <v>0</v>
      </c>
      <c r="AN18" s="103">
        <f>IFERROR(求节点('六艺&amp;奇遇'!$T$5:$T$113,'六艺&amp;奇遇'!W$5:W$113,$AK18),0)</f>
        <v>0</v>
      </c>
      <c r="AO18" s="103">
        <f>IFERROR(求节点('六艺&amp;奇遇'!$T$5:$T$113,'六艺&amp;奇遇'!X$5:X$113,$AK18),0)</f>
        <v>0</v>
      </c>
      <c r="AP18" s="103">
        <f>IFERROR(求节点('六艺&amp;奇遇'!$T$5:$T$113,'六艺&amp;奇遇'!Y$5:Y$113,$AK18),0)</f>
        <v>0</v>
      </c>
      <c r="AQ18" s="103">
        <f>IFERROR(求节点('六艺&amp;奇遇'!$T$5:$T$113,'六艺&amp;奇遇'!Z$5:Z$113,$AK18),0)</f>
        <v>0</v>
      </c>
      <c r="AT18" s="117">
        <v>14</v>
      </c>
      <c r="AU18" s="117">
        <f t="shared" si="5"/>
        <v>0</v>
      </c>
      <c r="AV18" s="117">
        <f t="shared" si="6"/>
        <v>0</v>
      </c>
      <c r="AW18" s="117">
        <f t="shared" si="7"/>
        <v>0</v>
      </c>
      <c r="AX18" s="117">
        <f t="shared" si="8"/>
        <v>0</v>
      </c>
      <c r="AY18" s="117">
        <f t="shared" si="9"/>
        <v>0</v>
      </c>
    </row>
    <row r="19" spans="1:51" x14ac:dyDescent="0.15">
      <c r="A19" s="83"/>
      <c r="B19" s="116">
        <f t="shared" si="1"/>
        <v>100</v>
      </c>
      <c r="C19" s="100">
        <v>15</v>
      </c>
      <c r="E19" s="9"/>
      <c r="F19" s="116">
        <v>65</v>
      </c>
      <c r="G19" s="116">
        <v>30</v>
      </c>
      <c r="H19" s="116">
        <v>5</v>
      </c>
      <c r="I19" s="70">
        <v>5</v>
      </c>
      <c r="J19" s="70">
        <v>100</v>
      </c>
      <c r="K19" s="112">
        <v>220</v>
      </c>
      <c r="L19" s="80">
        <v>0.2</v>
      </c>
      <c r="M19" s="116">
        <f t="shared" si="2"/>
        <v>546.75</v>
      </c>
      <c r="N19" s="116">
        <f t="shared" si="3"/>
        <v>0.26</v>
      </c>
      <c r="O19" s="116">
        <f t="shared" si="0"/>
        <v>0.375</v>
      </c>
      <c r="P19" s="116">
        <f t="shared" si="0"/>
        <v>0.31950000000000006</v>
      </c>
      <c r="Q19" s="116">
        <f t="shared" si="0"/>
        <v>4.4999999999999998E-2</v>
      </c>
      <c r="R19" s="116">
        <f t="shared" si="0"/>
        <v>5.0000000000000001E-4</v>
      </c>
      <c r="S19" s="113"/>
      <c r="U19" s="83">
        <v>15</v>
      </c>
      <c r="V19" s="60">
        <f>基础信息!D24</f>
        <v>77</v>
      </c>
      <c r="W19" s="61">
        <f>基础信息!E24</f>
        <v>30698.011006346387</v>
      </c>
      <c r="X19" s="61">
        <f>基础信息!F24</f>
        <v>149.05713970651243</v>
      </c>
      <c r="Y19" s="100">
        <f t="shared" si="10"/>
        <v>4131.3495452907</v>
      </c>
      <c r="Z19" s="100">
        <f t="shared" si="11"/>
        <v>5958.6772287846634</v>
      </c>
      <c r="AA19" s="100">
        <f t="shared" si="12"/>
        <v>5076.7929989245349</v>
      </c>
      <c r="AB19" s="100">
        <f t="shared" si="13"/>
        <v>715.04126745415965</v>
      </c>
      <c r="AC19" s="100">
        <f t="shared" si="14"/>
        <v>7.9449029717128852</v>
      </c>
      <c r="AD19" s="83">
        <f>SUM(Y$5:Y19)</f>
        <v>8204.6928866376893</v>
      </c>
      <c r="AE19" s="83">
        <f>SUM(Z$5:Z19)</f>
        <v>11556.626016333568</v>
      </c>
      <c r="AF19" s="83">
        <f>SUM(AA$5:AA19)</f>
        <v>9623.5980184455439</v>
      </c>
      <c r="AG19" s="83">
        <f>SUM(AB$5:AB19)</f>
        <v>1281.6559347915777</v>
      </c>
      <c r="AH19" s="83">
        <f>SUM(AC$5:AC19)</f>
        <v>12.567927000023367</v>
      </c>
      <c r="AI19" s="100">
        <f t="shared" si="15"/>
        <v>15423588.874272991</v>
      </c>
      <c r="AJ19" s="100">
        <f t="shared" si="17"/>
        <v>153395.703916042</v>
      </c>
      <c r="AK19" s="116">
        <f t="shared" si="16"/>
        <v>517709.79850618663</v>
      </c>
      <c r="AL19" s="103">
        <f>IFERROR(求节点('六艺&amp;奇遇'!$T$5:$T$113,'六艺&amp;奇遇'!$U$5:$U$113,AK19),0)</f>
        <v>26400</v>
      </c>
      <c r="AM19" s="103">
        <f>IFERROR(求节点('六艺&amp;奇遇'!$T$5:$T$113,'六艺&amp;奇遇'!V$5:V$113,$AK19),0)</f>
        <v>0</v>
      </c>
      <c r="AN19" s="103">
        <f>IFERROR(求节点('六艺&amp;奇遇'!$T$5:$T$113,'六艺&amp;奇遇'!W$5:W$113,$AK19),0)</f>
        <v>0</v>
      </c>
      <c r="AO19" s="103">
        <f>IFERROR(求节点('六艺&amp;奇遇'!$T$5:$T$113,'六艺&amp;奇遇'!X$5:X$113,$AK19),0)</f>
        <v>0</v>
      </c>
      <c r="AP19" s="103">
        <f>IFERROR(求节点('六艺&amp;奇遇'!$T$5:$T$113,'六艺&amp;奇遇'!Y$5:Y$113,$AK19),0)</f>
        <v>0</v>
      </c>
      <c r="AQ19" s="103">
        <f>IFERROR(求节点('六艺&amp;奇遇'!$T$5:$T$113,'六艺&amp;奇遇'!Z$5:Z$113,$AK19),0)</f>
        <v>0</v>
      </c>
      <c r="AT19" s="117">
        <v>15</v>
      </c>
      <c r="AU19" s="117">
        <f t="shared" si="5"/>
        <v>0</v>
      </c>
      <c r="AV19" s="117">
        <f t="shared" si="6"/>
        <v>0</v>
      </c>
      <c r="AW19" s="117">
        <f t="shared" si="7"/>
        <v>0</v>
      </c>
      <c r="AX19" s="117">
        <f t="shared" si="8"/>
        <v>0</v>
      </c>
      <c r="AY19" s="117">
        <f t="shared" si="9"/>
        <v>0</v>
      </c>
    </row>
    <row r="20" spans="1:51" x14ac:dyDescent="0.15">
      <c r="A20" s="83"/>
      <c r="B20" s="116">
        <f t="shared" si="1"/>
        <v>100</v>
      </c>
      <c r="C20" s="100">
        <v>16</v>
      </c>
      <c r="E20" s="9"/>
      <c r="F20" s="116">
        <v>65</v>
      </c>
      <c r="G20" s="116">
        <v>30</v>
      </c>
      <c r="H20" s="116">
        <v>5</v>
      </c>
      <c r="I20" s="70">
        <v>5</v>
      </c>
      <c r="J20" s="70">
        <v>100</v>
      </c>
      <c r="K20" s="112">
        <v>240</v>
      </c>
      <c r="L20" s="80">
        <v>0.2</v>
      </c>
      <c r="M20" s="116">
        <f t="shared" si="2"/>
        <v>566.75</v>
      </c>
      <c r="N20" s="116">
        <f t="shared" si="3"/>
        <v>0.26</v>
      </c>
      <c r="O20" s="116">
        <f t="shared" si="0"/>
        <v>0.375</v>
      </c>
      <c r="P20" s="116">
        <f t="shared" si="0"/>
        <v>0.31950000000000006</v>
      </c>
      <c r="Q20" s="116">
        <f t="shared" si="0"/>
        <v>4.4999999999999998E-2</v>
      </c>
      <c r="R20" s="116">
        <f t="shared" si="0"/>
        <v>5.0000000000000001E-4</v>
      </c>
      <c r="S20" s="113"/>
      <c r="U20" s="83">
        <v>16</v>
      </c>
      <c r="V20" s="60">
        <f>基础信息!D25</f>
        <v>80</v>
      </c>
      <c r="W20" s="61">
        <f>基础信息!E25</f>
        <v>47512.875</v>
      </c>
      <c r="X20" s="61">
        <f>基础信息!F25</f>
        <v>155.35264798579232</v>
      </c>
      <c r="Y20" s="100">
        <f t="shared" si="10"/>
        <v>4371.8646383499399</v>
      </c>
      <c r="Z20" s="100">
        <f t="shared" si="11"/>
        <v>6305.5739976201048</v>
      </c>
      <c r="AA20" s="100">
        <f t="shared" si="12"/>
        <v>5372.3490459723307</v>
      </c>
      <c r="AB20" s="100">
        <f t="shared" si="13"/>
        <v>756.66887971441258</v>
      </c>
      <c r="AC20" s="100">
        <f t="shared" si="14"/>
        <v>8.4074319968268068</v>
      </c>
      <c r="AD20" s="83">
        <f>SUM(Y$5:Y20)</f>
        <v>12576.557524987629</v>
      </c>
      <c r="AE20" s="83">
        <f>SUM(Z$5:Z20)</f>
        <v>17862.200013953672</v>
      </c>
      <c r="AF20" s="83">
        <f>SUM(AA$5:AA20)</f>
        <v>14995.947064417875</v>
      </c>
      <c r="AG20" s="83">
        <f>SUM(AB$5:AB20)</f>
        <v>2038.3248145059902</v>
      </c>
      <c r="AH20" s="83">
        <f>SUM(AC$5:AC20)</f>
        <v>20.975358996850176</v>
      </c>
      <c r="AI20" s="100">
        <f t="shared" si="15"/>
        <v>24617115.762803104</v>
      </c>
      <c r="AJ20" s="100">
        <f t="shared" si="17"/>
        <v>237470.02388431007</v>
      </c>
      <c r="AK20" s="116">
        <f t="shared" si="16"/>
        <v>803562.48639829806</v>
      </c>
      <c r="AL20" s="103">
        <f>IFERROR(求节点('六艺&amp;奇遇'!$T$5:$T$113,'六艺&amp;奇遇'!$U$5:$U$113,AK20),0)</f>
        <v>26400</v>
      </c>
      <c r="AM20" s="103">
        <f>IFERROR(求节点('六艺&amp;奇遇'!$T$5:$T$113,'六艺&amp;奇遇'!V$5:V$113,$AK20),0)</f>
        <v>0</v>
      </c>
      <c r="AN20" s="103">
        <f>IFERROR(求节点('六艺&amp;奇遇'!$T$5:$T$113,'六艺&amp;奇遇'!W$5:W$113,$AK20),0)</f>
        <v>0</v>
      </c>
      <c r="AO20" s="103">
        <f>IFERROR(求节点('六艺&amp;奇遇'!$T$5:$T$113,'六艺&amp;奇遇'!X$5:X$113,$AK20),0)</f>
        <v>0</v>
      </c>
      <c r="AP20" s="103">
        <f>IFERROR(求节点('六艺&amp;奇遇'!$T$5:$T$113,'六艺&amp;奇遇'!Y$5:Y$113,$AK20),0)</f>
        <v>0</v>
      </c>
      <c r="AQ20" s="103">
        <f>IFERROR(求节点('六艺&amp;奇遇'!$T$5:$T$113,'六艺&amp;奇遇'!Z$5:Z$113,$AK20),0)</f>
        <v>0</v>
      </c>
      <c r="AT20" s="117">
        <v>16</v>
      </c>
      <c r="AU20" s="117">
        <f t="shared" si="5"/>
        <v>0</v>
      </c>
      <c r="AV20" s="117">
        <f t="shared" si="6"/>
        <v>0</v>
      </c>
      <c r="AW20" s="117">
        <f t="shared" si="7"/>
        <v>0</v>
      </c>
      <c r="AX20" s="117">
        <f t="shared" si="8"/>
        <v>0</v>
      </c>
      <c r="AY20" s="117">
        <f t="shared" si="9"/>
        <v>0</v>
      </c>
    </row>
    <row r="21" spans="1:51" x14ac:dyDescent="0.15">
      <c r="A21" s="83"/>
      <c r="D21" s="9"/>
      <c r="H21" s="70"/>
      <c r="S21" s="113"/>
      <c r="AT21" s="117">
        <v>17</v>
      </c>
      <c r="AU21" s="117">
        <f t="shared" si="5"/>
        <v>0</v>
      </c>
      <c r="AV21" s="117">
        <f t="shared" si="6"/>
        <v>0</v>
      </c>
      <c r="AW21" s="117">
        <f t="shared" si="7"/>
        <v>0</v>
      </c>
      <c r="AX21" s="117">
        <f t="shared" si="8"/>
        <v>0</v>
      </c>
      <c r="AY21" s="117">
        <f t="shared" si="9"/>
        <v>0</v>
      </c>
    </row>
    <row r="22" spans="1:51" x14ac:dyDescent="0.15">
      <c r="A22" s="83"/>
      <c r="D22" s="9"/>
      <c r="H22" s="70"/>
      <c r="S22" s="113"/>
      <c r="AT22" s="117">
        <v>18</v>
      </c>
      <c r="AU22" s="117">
        <f t="shared" si="5"/>
        <v>0</v>
      </c>
      <c r="AV22" s="117">
        <f t="shared" si="6"/>
        <v>0</v>
      </c>
      <c r="AW22" s="117">
        <f t="shared" si="7"/>
        <v>0</v>
      </c>
      <c r="AX22" s="117">
        <f t="shared" si="8"/>
        <v>0</v>
      </c>
      <c r="AY22" s="117">
        <f t="shared" si="9"/>
        <v>0</v>
      </c>
    </row>
    <row r="23" spans="1:51" ht="11.25" customHeight="1" x14ac:dyDescent="0.15">
      <c r="U23" s="83" t="s">
        <v>1</v>
      </c>
      <c r="Y23" s="128" t="s">
        <v>292</v>
      </c>
      <c r="Z23" s="128"/>
      <c r="AA23" s="128"/>
      <c r="AB23" s="128"/>
      <c r="AC23" s="128"/>
      <c r="AD23" s="128" t="s">
        <v>293</v>
      </c>
      <c r="AE23" s="128"/>
      <c r="AF23" s="128"/>
      <c r="AG23" s="128"/>
      <c r="AH23" s="128"/>
      <c r="AM23" s="128" t="s">
        <v>295</v>
      </c>
      <c r="AN23" s="128"/>
      <c r="AO23" s="128"/>
      <c r="AP23" s="128"/>
      <c r="AQ23" s="128"/>
      <c r="AT23" s="117">
        <v>19</v>
      </c>
      <c r="AU23" s="117">
        <f t="shared" si="5"/>
        <v>0</v>
      </c>
      <c r="AV23" s="117">
        <f t="shared" si="6"/>
        <v>0</v>
      </c>
      <c r="AW23" s="117">
        <f t="shared" si="7"/>
        <v>0</v>
      </c>
      <c r="AX23" s="117">
        <f t="shared" si="8"/>
        <v>0</v>
      </c>
      <c r="AY23" s="117">
        <f t="shared" si="9"/>
        <v>0</v>
      </c>
    </row>
    <row r="24" spans="1:51" ht="22.5" x14ac:dyDescent="0.15">
      <c r="U24" s="83" t="s">
        <v>21</v>
      </c>
      <c r="V24" s="83" t="s">
        <v>121</v>
      </c>
      <c r="W24" s="81" t="s">
        <v>122</v>
      </c>
      <c r="X24" s="81" t="s">
        <v>103</v>
      </c>
      <c r="Y24" s="84" t="s">
        <v>8</v>
      </c>
      <c r="Z24" s="84" t="s">
        <v>9</v>
      </c>
      <c r="AA24" s="84" t="s">
        <v>10</v>
      </c>
      <c r="AB24" s="84" t="s">
        <v>11</v>
      </c>
      <c r="AC24" s="84" t="s">
        <v>12</v>
      </c>
      <c r="AD24" s="84" t="s">
        <v>8</v>
      </c>
      <c r="AE24" s="84" t="s">
        <v>9</v>
      </c>
      <c r="AF24" s="84" t="s">
        <v>10</v>
      </c>
      <c r="AG24" s="84" t="s">
        <v>11</v>
      </c>
      <c r="AH24" s="84" t="s">
        <v>12</v>
      </c>
      <c r="AI24" s="84" t="s">
        <v>194</v>
      </c>
      <c r="AJ24" s="101" t="s">
        <v>270</v>
      </c>
      <c r="AK24" s="101" t="s">
        <v>271</v>
      </c>
      <c r="AL24" s="104" t="s">
        <v>294</v>
      </c>
      <c r="AM24" s="104" t="s">
        <v>8</v>
      </c>
      <c r="AN24" s="104" t="s">
        <v>9</v>
      </c>
      <c r="AO24" s="104" t="s">
        <v>10</v>
      </c>
      <c r="AP24" s="104" t="s">
        <v>11</v>
      </c>
      <c r="AQ24" s="104" t="s">
        <v>12</v>
      </c>
      <c r="AT24" s="117">
        <v>20</v>
      </c>
      <c r="AU24" s="117">
        <f t="shared" si="5"/>
        <v>0</v>
      </c>
      <c r="AV24" s="117">
        <f t="shared" si="6"/>
        <v>0</v>
      </c>
      <c r="AW24" s="117">
        <f t="shared" si="7"/>
        <v>0</v>
      </c>
      <c r="AX24" s="117">
        <f t="shared" si="8"/>
        <v>0</v>
      </c>
      <c r="AY24" s="117">
        <f t="shared" si="9"/>
        <v>0</v>
      </c>
    </row>
    <row r="25" spans="1:51" x14ac:dyDescent="0.15">
      <c r="U25" s="83">
        <v>1</v>
      </c>
      <c r="V25" s="60">
        <f>基础信息!D30</f>
        <v>16</v>
      </c>
      <c r="W25" s="61">
        <f>基础信息!E30</f>
        <v>2.0310175363141174</v>
      </c>
      <c r="X25" s="61">
        <f>基础信息!F30</f>
        <v>17.420973982667814</v>
      </c>
      <c r="Y25" s="83">
        <v>0</v>
      </c>
      <c r="Z25" s="83">
        <v>0</v>
      </c>
      <c r="AA25" s="83">
        <v>0</v>
      </c>
      <c r="AB25" s="83">
        <v>0</v>
      </c>
      <c r="AC25" s="83">
        <v>0</v>
      </c>
      <c r="AD25" s="83">
        <f>SUM(Y$25:Y25)</f>
        <v>0</v>
      </c>
      <c r="AE25" s="83">
        <f>SUM(Z$25:Z25)</f>
        <v>0</v>
      </c>
      <c r="AF25" s="83">
        <f>SUM(AA$25:AA25)</f>
        <v>0</v>
      </c>
      <c r="AG25" s="83">
        <f>SUM(AB$25:AB25)</f>
        <v>0</v>
      </c>
      <c r="AH25" s="83">
        <f>SUM(AC$25:AC25)</f>
        <v>0</v>
      </c>
      <c r="AI25" s="83">
        <v>0</v>
      </c>
      <c r="AJ25" s="100">
        <v>0</v>
      </c>
      <c r="AK25" s="100">
        <v>0</v>
      </c>
      <c r="AL25" s="103">
        <f>IFERROR(求节点('六艺&amp;奇遇'!$T$5:$T$113,'六艺&amp;奇遇'!$U$5:$U$113,AK25),0)</f>
        <v>0</v>
      </c>
      <c r="AM25" s="103">
        <f>IFERROR(求节点('六艺&amp;奇遇'!$T$5:$T$113,'六艺&amp;奇遇'!V$5:V$113,$AK25),0)</f>
        <v>0</v>
      </c>
      <c r="AN25" s="103">
        <f>IFERROR(求节点('六艺&amp;奇遇'!$T$5:$T$113,'六艺&amp;奇遇'!W$5:W$113,$AK25),0)</f>
        <v>0</v>
      </c>
      <c r="AO25" s="103">
        <f>IFERROR(求节点('六艺&amp;奇遇'!$T$5:$T$113,'六艺&amp;奇遇'!X$5:X$113,$AK25),0)</f>
        <v>0</v>
      </c>
      <c r="AP25" s="103">
        <f>IFERROR(求节点('六艺&amp;奇遇'!$T$5:$T$113,'六艺&amp;奇遇'!Y$5:Y$113,$AK25),0)</f>
        <v>0</v>
      </c>
      <c r="AQ25" s="103">
        <f>IFERROR(求节点('六艺&amp;奇遇'!$T$5:$T$113,'六艺&amp;奇遇'!Z$5:Z$113,$AK25),0)</f>
        <v>0</v>
      </c>
      <c r="AT25" s="117">
        <v>21</v>
      </c>
      <c r="AU25" s="117">
        <f t="shared" si="5"/>
        <v>0</v>
      </c>
      <c r="AV25" s="117">
        <f t="shared" si="6"/>
        <v>0</v>
      </c>
      <c r="AW25" s="117">
        <f t="shared" si="7"/>
        <v>0</v>
      </c>
      <c r="AX25" s="117">
        <f t="shared" si="8"/>
        <v>0</v>
      </c>
      <c r="AY25" s="117">
        <f t="shared" si="9"/>
        <v>0</v>
      </c>
    </row>
    <row r="26" spans="1:51" ht="13.5" customHeight="1" x14ac:dyDescent="0.15">
      <c r="B26" s="89"/>
      <c r="C26" s="100" t="s">
        <v>185</v>
      </c>
      <c r="D26" s="70" t="s">
        <v>178</v>
      </c>
      <c r="E26" s="70" t="s">
        <v>179</v>
      </c>
      <c r="F26" s="70" t="s">
        <v>180</v>
      </c>
      <c r="G26" s="70" t="s">
        <v>181</v>
      </c>
      <c r="H26" s="70" t="s">
        <v>182</v>
      </c>
      <c r="U26" s="83">
        <v>2</v>
      </c>
      <c r="V26" s="60">
        <f>基础信息!D31</f>
        <v>19.5</v>
      </c>
      <c r="W26" s="61">
        <f>基础信息!E31</f>
        <v>3.8583180257323662</v>
      </c>
      <c r="X26" s="61">
        <f>基础信息!F31</f>
        <v>24.411235857114818</v>
      </c>
      <c r="Y26" s="100">
        <f>($W26-$W25)*N5</f>
        <v>0</v>
      </c>
      <c r="Z26" s="100">
        <f t="shared" ref="Z26:AC26" si="18">($W26-$W25)*O5</f>
        <v>0</v>
      </c>
      <c r="AA26" s="100">
        <f t="shared" si="18"/>
        <v>0</v>
      </c>
      <c r="AB26" s="100">
        <f t="shared" si="18"/>
        <v>0</v>
      </c>
      <c r="AC26" s="100">
        <f t="shared" si="18"/>
        <v>0</v>
      </c>
      <c r="AD26" s="83">
        <f>SUM(Y$25:Y26)</f>
        <v>0</v>
      </c>
      <c r="AE26" s="83">
        <f>SUM(Z$25:Z26)</f>
        <v>0</v>
      </c>
      <c r="AF26" s="83">
        <f>SUM(AA$25:AA26)</f>
        <v>0</v>
      </c>
      <c r="AG26" s="83">
        <f>SUM(AB$25:AB26)</f>
        <v>0</v>
      </c>
      <c r="AH26" s="83">
        <f>SUM(AC$25:AC26)</f>
        <v>0</v>
      </c>
      <c r="AI26" s="100">
        <f>M5*(W26-W25)+AI25</f>
        <v>182.73004894182486</v>
      </c>
      <c r="AJ26" s="100">
        <f>I5*(W26-W25)+AJ25</f>
        <v>0</v>
      </c>
      <c r="AK26" s="100">
        <f>IFERROR(I5*(W26-W25)*SUMPRODUCT(D5:H5,$D$27:$H$27)/SUM(D5:H5)+AK25,0)</f>
        <v>0</v>
      </c>
      <c r="AL26" s="103">
        <f>IFERROR(求节点('六艺&amp;奇遇'!$T$5:$T$113,'六艺&amp;奇遇'!$U$5:$U$113,AK26),0)</f>
        <v>0</v>
      </c>
      <c r="AM26" s="103">
        <f>IFERROR(求节点('六艺&amp;奇遇'!$T$5:$T$113,'六艺&amp;奇遇'!V$5:V$113,$AK26),0)</f>
        <v>0</v>
      </c>
      <c r="AN26" s="103">
        <f>IFERROR(求节点('六艺&amp;奇遇'!$T$5:$T$113,'六艺&amp;奇遇'!W$5:W$113,$AK26),0)</f>
        <v>0</v>
      </c>
      <c r="AO26" s="103">
        <f>IFERROR(求节点('六艺&amp;奇遇'!$T$5:$T$113,'六艺&amp;奇遇'!X$5:X$113,$AK26),0)</f>
        <v>0</v>
      </c>
      <c r="AP26" s="103">
        <f>IFERROR(求节点('六艺&amp;奇遇'!$T$5:$T$113,'六艺&amp;奇遇'!Y$5:Y$113,$AK26),0)</f>
        <v>0</v>
      </c>
      <c r="AQ26" s="103">
        <f>IFERROR(求节点('六艺&amp;奇遇'!$T$5:$T$113,'六艺&amp;奇遇'!Z$5:Z$113,$AK26),0)</f>
        <v>0</v>
      </c>
      <c r="AT26" s="117">
        <v>22</v>
      </c>
      <c r="AU26" s="117">
        <f t="shared" si="5"/>
        <v>0</v>
      </c>
      <c r="AV26" s="117">
        <f t="shared" si="6"/>
        <v>0</v>
      </c>
      <c r="AW26" s="117">
        <f t="shared" si="7"/>
        <v>0</v>
      </c>
      <c r="AX26" s="117">
        <f t="shared" si="8"/>
        <v>0</v>
      </c>
      <c r="AY26" s="117">
        <f t="shared" si="9"/>
        <v>0</v>
      </c>
    </row>
    <row r="27" spans="1:51" ht="13.5" customHeight="1" x14ac:dyDescent="0.15">
      <c r="B27" s="89"/>
      <c r="C27" s="100" t="s">
        <v>188</v>
      </c>
      <c r="D27" s="70">
        <v>0</v>
      </c>
      <c r="E27" s="70">
        <v>3</v>
      </c>
      <c r="F27" s="70">
        <v>3</v>
      </c>
      <c r="G27" s="70">
        <v>4</v>
      </c>
      <c r="H27" s="70">
        <v>5</v>
      </c>
      <c r="U27" s="83">
        <v>3</v>
      </c>
      <c r="V27" s="60">
        <f>基础信息!D32</f>
        <v>23.5</v>
      </c>
      <c r="W27" s="61">
        <f>基础信息!E32</f>
        <v>7.7240111017275384</v>
      </c>
      <c r="X27" s="61">
        <f>基础信息!F32</f>
        <v>33.019343244153319</v>
      </c>
      <c r="Y27" s="100">
        <f t="shared" ref="Y27:Y40" si="19">($W27-$W26)*N6</f>
        <v>0</v>
      </c>
      <c r="Z27" s="100">
        <f t="shared" ref="Z27:Z40" si="20">($W27-$W26)*O6</f>
        <v>0</v>
      </c>
      <c r="AA27" s="100">
        <f t="shared" ref="AA27:AA40" si="21">($W27-$W26)*P6</f>
        <v>0</v>
      </c>
      <c r="AB27" s="100">
        <f t="shared" ref="AB27:AB40" si="22">($W27-$W26)*Q6</f>
        <v>0</v>
      </c>
      <c r="AC27" s="100">
        <f t="shared" ref="AC27:AC40" si="23">($W27-$W26)*R6</f>
        <v>0</v>
      </c>
      <c r="AD27" s="83">
        <f>SUM(Y$25:Y27)</f>
        <v>0</v>
      </c>
      <c r="AE27" s="83">
        <f>SUM(Z$25:Z27)</f>
        <v>0</v>
      </c>
      <c r="AF27" s="83">
        <f>SUM(AA$25:AA27)</f>
        <v>0</v>
      </c>
      <c r="AG27" s="83">
        <f>SUM(AB$25:AB27)</f>
        <v>0</v>
      </c>
      <c r="AH27" s="83">
        <f>SUM(AC$25:AC27)</f>
        <v>0</v>
      </c>
      <c r="AI27" s="100">
        <f t="shared" ref="AI27:AI40" si="24">M6*(W27-W26)+AI26</f>
        <v>607.95628730129374</v>
      </c>
      <c r="AJ27" s="100">
        <f t="shared" ref="AJ27:AJ40" si="25">I6*(W27-W26)+AJ26</f>
        <v>0</v>
      </c>
      <c r="AK27" s="116">
        <f t="shared" ref="AK27:AK40" si="26">IFERROR(I6*(W27-W26)*SUMPRODUCT(D6:H6,$D$27:$H$27)/SUM(D6:H6)+AK26,0)</f>
        <v>0</v>
      </c>
      <c r="AL27" s="103">
        <f>IFERROR(求节点('六艺&amp;奇遇'!$T$5:$T$113,'六艺&amp;奇遇'!$U$5:$U$113,AK27),0)</f>
        <v>0</v>
      </c>
      <c r="AM27" s="103">
        <f>IFERROR(求节点('六艺&amp;奇遇'!$T$5:$T$113,'六艺&amp;奇遇'!V$5:V$113,$AK27),0)</f>
        <v>0</v>
      </c>
      <c r="AN27" s="103">
        <f>IFERROR(求节点('六艺&amp;奇遇'!$T$5:$T$113,'六艺&amp;奇遇'!W$5:W$113,$AK27),0)</f>
        <v>0</v>
      </c>
      <c r="AO27" s="103">
        <f>IFERROR(求节点('六艺&amp;奇遇'!$T$5:$T$113,'六艺&amp;奇遇'!X$5:X$113,$AK27),0)</f>
        <v>0</v>
      </c>
      <c r="AP27" s="103">
        <f>IFERROR(求节点('六艺&amp;奇遇'!$T$5:$T$113,'六艺&amp;奇遇'!Y$5:Y$113,$AK27),0)</f>
        <v>0</v>
      </c>
      <c r="AQ27" s="103">
        <f>IFERROR(求节点('六艺&amp;奇遇'!$T$5:$T$113,'六艺&amp;奇遇'!Z$5:Z$113,$AK27),0)</f>
        <v>0</v>
      </c>
      <c r="AT27" s="117">
        <v>23</v>
      </c>
      <c r="AU27" s="117">
        <f t="shared" si="5"/>
        <v>0</v>
      </c>
      <c r="AV27" s="117">
        <f t="shared" si="6"/>
        <v>0</v>
      </c>
      <c r="AW27" s="117">
        <f t="shared" si="7"/>
        <v>0</v>
      </c>
      <c r="AX27" s="117">
        <f t="shared" si="8"/>
        <v>0</v>
      </c>
      <c r="AY27" s="117">
        <f t="shared" si="9"/>
        <v>0</v>
      </c>
    </row>
    <row r="28" spans="1:51" ht="13.5" customHeight="1" x14ac:dyDescent="0.15">
      <c r="B28" s="89"/>
      <c r="C28" s="112" t="s">
        <v>305</v>
      </c>
      <c r="D28" s="112">
        <v>0</v>
      </c>
      <c r="E28" s="112">
        <v>40</v>
      </c>
      <c r="F28" s="112">
        <v>80</v>
      </c>
      <c r="G28" s="112">
        <v>120</v>
      </c>
      <c r="H28" s="112">
        <v>200</v>
      </c>
      <c r="U28" s="83">
        <v>4</v>
      </c>
      <c r="V28" s="60">
        <f>基础信息!D33</f>
        <v>27.5</v>
      </c>
      <c r="W28" s="61">
        <f>基础信息!E33</f>
        <v>15.096178510388308</v>
      </c>
      <c r="X28" s="61">
        <f>基础信息!F33</f>
        <v>41.92278306907852</v>
      </c>
      <c r="Y28" s="100">
        <f t="shared" si="19"/>
        <v>0</v>
      </c>
      <c r="Z28" s="100">
        <f t="shared" si="20"/>
        <v>0</v>
      </c>
      <c r="AA28" s="100">
        <f t="shared" si="21"/>
        <v>0</v>
      </c>
      <c r="AB28" s="100">
        <f t="shared" si="22"/>
        <v>0</v>
      </c>
      <c r="AC28" s="100">
        <f t="shared" si="23"/>
        <v>0</v>
      </c>
      <c r="AD28" s="83">
        <f>SUM(Y$25:Y28)</f>
        <v>0</v>
      </c>
      <c r="AE28" s="83">
        <f>SUM(Z$25:Z28)</f>
        <v>0</v>
      </c>
      <c r="AF28" s="83">
        <f>SUM(AA$25:AA28)</f>
        <v>0</v>
      </c>
      <c r="AG28" s="83">
        <f>SUM(AB$25:AB28)</f>
        <v>0</v>
      </c>
      <c r="AH28" s="83">
        <f>SUM(AC$25:AC28)</f>
        <v>0</v>
      </c>
      <c r="AI28" s="100">
        <f t="shared" si="24"/>
        <v>1492.6163763405862</v>
      </c>
      <c r="AJ28" s="100">
        <f t="shared" si="25"/>
        <v>0</v>
      </c>
      <c r="AK28" s="116">
        <f t="shared" si="26"/>
        <v>0</v>
      </c>
      <c r="AL28" s="103">
        <f>IFERROR(求节点('六艺&amp;奇遇'!$T$5:$T$113,'六艺&amp;奇遇'!$U$5:$U$113,AK28),0)</f>
        <v>0</v>
      </c>
      <c r="AM28" s="103">
        <f>IFERROR(求节点('六艺&amp;奇遇'!$T$5:$T$113,'六艺&amp;奇遇'!V$5:V$113,$AK28),0)</f>
        <v>0</v>
      </c>
      <c r="AN28" s="103">
        <f>IFERROR(求节点('六艺&amp;奇遇'!$T$5:$T$113,'六艺&amp;奇遇'!W$5:W$113,$AK28),0)</f>
        <v>0</v>
      </c>
      <c r="AO28" s="103">
        <f>IFERROR(求节点('六艺&amp;奇遇'!$T$5:$T$113,'六艺&amp;奇遇'!X$5:X$113,$AK28),0)</f>
        <v>0</v>
      </c>
      <c r="AP28" s="103">
        <f>IFERROR(求节点('六艺&amp;奇遇'!$T$5:$T$113,'六艺&amp;奇遇'!Y$5:Y$113,$AK28),0)</f>
        <v>0</v>
      </c>
      <c r="AQ28" s="103">
        <f>IFERROR(求节点('六艺&amp;奇遇'!$T$5:$T$113,'六艺&amp;奇遇'!Z$5:Z$113,$AK28),0)</f>
        <v>0</v>
      </c>
      <c r="AT28" s="117">
        <v>24</v>
      </c>
      <c r="AU28" s="117">
        <f t="shared" si="5"/>
        <v>0</v>
      </c>
      <c r="AV28" s="117">
        <f t="shared" si="6"/>
        <v>0</v>
      </c>
      <c r="AW28" s="117">
        <f t="shared" si="7"/>
        <v>0</v>
      </c>
      <c r="AX28" s="117">
        <f t="shared" si="8"/>
        <v>0</v>
      </c>
      <c r="AY28" s="117">
        <f t="shared" si="9"/>
        <v>0</v>
      </c>
    </row>
    <row r="29" spans="1:51" ht="11.25" customHeight="1" x14ac:dyDescent="0.15">
      <c r="B29" s="88"/>
      <c r="C29" s="100" t="s">
        <v>189</v>
      </c>
      <c r="D29" s="70">
        <v>0</v>
      </c>
      <c r="E29" s="70">
        <v>10</v>
      </c>
      <c r="F29" s="70">
        <v>25</v>
      </c>
      <c r="G29" s="70">
        <v>50</v>
      </c>
      <c r="H29" s="70">
        <v>80</v>
      </c>
      <c r="U29" s="83">
        <v>5</v>
      </c>
      <c r="V29" s="60">
        <f>基础信息!D34</f>
        <v>31.5</v>
      </c>
      <c r="W29" s="61">
        <f>基础信息!E34</f>
        <v>29.031391010864539</v>
      </c>
      <c r="X29" s="61">
        <f>基础信息!F34</f>
        <v>51.047922371312225</v>
      </c>
      <c r="Y29" s="100">
        <f t="shared" si="19"/>
        <v>11.148170000380986</v>
      </c>
      <c r="Z29" s="100">
        <f t="shared" si="20"/>
        <v>2.7870425000952466</v>
      </c>
      <c r="AA29" s="100">
        <f t="shared" si="21"/>
        <v>0</v>
      </c>
      <c r="AB29" s="100">
        <f t="shared" si="22"/>
        <v>0</v>
      </c>
      <c r="AC29" s="100">
        <f t="shared" si="23"/>
        <v>0</v>
      </c>
      <c r="AD29" s="83">
        <f>SUM(Y$25:Y29)</f>
        <v>11.148170000380986</v>
      </c>
      <c r="AE29" s="83">
        <f>SUM(Z$25:Z29)</f>
        <v>2.7870425000952466</v>
      </c>
      <c r="AF29" s="83">
        <f>SUM(AA$25:AA29)</f>
        <v>0</v>
      </c>
      <c r="AG29" s="83">
        <f>SUM(AB$25:AB29)</f>
        <v>0</v>
      </c>
      <c r="AH29" s="83">
        <f>SUM(AC$25:AC29)</f>
        <v>0</v>
      </c>
      <c r="AI29" s="100">
        <f t="shared" si="24"/>
        <v>3791.9264389191644</v>
      </c>
      <c r="AJ29" s="100">
        <f t="shared" si="25"/>
        <v>69.676062502381157</v>
      </c>
      <c r="AK29" s="116">
        <f t="shared" si="26"/>
        <v>104.51409375357174</v>
      </c>
      <c r="AL29" s="103">
        <f>IFERROR(求节点('六艺&amp;奇遇'!$T$5:$T$113,'六艺&amp;奇遇'!$U$5:$U$113,AK29),0)</f>
        <v>827.08456252143048</v>
      </c>
      <c r="AM29" s="103">
        <f>IFERROR(求节点('六艺&amp;奇遇'!$T$5:$T$113,'六艺&amp;奇遇'!V$5:V$113,$AK29),0)</f>
        <v>0</v>
      </c>
      <c r="AN29" s="103">
        <f>IFERROR(求节点('六艺&amp;奇遇'!$T$5:$T$113,'六艺&amp;奇遇'!W$5:W$113,$AK29),0)</f>
        <v>0</v>
      </c>
      <c r="AO29" s="103">
        <f>IFERROR(求节点('六艺&amp;奇遇'!$T$5:$T$113,'六艺&amp;奇遇'!X$5:X$113,$AK29),0)</f>
        <v>0</v>
      </c>
      <c r="AP29" s="103">
        <f>IFERROR(求节点('六艺&amp;奇遇'!$T$5:$T$113,'六艺&amp;奇遇'!Y$5:Y$113,$AK29),0)</f>
        <v>0</v>
      </c>
      <c r="AQ29" s="103">
        <f>IFERROR(求节点('六艺&amp;奇遇'!$T$5:$T$113,'六艺&amp;奇遇'!Z$5:Z$113,$AK29),0)</f>
        <v>0</v>
      </c>
      <c r="AT29" s="117">
        <v>25</v>
      </c>
      <c r="AU29" s="117">
        <f t="shared" si="5"/>
        <v>0</v>
      </c>
      <c r="AV29" s="117">
        <f t="shared" si="6"/>
        <v>0</v>
      </c>
      <c r="AW29" s="117">
        <f t="shared" si="7"/>
        <v>0</v>
      </c>
      <c r="AX29" s="117">
        <f t="shared" si="8"/>
        <v>0</v>
      </c>
      <c r="AY29" s="117">
        <f t="shared" si="9"/>
        <v>0</v>
      </c>
    </row>
    <row r="30" spans="1:51" ht="11.25" customHeight="1" x14ac:dyDescent="0.15">
      <c r="B30" s="88"/>
      <c r="C30" s="112" t="s">
        <v>304</v>
      </c>
      <c r="D30" s="70">
        <v>1</v>
      </c>
      <c r="E30" s="70">
        <v>1</v>
      </c>
      <c r="F30" s="70">
        <v>2</v>
      </c>
      <c r="G30" s="70">
        <v>4</v>
      </c>
      <c r="H30" s="9">
        <v>6</v>
      </c>
      <c r="U30" s="83">
        <v>6</v>
      </c>
      <c r="V30" s="60">
        <f>基础信息!D35</f>
        <v>35.5</v>
      </c>
      <c r="W30" s="61">
        <f>基础信息!E35</f>
        <v>54.898744666803331</v>
      </c>
      <c r="X30" s="61">
        <f>基础信息!F35</f>
        <v>60.077170204921828</v>
      </c>
      <c r="Y30" s="100">
        <f t="shared" si="19"/>
        <v>17.589800486038381</v>
      </c>
      <c r="Z30" s="100">
        <f t="shared" si="20"/>
        <v>6.7255119505440861</v>
      </c>
      <c r="AA30" s="100">
        <f t="shared" si="21"/>
        <v>1.5520412193563276</v>
      </c>
      <c r="AB30" s="100">
        <f t="shared" si="22"/>
        <v>0</v>
      </c>
      <c r="AC30" s="100">
        <f t="shared" si="23"/>
        <v>0</v>
      </c>
      <c r="AD30" s="83">
        <f>SUM(Y$25:Y30)</f>
        <v>28.737970486419368</v>
      </c>
      <c r="AE30" s="83">
        <f>SUM(Z$25:Z30)</f>
        <v>9.5125544506393318</v>
      </c>
      <c r="AF30" s="83">
        <f>SUM(AA$25:AA30)</f>
        <v>1.5520412193563276</v>
      </c>
      <c r="AG30" s="83">
        <f>SUM(AB$25:AB30)</f>
        <v>0</v>
      </c>
      <c r="AH30" s="83">
        <f>SUM(AC$25:AC30)</f>
        <v>0</v>
      </c>
      <c r="AI30" s="100">
        <f t="shared" si="24"/>
        <v>9120.6012920425565</v>
      </c>
      <c r="AJ30" s="100">
        <f t="shared" si="25"/>
        <v>199.01283078207513</v>
      </c>
      <c r="AK30" s="116">
        <f t="shared" si="26"/>
        <v>376.12130714092905</v>
      </c>
      <c r="AL30" s="103">
        <f>IFERROR(求节点('六艺&amp;奇遇'!$T$5:$T$113,'六艺&amp;奇遇'!$U$5:$U$113,AK30),0)</f>
        <v>2704.4852285637162</v>
      </c>
      <c r="AM30" s="103">
        <f>IFERROR(求节点('六艺&amp;奇遇'!$T$5:$T$113,'六艺&amp;奇遇'!V$5:V$113,$AK30),0)</f>
        <v>0</v>
      </c>
      <c r="AN30" s="103">
        <f>IFERROR(求节点('六艺&amp;奇遇'!$T$5:$T$113,'六艺&amp;奇遇'!W$5:W$113,$AK30),0)</f>
        <v>0</v>
      </c>
      <c r="AO30" s="103">
        <f>IFERROR(求节点('六艺&amp;奇遇'!$T$5:$T$113,'六艺&amp;奇遇'!X$5:X$113,$AK30),0)</f>
        <v>0</v>
      </c>
      <c r="AP30" s="103">
        <f>IFERROR(求节点('六艺&amp;奇遇'!$T$5:$T$113,'六艺&amp;奇遇'!Y$5:Y$113,$AK30),0)</f>
        <v>0</v>
      </c>
      <c r="AQ30" s="103">
        <f>IFERROR(求节点('六艺&amp;奇遇'!$T$5:$T$113,'六艺&amp;奇遇'!Z$5:Z$113,$AK30),0)</f>
        <v>0</v>
      </c>
      <c r="AT30" s="117">
        <v>26</v>
      </c>
      <c r="AU30" s="117">
        <f t="shared" si="5"/>
        <v>0</v>
      </c>
      <c r="AV30" s="117">
        <f t="shared" si="6"/>
        <v>0</v>
      </c>
      <c r="AW30" s="117">
        <f t="shared" si="7"/>
        <v>0</v>
      </c>
      <c r="AX30" s="117">
        <f t="shared" si="8"/>
        <v>0</v>
      </c>
      <c r="AY30" s="117">
        <f t="shared" si="9"/>
        <v>0</v>
      </c>
    </row>
    <row r="31" spans="1:51" x14ac:dyDescent="0.15">
      <c r="A31" s="116"/>
      <c r="B31" s="88"/>
      <c r="C31" s="116"/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83">
        <v>7</v>
      </c>
      <c r="V31" s="60">
        <f>基础信息!D36</f>
        <v>39.5</v>
      </c>
      <c r="W31" s="61">
        <f>基础信息!E36</f>
        <v>99.697076394392013</v>
      </c>
      <c r="X31" s="61">
        <f>基础信息!F36</f>
        <v>68.578677703814634</v>
      </c>
      <c r="Y31" s="100">
        <f t="shared" si="19"/>
        <v>22.399165863794341</v>
      </c>
      <c r="Z31" s="100">
        <f t="shared" si="20"/>
        <v>16.799374397845757</v>
      </c>
      <c r="AA31" s="100">
        <f t="shared" si="21"/>
        <v>5.3757998073106412</v>
      </c>
      <c r="AB31" s="100">
        <f t="shared" si="22"/>
        <v>0.22399165863794346</v>
      </c>
      <c r="AC31" s="100">
        <f t="shared" si="23"/>
        <v>0</v>
      </c>
      <c r="AD31" s="83">
        <f>SUM(Y$25:Y31)</f>
        <v>51.137136350213709</v>
      </c>
      <c r="AE31" s="83">
        <f>SUM(Z$25:Z31)</f>
        <v>26.311928848485088</v>
      </c>
      <c r="AF31" s="83">
        <f>SUM(AA$25:AA31)</f>
        <v>6.927841026666969</v>
      </c>
      <c r="AG31" s="83">
        <f>SUM(AB$25:AB31)</f>
        <v>0.22399165863794346</v>
      </c>
      <c r="AH31" s="83">
        <f>SUM(AC$25:AC31)</f>
        <v>0</v>
      </c>
      <c r="AI31" s="100">
        <f t="shared" si="24"/>
        <v>20868.96378760269</v>
      </c>
      <c r="AJ31" s="100">
        <f t="shared" si="25"/>
        <v>423.00448942001856</v>
      </c>
      <c r="AK31" s="116">
        <f t="shared" si="26"/>
        <v>1059.2958659866565</v>
      </c>
      <c r="AL31" s="103">
        <f>IFERROR(求节点('六艺&amp;奇遇'!$T$5:$T$113,'六艺&amp;奇遇'!$U$5:$U$113,AK31),0)</f>
        <v>4118.5917319733126</v>
      </c>
      <c r="AM31" s="103">
        <f>IFERROR(求节点('六艺&amp;奇遇'!$T$5:$T$113,'六艺&amp;奇遇'!V$5:V$113,$AK31),0)</f>
        <v>0</v>
      </c>
      <c r="AN31" s="103">
        <f>IFERROR(求节点('六艺&amp;奇遇'!$T$5:$T$113,'六艺&amp;奇遇'!W$5:W$113,$AK31),0)</f>
        <v>0</v>
      </c>
      <c r="AO31" s="103">
        <f>IFERROR(求节点('六艺&amp;奇遇'!$T$5:$T$113,'六艺&amp;奇遇'!X$5:X$113,$AK31),0)</f>
        <v>0</v>
      </c>
      <c r="AP31" s="103">
        <f>IFERROR(求节点('六艺&amp;奇遇'!$T$5:$T$113,'六艺&amp;奇遇'!Y$5:Y$113,$AK31),0)</f>
        <v>0</v>
      </c>
      <c r="AQ31" s="103">
        <f>IFERROR(求节点('六艺&amp;奇遇'!$T$5:$T$113,'六艺&amp;奇遇'!Z$5:Z$113,$AK31),0)</f>
        <v>0</v>
      </c>
      <c r="AT31" s="117">
        <v>27</v>
      </c>
      <c r="AU31" s="117">
        <f t="shared" si="5"/>
        <v>0</v>
      </c>
      <c r="AV31" s="117">
        <f t="shared" si="6"/>
        <v>0</v>
      </c>
      <c r="AW31" s="117">
        <f t="shared" si="7"/>
        <v>0</v>
      </c>
      <c r="AX31" s="117">
        <f t="shared" si="8"/>
        <v>0</v>
      </c>
      <c r="AY31" s="117">
        <f t="shared" si="9"/>
        <v>0</v>
      </c>
    </row>
    <row r="32" spans="1:51" x14ac:dyDescent="0.15">
      <c r="A32" s="116"/>
      <c r="B32" s="88"/>
      <c r="C32" s="116"/>
      <c r="D32" s="128" t="s">
        <v>186</v>
      </c>
      <c r="E32" s="128"/>
      <c r="F32" s="128"/>
      <c r="G32" s="128"/>
      <c r="H32" s="128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83">
        <v>8</v>
      </c>
      <c r="V32" s="60">
        <f>基础信息!D37</f>
        <v>43.5</v>
      </c>
      <c r="W32" s="61">
        <f>基础信息!E37</f>
        <v>180.54643493461919</v>
      </c>
      <c r="X32" s="61">
        <f>基础信息!F37</f>
        <v>77.110082613456697</v>
      </c>
      <c r="Y32" s="100">
        <f t="shared" si="19"/>
        <v>36.382211343102227</v>
      </c>
      <c r="Z32" s="100">
        <f t="shared" si="20"/>
        <v>30.318509452585189</v>
      </c>
      <c r="AA32" s="100">
        <f t="shared" si="21"/>
        <v>13.340144159137486</v>
      </c>
      <c r="AB32" s="100">
        <f t="shared" si="22"/>
        <v>0.8084935854022719</v>
      </c>
      <c r="AC32" s="100">
        <f t="shared" si="23"/>
        <v>0</v>
      </c>
      <c r="AD32" s="83">
        <f>SUM(Y$25:Y32)</f>
        <v>87.519347693315936</v>
      </c>
      <c r="AE32" s="83">
        <f>SUM(Z$25:Z32)</f>
        <v>56.630438301070278</v>
      </c>
      <c r="AF32" s="83">
        <f>SUM(AA$25:AA32)</f>
        <v>20.267985185804456</v>
      </c>
      <c r="AG32" s="83">
        <f>SUM(AB$25:AB32)</f>
        <v>1.0324852440402155</v>
      </c>
      <c r="AH32" s="83">
        <f>SUM(AC$25:AC32)</f>
        <v>0</v>
      </c>
      <c r="AI32" s="100">
        <f t="shared" si="24"/>
        <v>44578.038179524308</v>
      </c>
      <c r="AJ32" s="100">
        <f t="shared" si="25"/>
        <v>827.25128212115442</v>
      </c>
      <c r="AK32" s="116">
        <f t="shared" si="26"/>
        <v>2312.4609233601777</v>
      </c>
      <c r="AL32" s="103">
        <f>IFERROR(求节点('六艺&amp;奇遇'!$T$5:$T$113,'六艺&amp;奇遇'!$U$5:$U$113,AK32),0)</f>
        <v>5312.4609233601777</v>
      </c>
      <c r="AM32" s="103">
        <f>IFERROR(求节点('六艺&amp;奇遇'!$T$5:$T$113,'六艺&amp;奇遇'!V$5:V$113,$AK32),0)</f>
        <v>0</v>
      </c>
      <c r="AN32" s="103">
        <f>IFERROR(求节点('六艺&amp;奇遇'!$T$5:$T$113,'六艺&amp;奇遇'!W$5:W$113,$AK32),0)</f>
        <v>0</v>
      </c>
      <c r="AO32" s="103">
        <f>IFERROR(求节点('六艺&amp;奇遇'!$T$5:$T$113,'六艺&amp;奇遇'!X$5:X$113,$AK32),0)</f>
        <v>0</v>
      </c>
      <c r="AP32" s="103">
        <f>IFERROR(求节点('六艺&amp;奇遇'!$T$5:$T$113,'六艺&amp;奇遇'!Y$5:Y$113,$AK32),0)</f>
        <v>0</v>
      </c>
      <c r="AQ32" s="103">
        <f>IFERROR(求节点('六艺&amp;奇遇'!$T$5:$T$113,'六艺&amp;奇遇'!Z$5:Z$113,$AK32),0)</f>
        <v>0</v>
      </c>
      <c r="AT32" s="117">
        <v>28</v>
      </c>
      <c r="AU32" s="117">
        <f t="shared" si="5"/>
        <v>0</v>
      </c>
      <c r="AV32" s="117">
        <f t="shared" si="6"/>
        <v>0</v>
      </c>
      <c r="AW32" s="117">
        <f t="shared" si="7"/>
        <v>0</v>
      </c>
      <c r="AX32" s="117">
        <f t="shared" si="8"/>
        <v>0</v>
      </c>
      <c r="AY32" s="117">
        <f t="shared" si="9"/>
        <v>0</v>
      </c>
    </row>
    <row r="33" spans="2:51" ht="11.25" customHeight="1" x14ac:dyDescent="0.15">
      <c r="B33" s="88"/>
      <c r="C33" s="101" t="s">
        <v>272</v>
      </c>
      <c r="D33" s="116" t="s">
        <v>8</v>
      </c>
      <c r="E33" s="116" t="s">
        <v>9</v>
      </c>
      <c r="F33" s="116" t="s">
        <v>10</v>
      </c>
      <c r="G33" s="116" t="s">
        <v>11</v>
      </c>
      <c r="H33" s="116" t="s">
        <v>12</v>
      </c>
      <c r="U33" s="83">
        <v>9</v>
      </c>
      <c r="V33" s="60">
        <f>基础信息!D38</f>
        <v>47.5</v>
      </c>
      <c r="W33" s="61">
        <f>基础信息!E38</f>
        <v>326.26831861477285</v>
      </c>
      <c r="X33" s="61">
        <f>基础信息!F38</f>
        <v>85.652928267499789</v>
      </c>
      <c r="Y33" s="100">
        <f t="shared" si="19"/>
        <v>58.288753472061472</v>
      </c>
      <c r="Z33" s="100">
        <f t="shared" si="20"/>
        <v>54.645706380057625</v>
      </c>
      <c r="AA33" s="100">
        <f t="shared" si="21"/>
        <v>30.601595572832274</v>
      </c>
      <c r="AB33" s="100">
        <f t="shared" si="22"/>
        <v>2.1858282552023049</v>
      </c>
      <c r="AC33" s="100">
        <f t="shared" si="23"/>
        <v>0</v>
      </c>
      <c r="AD33" s="83">
        <f>SUM(Y$25:Y33)</f>
        <v>145.80810116537742</v>
      </c>
      <c r="AE33" s="83">
        <f>SUM(Z$25:Z33)</f>
        <v>111.2761446811279</v>
      </c>
      <c r="AF33" s="83">
        <f>SUM(AA$25:AA33)</f>
        <v>50.869580758636729</v>
      </c>
      <c r="AG33" s="83">
        <f>SUM(AB$25:AB33)</f>
        <v>3.2183134992425204</v>
      </c>
      <c r="AH33" s="83">
        <f>SUM(AC$25:AC33)</f>
        <v>0</v>
      </c>
      <c r="AI33" s="100">
        <f t="shared" si="24"/>
        <v>93285.577799615668</v>
      </c>
      <c r="AJ33" s="100">
        <f t="shared" si="25"/>
        <v>1555.8607005219228</v>
      </c>
      <c r="AK33" s="116">
        <f t="shared" si="26"/>
        <v>4607.5805913225977</v>
      </c>
      <c r="AL33" s="103">
        <f>IFERROR(求节点('六艺&amp;奇遇'!$T$5:$T$113,'六艺&amp;奇遇'!$U$5:$U$113,AK33),0)</f>
        <v>6964.5483547935582</v>
      </c>
      <c r="AM33" s="103">
        <f>IFERROR(求节点('六艺&amp;奇遇'!$T$5:$T$113,'六艺&amp;奇遇'!V$5:V$113,$AK33),0)</f>
        <v>0</v>
      </c>
      <c r="AN33" s="103">
        <f>IFERROR(求节点('六艺&amp;奇遇'!$T$5:$T$113,'六艺&amp;奇遇'!W$5:W$113,$AK33),0)</f>
        <v>0</v>
      </c>
      <c r="AO33" s="103">
        <f>IFERROR(求节点('六艺&amp;奇遇'!$T$5:$T$113,'六艺&amp;奇遇'!X$5:X$113,$AK33),0)</f>
        <v>0</v>
      </c>
      <c r="AP33" s="103">
        <f>IFERROR(求节点('六艺&amp;奇遇'!$T$5:$T$113,'六艺&amp;奇遇'!Y$5:Y$113,$AK33),0)</f>
        <v>0</v>
      </c>
      <c r="AQ33" s="103">
        <f>IFERROR(求节点('六艺&amp;奇遇'!$T$5:$T$113,'六艺&amp;奇遇'!Z$5:Z$113,$AK33),0)</f>
        <v>0</v>
      </c>
      <c r="AT33" s="117">
        <v>29</v>
      </c>
      <c r="AU33" s="117">
        <f t="shared" si="5"/>
        <v>0</v>
      </c>
      <c r="AV33" s="117">
        <f t="shared" si="6"/>
        <v>0</v>
      </c>
      <c r="AW33" s="117">
        <f t="shared" si="7"/>
        <v>0</v>
      </c>
      <c r="AX33" s="117">
        <f t="shared" si="8"/>
        <v>0</v>
      </c>
      <c r="AY33" s="117">
        <f t="shared" si="9"/>
        <v>0</v>
      </c>
    </row>
    <row r="34" spans="2:51" x14ac:dyDescent="0.15">
      <c r="B34" s="88"/>
      <c r="C34" s="100" t="s">
        <v>178</v>
      </c>
      <c r="D34" s="70">
        <v>100</v>
      </c>
      <c r="E34" s="70">
        <v>60</v>
      </c>
      <c r="F34" s="70">
        <v>40</v>
      </c>
      <c r="H34" s="70"/>
      <c r="U34" s="83">
        <v>10</v>
      </c>
      <c r="V34" s="60">
        <f>基础信息!D39</f>
        <v>52</v>
      </c>
      <c r="W34" s="61">
        <f>基础信息!E39</f>
        <v>631.88241509551563</v>
      </c>
      <c r="X34" s="61">
        <f>基础信息!F39</f>
        <v>95.320056465518832</v>
      </c>
      <c r="Y34" s="100">
        <f t="shared" si="19"/>
        <v>106.96493376825998</v>
      </c>
      <c r="Z34" s="100">
        <f t="shared" si="20"/>
        <v>114.60528618027854</v>
      </c>
      <c r="AA34" s="100">
        <f t="shared" si="21"/>
        <v>77.931594602589414</v>
      </c>
      <c r="AB34" s="100">
        <f t="shared" si="22"/>
        <v>6.1122819296148565</v>
      </c>
      <c r="AC34" s="100">
        <f t="shared" si="23"/>
        <v>0</v>
      </c>
      <c r="AD34" s="83">
        <f>SUM(Y$25:Y34)</f>
        <v>252.7730349336374</v>
      </c>
      <c r="AE34" s="83">
        <f>SUM(Z$25:Z34)</f>
        <v>225.88143086140644</v>
      </c>
      <c r="AF34" s="83">
        <f>SUM(AA$25:AA34)</f>
        <v>128.80117536122614</v>
      </c>
      <c r="AG34" s="83">
        <f>SUM(AB$25:AB34)</f>
        <v>9.3305954288573769</v>
      </c>
      <c r="AH34" s="83">
        <f>SUM(AC$25:AC34)</f>
        <v>0</v>
      </c>
      <c r="AI34" s="100">
        <f t="shared" si="24"/>
        <v>207967.26750401439</v>
      </c>
      <c r="AJ34" s="100">
        <f t="shared" si="25"/>
        <v>3083.9311829256367</v>
      </c>
      <c r="AK34" s="116">
        <f t="shared" si="26"/>
        <v>9497.4061350144821</v>
      </c>
      <c r="AL34" s="103">
        <f>IFERROR(求节点('六艺&amp;奇遇'!$T$5:$T$113,'六艺&amp;奇遇'!$U$5:$U$113,AK34),0)</f>
        <v>8849.2218405043441</v>
      </c>
      <c r="AM34" s="103">
        <f>IFERROR(求节点('六艺&amp;奇遇'!$T$5:$T$113,'六艺&amp;奇遇'!V$5:V$113,$AK34),0)</f>
        <v>0</v>
      </c>
      <c r="AN34" s="103">
        <f>IFERROR(求节点('六艺&amp;奇遇'!$T$5:$T$113,'六艺&amp;奇遇'!W$5:W$113,$AK34),0)</f>
        <v>0</v>
      </c>
      <c r="AO34" s="103">
        <f>IFERROR(求节点('六艺&amp;奇遇'!$T$5:$T$113,'六艺&amp;奇遇'!X$5:X$113,$AK34),0)</f>
        <v>0</v>
      </c>
      <c r="AP34" s="103">
        <f>IFERROR(求节点('六艺&amp;奇遇'!$T$5:$T$113,'六艺&amp;奇遇'!Y$5:Y$113,$AK34),0)</f>
        <v>0</v>
      </c>
      <c r="AQ34" s="103">
        <f>IFERROR(求节点('六艺&amp;奇遇'!$T$5:$T$113,'六艺&amp;奇遇'!Z$5:Z$113,$AK34),0)</f>
        <v>0</v>
      </c>
      <c r="AT34" s="117">
        <v>30</v>
      </c>
      <c r="AU34" s="117">
        <f t="shared" si="5"/>
        <v>0</v>
      </c>
      <c r="AV34" s="117">
        <f t="shared" si="6"/>
        <v>0</v>
      </c>
      <c r="AW34" s="117">
        <f t="shared" si="7"/>
        <v>0</v>
      </c>
      <c r="AX34" s="117">
        <f t="shared" si="8"/>
        <v>0</v>
      </c>
      <c r="AY34" s="117">
        <f t="shared" si="9"/>
        <v>0</v>
      </c>
    </row>
    <row r="35" spans="2:51" x14ac:dyDescent="0.15">
      <c r="B35" s="88"/>
      <c r="C35" s="100" t="s">
        <v>179</v>
      </c>
      <c r="E35" s="70">
        <v>40</v>
      </c>
      <c r="F35" s="70">
        <v>30</v>
      </c>
      <c r="G35" s="70">
        <v>60</v>
      </c>
      <c r="H35" s="70"/>
      <c r="U35" s="83">
        <v>11</v>
      </c>
      <c r="V35" s="60">
        <f>基础信息!D40</f>
        <v>57</v>
      </c>
      <c r="W35" s="61">
        <f>基础信息!E40</f>
        <v>1318.2598742162893</v>
      </c>
      <c r="X35" s="61">
        <f>基础信息!F40</f>
        <v>105.93060744042049</v>
      </c>
      <c r="Y35" s="100">
        <f t="shared" si="19"/>
        <v>203.16772789974902</v>
      </c>
      <c r="Z35" s="100">
        <f t="shared" si="20"/>
        <v>255.33241479292786</v>
      </c>
      <c r="AA35" s="100">
        <f t="shared" si="21"/>
        <v>208.59010982680314</v>
      </c>
      <c r="AB35" s="100">
        <f t="shared" si="22"/>
        <v>19.218568855381662</v>
      </c>
      <c r="AC35" s="100">
        <f t="shared" si="23"/>
        <v>6.8637745912077372E-2</v>
      </c>
      <c r="AD35" s="83">
        <f>SUM(Y$25:Y35)</f>
        <v>455.94076283338643</v>
      </c>
      <c r="AE35" s="83">
        <f>SUM(Z$25:Z35)</f>
        <v>481.21384565433431</v>
      </c>
      <c r="AF35" s="83">
        <f>SUM(AA$25:AA35)</f>
        <v>337.39128518802931</v>
      </c>
      <c r="AG35" s="83">
        <f>SUM(AB$25:AB35)</f>
        <v>28.549164284239041</v>
      </c>
      <c r="AH35" s="83">
        <f>SUM(AC$25:AC35)</f>
        <v>6.8637745912077372E-2</v>
      </c>
      <c r="AI35" s="100">
        <f t="shared" si="24"/>
        <v>496726.26455612388</v>
      </c>
      <c r="AJ35" s="100">
        <f t="shared" si="25"/>
        <v>6515.8184785295052</v>
      </c>
      <c r="AK35" s="116">
        <f t="shared" si="26"/>
        <v>20719.677591639134</v>
      </c>
      <c r="AL35" s="103">
        <f>IFERROR(求节点('六艺&amp;奇遇'!$T$5:$T$113,'六艺&amp;奇遇'!$U$5:$U$113,AK35),0)</f>
        <v>12215.90327749174</v>
      </c>
      <c r="AM35" s="103">
        <f>IFERROR(求节点('六艺&amp;奇遇'!$T$5:$T$113,'六艺&amp;奇遇'!V$5:V$113,$AK35),0)</f>
        <v>0</v>
      </c>
      <c r="AN35" s="103">
        <f>IFERROR(求节点('六艺&amp;奇遇'!$T$5:$T$113,'六艺&amp;奇遇'!W$5:W$113,$AK35),0)</f>
        <v>0</v>
      </c>
      <c r="AO35" s="103">
        <f>IFERROR(求节点('六艺&amp;奇遇'!$T$5:$T$113,'六艺&amp;奇遇'!X$5:X$113,$AK35),0)</f>
        <v>0</v>
      </c>
      <c r="AP35" s="103">
        <f>IFERROR(求节点('六艺&amp;奇遇'!$T$5:$T$113,'六艺&amp;奇遇'!Y$5:Y$113,$AK35),0)</f>
        <v>0</v>
      </c>
      <c r="AQ35" s="103">
        <f>IFERROR(求节点('六艺&amp;奇遇'!$T$5:$T$113,'六艺&amp;奇遇'!Z$5:Z$113,$AK35),0)</f>
        <v>0</v>
      </c>
      <c r="AT35" s="117">
        <v>31</v>
      </c>
      <c r="AU35" s="117">
        <f t="shared" si="5"/>
        <v>0</v>
      </c>
      <c r="AV35" s="117">
        <f t="shared" si="6"/>
        <v>0</v>
      </c>
      <c r="AW35" s="117">
        <f t="shared" si="7"/>
        <v>0</v>
      </c>
      <c r="AX35" s="117">
        <f t="shared" si="8"/>
        <v>0</v>
      </c>
      <c r="AY35" s="117">
        <f t="shared" si="9"/>
        <v>0</v>
      </c>
    </row>
    <row r="36" spans="2:51" x14ac:dyDescent="0.15">
      <c r="C36" s="100" t="s">
        <v>180</v>
      </c>
      <c r="F36" s="70">
        <v>30</v>
      </c>
      <c r="G36" s="70">
        <v>30</v>
      </c>
      <c r="H36" s="70">
        <v>69</v>
      </c>
      <c r="U36" s="83">
        <v>12</v>
      </c>
      <c r="V36" s="60">
        <f>基础信息!D41</f>
        <v>62</v>
      </c>
      <c r="W36" s="61">
        <f>基础信息!E41</f>
        <v>2745.081836483092</v>
      </c>
      <c r="X36" s="61">
        <f>基础信息!F41</f>
        <v>116.57008716694446</v>
      </c>
      <c r="Y36" s="100">
        <f t="shared" si="19"/>
        <v>388.09557373657037</v>
      </c>
      <c r="Z36" s="100">
        <f t="shared" si="20"/>
        <v>547.8996335104523</v>
      </c>
      <c r="AA36" s="100">
        <f t="shared" si="21"/>
        <v>439.17579998572199</v>
      </c>
      <c r="AB36" s="100">
        <f t="shared" si="22"/>
        <v>51.365590641604904</v>
      </c>
      <c r="AC36" s="100">
        <f t="shared" si="23"/>
        <v>0.28536439245336054</v>
      </c>
      <c r="AD36" s="83">
        <f>SUM(Y$25:Y36)</f>
        <v>844.0363365699568</v>
      </c>
      <c r="AE36" s="83">
        <f>SUM(Z$25:Z36)</f>
        <v>1029.1134791647867</v>
      </c>
      <c r="AF36" s="83">
        <f>SUM(AA$25:AA36)</f>
        <v>776.56708517375137</v>
      </c>
      <c r="AG36" s="83">
        <f>SUM(AB$25:AB36)</f>
        <v>79.914754925843937</v>
      </c>
      <c r="AH36" s="83">
        <f>SUM(AC$25:AC36)</f>
        <v>0.35400213836543792</v>
      </c>
      <c r="AI36" s="100">
        <f t="shared" si="24"/>
        <v>1143647.3422478922</v>
      </c>
      <c r="AJ36" s="100">
        <f t="shared" si="25"/>
        <v>13649.928289863519</v>
      </c>
      <c r="AK36" s="116">
        <f t="shared" si="26"/>
        <v>44547.604361494741</v>
      </c>
      <c r="AL36" s="103">
        <f>IFERROR(求节点('六艺&amp;奇遇'!$T$5:$T$113,'六艺&amp;奇遇'!$U$5:$U$113,AK36),0)</f>
        <v>20219.041744597896</v>
      </c>
      <c r="AM36" s="103">
        <f>IFERROR(求节点('六艺&amp;奇遇'!$T$5:$T$113,'六艺&amp;奇遇'!V$5:V$113,$AK36),0)</f>
        <v>0</v>
      </c>
      <c r="AN36" s="103">
        <f>IFERROR(求节点('六艺&amp;奇遇'!$T$5:$T$113,'六艺&amp;奇遇'!W$5:W$113,$AK36),0)</f>
        <v>0</v>
      </c>
      <c r="AO36" s="103">
        <f>IFERROR(求节点('六艺&amp;奇遇'!$T$5:$T$113,'六艺&amp;奇遇'!X$5:X$113,$AK36),0)</f>
        <v>0</v>
      </c>
      <c r="AP36" s="103">
        <f>IFERROR(求节点('六艺&amp;奇遇'!$T$5:$T$113,'六艺&amp;奇遇'!Y$5:Y$113,$AK36),0)</f>
        <v>0</v>
      </c>
      <c r="AQ36" s="103">
        <f>IFERROR(求节点('六艺&amp;奇遇'!$T$5:$T$113,'六艺&amp;奇遇'!Z$5:Z$113,$AK36),0)</f>
        <v>0</v>
      </c>
      <c r="AT36" s="117">
        <v>32</v>
      </c>
      <c r="AU36" s="117">
        <f t="shared" si="5"/>
        <v>0</v>
      </c>
      <c r="AV36" s="117">
        <f t="shared" si="6"/>
        <v>0</v>
      </c>
      <c r="AW36" s="117">
        <f t="shared" si="7"/>
        <v>0</v>
      </c>
      <c r="AX36" s="117">
        <f t="shared" si="8"/>
        <v>0</v>
      </c>
      <c r="AY36" s="117">
        <f t="shared" si="9"/>
        <v>0</v>
      </c>
    </row>
    <row r="37" spans="2:51" x14ac:dyDescent="0.15">
      <c r="B37" s="89"/>
      <c r="C37" s="100" t="s">
        <v>181</v>
      </c>
      <c r="G37" s="70">
        <v>10</v>
      </c>
      <c r="H37" s="70">
        <v>30</v>
      </c>
      <c r="U37" s="83">
        <v>13</v>
      </c>
      <c r="V37" s="60">
        <f>基础信息!D42</f>
        <v>67</v>
      </c>
      <c r="W37" s="61">
        <f>基础信息!E42</f>
        <v>5706.8398490672153</v>
      </c>
      <c r="X37" s="61">
        <f>基础信息!F42</f>
        <v>127.12838978012395</v>
      </c>
      <c r="Y37" s="100">
        <f t="shared" si="19"/>
        <v>793.75114737254512</v>
      </c>
      <c r="Z37" s="100">
        <f t="shared" si="20"/>
        <v>1128.4298027945511</v>
      </c>
      <c r="AA37" s="100">
        <f t="shared" si="21"/>
        <v>923.17997252247142</v>
      </c>
      <c r="AB37" s="100">
        <f t="shared" si="22"/>
        <v>115.50856249078083</v>
      </c>
      <c r="AC37" s="100">
        <f t="shared" si="23"/>
        <v>0.88852740377523687</v>
      </c>
      <c r="AD37" s="83">
        <f>SUM(Y$25:Y37)</f>
        <v>1637.7874839425019</v>
      </c>
      <c r="AE37" s="83">
        <f>SUM(Z$25:Z37)</f>
        <v>2157.5432819593379</v>
      </c>
      <c r="AF37" s="83">
        <f>SUM(AA$25:AA37)</f>
        <v>1699.7470576962228</v>
      </c>
      <c r="AG37" s="83">
        <f>SUM(AB$25:AB37)</f>
        <v>195.42331741662477</v>
      </c>
      <c r="AH37" s="83">
        <f>SUM(AC$25:AC37)</f>
        <v>1.2425295421406748</v>
      </c>
      <c r="AI37" s="100">
        <f t="shared" si="24"/>
        <v>2558923.4085612157</v>
      </c>
      <c r="AJ37" s="100">
        <f t="shared" si="25"/>
        <v>28458.718352784133</v>
      </c>
      <c r="AK37" s="116">
        <f t="shared" si="26"/>
        <v>94305.138972908026</v>
      </c>
      <c r="AL37" s="103">
        <f>IFERROR(求节点('六艺&amp;奇遇'!$T$5:$T$113,'六艺&amp;奇遇'!$U$5:$U$113,AK37),0)</f>
        <v>26400</v>
      </c>
      <c r="AM37" s="103">
        <f>IFERROR(求节点('六艺&amp;奇遇'!$T$5:$T$113,'六艺&amp;奇遇'!V$5:V$113,$AK37),0)</f>
        <v>0</v>
      </c>
      <c r="AN37" s="103">
        <f>IFERROR(求节点('六艺&amp;奇遇'!$T$5:$T$113,'六艺&amp;奇遇'!W$5:W$113,$AK37),0)</f>
        <v>0</v>
      </c>
      <c r="AO37" s="103">
        <f>IFERROR(求节点('六艺&amp;奇遇'!$T$5:$T$113,'六艺&amp;奇遇'!X$5:X$113,$AK37),0)</f>
        <v>0</v>
      </c>
      <c r="AP37" s="103">
        <f>IFERROR(求节点('六艺&amp;奇遇'!$T$5:$T$113,'六艺&amp;奇遇'!Y$5:Y$113,$AK37),0)</f>
        <v>0</v>
      </c>
      <c r="AQ37" s="103">
        <f>IFERROR(求节点('六艺&amp;奇遇'!$T$5:$T$113,'六艺&amp;奇遇'!Z$5:Z$113,$AK37),0)</f>
        <v>0</v>
      </c>
      <c r="AT37" s="117">
        <v>33</v>
      </c>
      <c r="AU37" s="117">
        <f t="shared" si="5"/>
        <v>0</v>
      </c>
      <c r="AV37" s="117">
        <f t="shared" si="6"/>
        <v>0</v>
      </c>
      <c r="AW37" s="117">
        <f t="shared" si="7"/>
        <v>0</v>
      </c>
      <c r="AX37" s="117">
        <f t="shared" si="8"/>
        <v>0</v>
      </c>
      <c r="AY37" s="117">
        <f t="shared" si="9"/>
        <v>0</v>
      </c>
    </row>
    <row r="38" spans="2:51" x14ac:dyDescent="0.15">
      <c r="B38" s="89"/>
      <c r="C38" s="100" t="s">
        <v>182</v>
      </c>
      <c r="H38" s="70">
        <v>1</v>
      </c>
      <c r="U38" s="83">
        <v>14</v>
      </c>
      <c r="V38" s="60">
        <f>基础信息!D43</f>
        <v>72</v>
      </c>
      <c r="W38" s="61">
        <f>基础信息!E43</f>
        <v>11846.564050336494</v>
      </c>
      <c r="X38" s="61">
        <f>基础信息!F43</f>
        <v>137.70627422196659</v>
      </c>
      <c r="Y38" s="100">
        <f t="shared" si="19"/>
        <v>1620.8871891350896</v>
      </c>
      <c r="Z38" s="100">
        <f t="shared" si="20"/>
        <v>2320.8157480797872</v>
      </c>
      <c r="AA38" s="100">
        <f t="shared" si="21"/>
        <v>1937.6969579205843</v>
      </c>
      <c r="AB38" s="100">
        <f t="shared" si="22"/>
        <v>257.86841645330975</v>
      </c>
      <c r="AC38" s="100">
        <f t="shared" si="23"/>
        <v>2.4558896805077115</v>
      </c>
      <c r="AD38" s="83">
        <f>SUM(Y$25:Y38)</f>
        <v>3258.6746730775913</v>
      </c>
      <c r="AE38" s="83">
        <f>SUM(Z$25:Z38)</f>
        <v>4478.3590300391252</v>
      </c>
      <c r="AF38" s="83">
        <f>SUM(AA$25:AA38)</f>
        <v>3637.4440156168071</v>
      </c>
      <c r="AG38" s="83">
        <f>SUM(AB$25:AB38)</f>
        <v>453.29173386993455</v>
      </c>
      <c r="AH38" s="83">
        <f>SUM(AC$25:AC38)</f>
        <v>3.6984192226483863</v>
      </c>
      <c r="AI38" s="100">
        <f t="shared" si="24"/>
        <v>5642906.8748587742</v>
      </c>
      <c r="AJ38" s="100">
        <f t="shared" si="25"/>
        <v>59157.339359130528</v>
      </c>
      <c r="AK38" s="116">
        <f t="shared" si="26"/>
        <v>198066.47797435883</v>
      </c>
      <c r="AL38" s="103">
        <f>IFERROR(求节点('六艺&amp;奇遇'!$T$5:$T$113,'六艺&amp;奇遇'!$U$5:$U$113,AK38),0)</f>
        <v>26400</v>
      </c>
      <c r="AM38" s="103">
        <f>IFERROR(求节点('六艺&amp;奇遇'!$T$5:$T$113,'六艺&amp;奇遇'!V$5:V$113,$AK38),0)</f>
        <v>0</v>
      </c>
      <c r="AN38" s="103">
        <f>IFERROR(求节点('六艺&amp;奇遇'!$T$5:$T$113,'六艺&amp;奇遇'!W$5:W$113,$AK38),0)</f>
        <v>0</v>
      </c>
      <c r="AO38" s="103">
        <f>IFERROR(求节点('六艺&amp;奇遇'!$T$5:$T$113,'六艺&amp;奇遇'!X$5:X$113,$AK38),0)</f>
        <v>0</v>
      </c>
      <c r="AP38" s="103">
        <f>IFERROR(求节点('六艺&amp;奇遇'!$T$5:$T$113,'六艺&amp;奇遇'!Y$5:Y$113,$AK38),0)</f>
        <v>0</v>
      </c>
      <c r="AQ38" s="103">
        <f>IFERROR(求节点('六艺&amp;奇遇'!$T$5:$T$113,'六艺&amp;奇遇'!Z$5:Z$113,$AK38),0)</f>
        <v>0</v>
      </c>
      <c r="AT38" s="117">
        <v>34</v>
      </c>
      <c r="AU38" s="117">
        <f t="shared" si="5"/>
        <v>0</v>
      </c>
      <c r="AV38" s="117">
        <f t="shared" si="6"/>
        <v>0</v>
      </c>
      <c r="AW38" s="117">
        <f t="shared" si="7"/>
        <v>0</v>
      </c>
      <c r="AX38" s="117">
        <f t="shared" si="8"/>
        <v>0</v>
      </c>
      <c r="AY38" s="117">
        <f t="shared" si="9"/>
        <v>0</v>
      </c>
    </row>
    <row r="39" spans="2:51" x14ac:dyDescent="0.15">
      <c r="B39" s="89"/>
      <c r="D39" s="83"/>
      <c r="E39" s="83"/>
      <c r="F39" s="83"/>
      <c r="G39" s="83"/>
      <c r="H39" s="83"/>
      <c r="U39" s="83">
        <v>15</v>
      </c>
      <c r="V39" s="60">
        <f>基础信息!D44</f>
        <v>77</v>
      </c>
      <c r="W39" s="61">
        <f>基础信息!E44</f>
        <v>24558.40880507711</v>
      </c>
      <c r="X39" s="61">
        <f>基础信息!F44</f>
        <v>148.27357279823164</v>
      </c>
      <c r="Y39" s="100">
        <f t="shared" si="19"/>
        <v>3305.07963623256</v>
      </c>
      <c r="Z39" s="100">
        <f t="shared" si="20"/>
        <v>4766.9417830277307</v>
      </c>
      <c r="AA39" s="100">
        <f t="shared" si="21"/>
        <v>4061.4343991396277</v>
      </c>
      <c r="AB39" s="100">
        <f t="shared" si="22"/>
        <v>572.03301396332768</v>
      </c>
      <c r="AC39" s="100">
        <f t="shared" si="23"/>
        <v>6.355922377370308</v>
      </c>
      <c r="AD39" s="83">
        <f>SUM(Y$25:Y39)</f>
        <v>6563.7543093101513</v>
      </c>
      <c r="AE39" s="83">
        <f>SUM(Z$25:Z39)</f>
        <v>9245.3008130668568</v>
      </c>
      <c r="AF39" s="83">
        <f>SUM(AA$25:AA39)</f>
        <v>7698.8784147564347</v>
      </c>
      <c r="AG39" s="83">
        <f>SUM(AB$25:AB39)</f>
        <v>1025.3247478332623</v>
      </c>
      <c r="AH39" s="83">
        <f>SUM(AC$25:AC39)</f>
        <v>10.054341600018695</v>
      </c>
      <c r="AI39" s="100">
        <f t="shared" si="24"/>
        <v>12338871.099418394</v>
      </c>
      <c r="AJ39" s="100">
        <f t="shared" si="25"/>
        <v>122716.5631328336</v>
      </c>
      <c r="AK39" s="116">
        <f t="shared" si="26"/>
        <v>414167.83880494931</v>
      </c>
      <c r="AL39" s="103">
        <f>IFERROR(求节点('六艺&amp;奇遇'!$T$5:$T$113,'六艺&amp;奇遇'!$U$5:$U$113,AK39),0)</f>
        <v>26400</v>
      </c>
      <c r="AM39" s="103">
        <f>IFERROR(求节点('六艺&amp;奇遇'!$T$5:$T$113,'六艺&amp;奇遇'!V$5:V$113,$AK39),0)</f>
        <v>0</v>
      </c>
      <c r="AN39" s="103">
        <f>IFERROR(求节点('六艺&amp;奇遇'!$T$5:$T$113,'六艺&amp;奇遇'!W$5:W$113,$AK39),0)</f>
        <v>0</v>
      </c>
      <c r="AO39" s="103">
        <f>IFERROR(求节点('六艺&amp;奇遇'!$T$5:$T$113,'六艺&amp;奇遇'!X$5:X$113,$AK39),0)</f>
        <v>0</v>
      </c>
      <c r="AP39" s="103">
        <f>IFERROR(求节点('六艺&amp;奇遇'!$T$5:$T$113,'六艺&amp;奇遇'!Y$5:Y$113,$AK39),0)</f>
        <v>0</v>
      </c>
      <c r="AQ39" s="103">
        <f>IFERROR(求节点('六艺&amp;奇遇'!$T$5:$T$113,'六艺&amp;奇遇'!Z$5:Z$113,$AK39),0)</f>
        <v>0</v>
      </c>
      <c r="AT39" s="117">
        <v>35</v>
      </c>
      <c r="AU39" s="117">
        <f t="shared" si="5"/>
        <v>0</v>
      </c>
      <c r="AV39" s="117">
        <f t="shared" si="6"/>
        <v>0</v>
      </c>
      <c r="AW39" s="117">
        <f t="shared" si="7"/>
        <v>0</v>
      </c>
      <c r="AX39" s="117">
        <f t="shared" si="8"/>
        <v>0</v>
      </c>
      <c r="AY39" s="117">
        <f t="shared" si="9"/>
        <v>0</v>
      </c>
    </row>
    <row r="40" spans="2:51" x14ac:dyDescent="0.15">
      <c r="B40" s="83"/>
      <c r="D40" s="83"/>
      <c r="E40" s="83"/>
      <c r="F40" s="83"/>
      <c r="G40" s="83"/>
      <c r="H40" s="83"/>
      <c r="U40" s="83">
        <v>16</v>
      </c>
      <c r="V40" s="60">
        <f>基础信息!D45</f>
        <v>80</v>
      </c>
      <c r="W40" s="61">
        <f>基础信息!E45</f>
        <v>38010.300000000003</v>
      </c>
      <c r="X40" s="61">
        <f>基础信息!F45</f>
        <v>154.14666602127767</v>
      </c>
      <c r="Y40" s="100">
        <f t="shared" si="19"/>
        <v>3497.4917106799526</v>
      </c>
      <c r="Z40" s="100">
        <f t="shared" si="20"/>
        <v>5044.4591980960849</v>
      </c>
      <c r="AA40" s="100">
        <f t="shared" si="21"/>
        <v>4297.8792367778651</v>
      </c>
      <c r="AB40" s="100">
        <f t="shared" si="22"/>
        <v>605.33510377153016</v>
      </c>
      <c r="AC40" s="100">
        <f t="shared" si="23"/>
        <v>6.7259455974614468</v>
      </c>
      <c r="AD40" s="83">
        <f>SUM(Y$25:Y40)</f>
        <v>10061.246019990103</v>
      </c>
      <c r="AE40" s="83">
        <f>SUM(Z$25:Z40)</f>
        <v>14289.760011162942</v>
      </c>
      <c r="AF40" s="83">
        <f>SUM(AA$25:AA40)</f>
        <v>11996.757651534299</v>
      </c>
      <c r="AG40" s="83">
        <f>SUM(AB$25:AB40)</f>
        <v>1630.6598516047925</v>
      </c>
      <c r="AH40" s="83">
        <f>SUM(AC$25:AC40)</f>
        <v>16.780287197480142</v>
      </c>
      <c r="AI40" s="100">
        <f t="shared" si="24"/>
        <v>19693692.610242486</v>
      </c>
      <c r="AJ40" s="100">
        <f t="shared" si="25"/>
        <v>189976.01910744805</v>
      </c>
      <c r="AK40" s="116">
        <f t="shared" si="26"/>
        <v>642849.98911863845</v>
      </c>
      <c r="AL40" s="103">
        <f>IFERROR(求节点('六艺&amp;奇遇'!$T$5:$T$113,'六艺&amp;奇遇'!$U$5:$U$113,AK40),0)</f>
        <v>26400</v>
      </c>
      <c r="AM40" s="103">
        <f>IFERROR(求节点('六艺&amp;奇遇'!$T$5:$T$113,'六艺&amp;奇遇'!V$5:V$113,$AK40),0)</f>
        <v>0</v>
      </c>
      <c r="AN40" s="103">
        <f>IFERROR(求节点('六艺&amp;奇遇'!$T$5:$T$113,'六艺&amp;奇遇'!W$5:W$113,$AK40),0)</f>
        <v>0</v>
      </c>
      <c r="AO40" s="103">
        <f>IFERROR(求节点('六艺&amp;奇遇'!$T$5:$T$113,'六艺&amp;奇遇'!X$5:X$113,$AK40),0)</f>
        <v>0</v>
      </c>
      <c r="AP40" s="103">
        <f>IFERROR(求节点('六艺&amp;奇遇'!$T$5:$T$113,'六艺&amp;奇遇'!Y$5:Y$113,$AK40),0)</f>
        <v>0</v>
      </c>
      <c r="AQ40" s="103">
        <f>IFERROR(求节点('六艺&amp;奇遇'!$T$5:$T$113,'六艺&amp;奇遇'!Z$5:Z$113,$AK40),0)</f>
        <v>0</v>
      </c>
      <c r="AT40" s="117">
        <v>36</v>
      </c>
      <c r="AU40" s="117">
        <f t="shared" si="5"/>
        <v>0</v>
      </c>
      <c r="AV40" s="117">
        <f t="shared" si="6"/>
        <v>0</v>
      </c>
      <c r="AW40" s="117">
        <f t="shared" si="7"/>
        <v>0</v>
      </c>
      <c r="AX40" s="117">
        <f t="shared" si="8"/>
        <v>0</v>
      </c>
      <c r="AY40" s="117">
        <f t="shared" si="9"/>
        <v>0</v>
      </c>
    </row>
    <row r="41" spans="2:51" x14ac:dyDescent="0.15">
      <c r="B41" s="83"/>
      <c r="D41" s="83"/>
      <c r="E41" s="83"/>
      <c r="F41" s="83"/>
      <c r="G41" s="83"/>
      <c r="H41" s="83"/>
      <c r="AT41" s="117">
        <v>37</v>
      </c>
      <c r="AU41" s="117">
        <f t="shared" si="5"/>
        <v>0</v>
      </c>
      <c r="AV41" s="117">
        <f t="shared" si="6"/>
        <v>0</v>
      </c>
      <c r="AW41" s="117">
        <f t="shared" si="7"/>
        <v>0</v>
      </c>
      <c r="AX41" s="117">
        <f t="shared" si="8"/>
        <v>0</v>
      </c>
      <c r="AY41" s="117">
        <f t="shared" si="9"/>
        <v>0</v>
      </c>
    </row>
    <row r="42" spans="2:51" x14ac:dyDescent="0.15">
      <c r="B42" s="83"/>
      <c r="D42" s="83"/>
      <c r="E42" s="83"/>
      <c r="F42" s="83"/>
      <c r="G42" s="83"/>
      <c r="H42" s="83"/>
      <c r="AT42" s="117">
        <v>38</v>
      </c>
      <c r="AU42" s="117">
        <f t="shared" si="5"/>
        <v>0</v>
      </c>
      <c r="AV42" s="117">
        <f t="shared" si="6"/>
        <v>0</v>
      </c>
      <c r="AW42" s="117">
        <f t="shared" si="7"/>
        <v>0</v>
      </c>
      <c r="AX42" s="117">
        <f t="shared" si="8"/>
        <v>0</v>
      </c>
      <c r="AY42" s="117">
        <f t="shared" si="9"/>
        <v>10.403523335574985</v>
      </c>
    </row>
    <row r="43" spans="2:51" ht="11.25" customHeight="1" x14ac:dyDescent="0.15">
      <c r="B43" s="83"/>
      <c r="D43" s="83"/>
      <c r="E43" s="83"/>
      <c r="F43" s="83"/>
      <c r="G43" s="83"/>
      <c r="H43" s="83"/>
      <c r="U43" s="83" t="s">
        <v>2</v>
      </c>
      <c r="Y43" s="128" t="s">
        <v>292</v>
      </c>
      <c r="Z43" s="128"/>
      <c r="AA43" s="128"/>
      <c r="AB43" s="128"/>
      <c r="AC43" s="128"/>
      <c r="AD43" s="128" t="s">
        <v>293</v>
      </c>
      <c r="AE43" s="128"/>
      <c r="AF43" s="128"/>
      <c r="AG43" s="128"/>
      <c r="AH43" s="128"/>
      <c r="AM43" s="128" t="s">
        <v>295</v>
      </c>
      <c r="AN43" s="128"/>
      <c r="AO43" s="128"/>
      <c r="AP43" s="128"/>
      <c r="AQ43" s="128"/>
      <c r="AT43" s="117">
        <v>39</v>
      </c>
      <c r="AU43" s="117">
        <f t="shared" si="5"/>
        <v>0</v>
      </c>
      <c r="AV43" s="117">
        <f t="shared" si="6"/>
        <v>0</v>
      </c>
      <c r="AW43" s="117">
        <f t="shared" si="7"/>
        <v>0</v>
      </c>
      <c r="AX43" s="117">
        <f t="shared" si="8"/>
        <v>0</v>
      </c>
      <c r="AY43" s="117">
        <f t="shared" si="9"/>
        <v>39.503319019391526</v>
      </c>
    </row>
    <row r="44" spans="2:51" ht="22.5" x14ac:dyDescent="0.15">
      <c r="D44" s="83"/>
      <c r="E44" s="83"/>
      <c r="F44" s="83"/>
      <c r="G44" s="83"/>
      <c r="H44" s="83"/>
      <c r="U44" s="83" t="s">
        <v>21</v>
      </c>
      <c r="V44" s="83" t="s">
        <v>121</v>
      </c>
      <c r="W44" s="81" t="s">
        <v>122</v>
      </c>
      <c r="X44" s="81" t="s">
        <v>103</v>
      </c>
      <c r="Y44" s="84" t="s">
        <v>8</v>
      </c>
      <c r="Z44" s="84" t="s">
        <v>9</v>
      </c>
      <c r="AA44" s="84" t="s">
        <v>10</v>
      </c>
      <c r="AB44" s="84" t="s">
        <v>11</v>
      </c>
      <c r="AC44" s="84" t="s">
        <v>12</v>
      </c>
      <c r="AD44" s="84" t="s">
        <v>8</v>
      </c>
      <c r="AE44" s="84" t="s">
        <v>9</v>
      </c>
      <c r="AF44" s="84" t="s">
        <v>10</v>
      </c>
      <c r="AG44" s="84" t="s">
        <v>11</v>
      </c>
      <c r="AH44" s="84" t="s">
        <v>12</v>
      </c>
      <c r="AI44" s="84" t="s">
        <v>194</v>
      </c>
      <c r="AJ44" s="101" t="s">
        <v>270</v>
      </c>
      <c r="AK44" s="101" t="s">
        <v>271</v>
      </c>
      <c r="AL44" s="104" t="s">
        <v>294</v>
      </c>
      <c r="AM44" s="104" t="s">
        <v>8</v>
      </c>
      <c r="AN44" s="104" t="s">
        <v>9</v>
      </c>
      <c r="AO44" s="104" t="s">
        <v>10</v>
      </c>
      <c r="AP44" s="104" t="s">
        <v>11</v>
      </c>
      <c r="AQ44" s="104" t="s">
        <v>12</v>
      </c>
      <c r="AT44" s="117">
        <v>40</v>
      </c>
      <c r="AU44" s="117">
        <f t="shared" si="5"/>
        <v>0</v>
      </c>
      <c r="AV44" s="117">
        <f t="shared" si="6"/>
        <v>0</v>
      </c>
      <c r="AW44" s="117">
        <f t="shared" si="7"/>
        <v>0</v>
      </c>
      <c r="AX44" s="117">
        <f t="shared" si="8"/>
        <v>45.112411064318792</v>
      </c>
      <c r="AY44" s="117">
        <f t="shared" si="9"/>
        <v>68.603114703208078</v>
      </c>
    </row>
    <row r="45" spans="2:51" x14ac:dyDescent="0.15">
      <c r="U45" s="83">
        <v>1</v>
      </c>
      <c r="V45" s="60">
        <f>基础信息!D50</f>
        <v>16</v>
      </c>
      <c r="W45" s="61">
        <f>基础信息!E50</f>
        <v>1.5232631522355879</v>
      </c>
      <c r="X45" s="61">
        <f>基础信息!F50</f>
        <v>16.55360159735687</v>
      </c>
      <c r="Y45" s="83">
        <v>0</v>
      </c>
      <c r="Z45" s="83">
        <v>0</v>
      </c>
      <c r="AA45" s="83">
        <v>0</v>
      </c>
      <c r="AB45" s="83">
        <v>0</v>
      </c>
      <c r="AC45" s="83">
        <v>0</v>
      </c>
      <c r="AD45" s="83">
        <f>SUM(Y$45:Y45)</f>
        <v>0</v>
      </c>
      <c r="AE45" s="83">
        <f>SUM(Z$45:Z45)</f>
        <v>0</v>
      </c>
      <c r="AF45" s="83">
        <f>SUM(AA$45:AA45)</f>
        <v>0</v>
      </c>
      <c r="AG45" s="83">
        <f>SUM(AB$45:AB45)</f>
        <v>0</v>
      </c>
      <c r="AH45" s="83">
        <f>SUM(AC$45:AC45)</f>
        <v>0</v>
      </c>
      <c r="AI45" s="83">
        <v>0</v>
      </c>
      <c r="AJ45" s="100">
        <v>0</v>
      </c>
      <c r="AK45" s="100">
        <v>0</v>
      </c>
      <c r="AL45" s="103">
        <f>IFERROR(求节点('六艺&amp;奇遇'!$T$5:$T$113,'六艺&amp;奇遇'!$U$5:$U$113,AK45),0)</f>
        <v>0</v>
      </c>
      <c r="AM45" s="103">
        <f>IFERROR(求节点('六艺&amp;奇遇'!$T$5:$T$113,'六艺&amp;奇遇'!V$5:V$113,$AK45),0)</f>
        <v>0</v>
      </c>
      <c r="AN45" s="103">
        <f>IFERROR(求节点('六艺&amp;奇遇'!$T$5:$T$113,'六艺&amp;奇遇'!W$5:W$113,$AK45),0)</f>
        <v>0</v>
      </c>
      <c r="AO45" s="103">
        <f>IFERROR(求节点('六艺&amp;奇遇'!$T$5:$T$113,'六艺&amp;奇遇'!X$5:X$113,$AK45),0)</f>
        <v>0</v>
      </c>
      <c r="AP45" s="103">
        <f>IFERROR(求节点('六艺&amp;奇遇'!$T$5:$T$113,'六艺&amp;奇遇'!Y$5:Y$113,$AK45),0)</f>
        <v>0</v>
      </c>
      <c r="AQ45" s="103">
        <f>IFERROR(求节点('六艺&amp;奇遇'!$T$5:$T$113,'六艺&amp;奇遇'!Z$5:Z$113,$AK45),0)</f>
        <v>0</v>
      </c>
      <c r="AT45" s="117">
        <v>41</v>
      </c>
      <c r="AU45" s="117">
        <f t="shared" si="5"/>
        <v>0</v>
      </c>
      <c r="AV45" s="117">
        <f t="shared" si="6"/>
        <v>0</v>
      </c>
      <c r="AW45" s="117">
        <f t="shared" si="7"/>
        <v>26.925512536874759</v>
      </c>
      <c r="AX45" s="117">
        <f t="shared" si="8"/>
        <v>103.01043210829825</v>
      </c>
      <c r="AY45" s="117">
        <f t="shared" si="9"/>
        <v>97.702910387024616</v>
      </c>
    </row>
    <row r="46" spans="2:51" x14ac:dyDescent="0.15">
      <c r="U46" s="83">
        <v>2</v>
      </c>
      <c r="V46" s="60">
        <f>基础信息!D51</f>
        <v>19.5</v>
      </c>
      <c r="W46" s="61">
        <f>基础信息!E51</f>
        <v>2.8937385192992746</v>
      </c>
      <c r="X46" s="61">
        <f>基础信息!F51</f>
        <v>23.331269805933818</v>
      </c>
      <c r="Y46" s="100">
        <f>($W46-$W45)*N5</f>
        <v>0</v>
      </c>
      <c r="Z46" s="100">
        <f t="shared" ref="Z46:AC46" si="27">($W46-$W45)*O5</f>
        <v>0</v>
      </c>
      <c r="AA46" s="100">
        <f t="shared" si="27"/>
        <v>0</v>
      </c>
      <c r="AB46" s="100">
        <f t="shared" si="27"/>
        <v>0</v>
      </c>
      <c r="AC46" s="100">
        <f t="shared" si="27"/>
        <v>0</v>
      </c>
      <c r="AD46" s="83">
        <f>SUM(Y$45:Y46)</f>
        <v>0</v>
      </c>
      <c r="AE46" s="83">
        <f>SUM(Z$45:Z46)</f>
        <v>0</v>
      </c>
      <c r="AF46" s="83">
        <f>SUM(AA$45:AA46)</f>
        <v>0</v>
      </c>
      <c r="AG46" s="83">
        <f>SUM(AB$45:AB46)</f>
        <v>0</v>
      </c>
      <c r="AH46" s="83">
        <f>SUM(AC$45:AC46)</f>
        <v>0</v>
      </c>
      <c r="AI46" s="100">
        <f>M5*(W46-W45)+AI45</f>
        <v>137.04753670636867</v>
      </c>
      <c r="AJ46" s="100">
        <f>I5*(W46-W45)+AJ45</f>
        <v>0</v>
      </c>
      <c r="AK46" s="100">
        <f>IFERROR(I5*(W46-W45)*SUMPRODUCT(D5:H5,$D$27:$H$27)/SUM(D5:H5)+AK45,0)</f>
        <v>0</v>
      </c>
      <c r="AL46" s="103">
        <f>IFERROR(求节点('六艺&amp;奇遇'!$T$5:$T$113,'六艺&amp;奇遇'!$U$5:$U$113,AK46),0)</f>
        <v>0</v>
      </c>
      <c r="AM46" s="103">
        <f>IFERROR(求节点('六艺&amp;奇遇'!$T$5:$T$113,'六艺&amp;奇遇'!V$5:V$113,$AK46),0)</f>
        <v>0</v>
      </c>
      <c r="AN46" s="103">
        <f>IFERROR(求节点('六艺&amp;奇遇'!$T$5:$T$113,'六艺&amp;奇遇'!W$5:W$113,$AK46),0)</f>
        <v>0</v>
      </c>
      <c r="AO46" s="103">
        <f>IFERROR(求节点('六艺&amp;奇遇'!$T$5:$T$113,'六艺&amp;奇遇'!X$5:X$113,$AK46),0)</f>
        <v>0</v>
      </c>
      <c r="AP46" s="103">
        <f>IFERROR(求节点('六艺&amp;奇遇'!$T$5:$T$113,'六艺&amp;奇遇'!Y$5:Y$113,$AK46),0)</f>
        <v>0</v>
      </c>
      <c r="AQ46" s="103">
        <f>IFERROR(求节点('六艺&amp;奇遇'!$T$5:$T$113,'六艺&amp;奇遇'!Z$5:Z$113,$AK46),0)</f>
        <v>0</v>
      </c>
      <c r="AT46" s="117">
        <v>42</v>
      </c>
      <c r="AU46" s="117">
        <f t="shared" si="5"/>
        <v>0</v>
      </c>
      <c r="AV46" s="117">
        <f t="shared" si="6"/>
        <v>6.9987897625636046</v>
      </c>
      <c r="AW46" s="117">
        <f t="shared" si="7"/>
        <v>102.35290874323752</v>
      </c>
      <c r="AX46" s="117">
        <f t="shared" si="8"/>
        <v>160.9084531522777</v>
      </c>
      <c r="AY46" s="117">
        <f t="shared" si="9"/>
        <v>126.80270607084117</v>
      </c>
    </row>
    <row r="47" spans="2:51" x14ac:dyDescent="0.15">
      <c r="U47" s="83">
        <v>3</v>
      </c>
      <c r="V47" s="60">
        <f>基础信息!D52</f>
        <v>23.5</v>
      </c>
      <c r="W47" s="61">
        <f>基础信息!E52</f>
        <v>5.793008326295654</v>
      </c>
      <c r="X47" s="61">
        <f>基础信息!F52</f>
        <v>31.744234316265171</v>
      </c>
      <c r="Y47" s="100">
        <f t="shared" ref="Y47:Y60" si="28">($W47-$W46)*N6</f>
        <v>0</v>
      </c>
      <c r="Z47" s="100">
        <f t="shared" ref="Z47:Z60" si="29">($W47-$W46)*O6</f>
        <v>0</v>
      </c>
      <c r="AA47" s="100">
        <f t="shared" ref="AA47:AA60" si="30">($W47-$W46)*P6</f>
        <v>0</v>
      </c>
      <c r="AB47" s="100">
        <f t="shared" ref="AB47:AB60" si="31">($W47-$W46)*Q6</f>
        <v>0</v>
      </c>
      <c r="AC47" s="100">
        <f t="shared" ref="AC47:AC60" si="32">($W47-$W46)*R6</f>
        <v>0</v>
      </c>
      <c r="AD47" s="83">
        <f>SUM(Y$45:Y47)</f>
        <v>0</v>
      </c>
      <c r="AE47" s="83">
        <f>SUM(Z$45:Z47)</f>
        <v>0</v>
      </c>
      <c r="AF47" s="83">
        <f>SUM(AA$45:AA47)</f>
        <v>0</v>
      </c>
      <c r="AG47" s="83">
        <f>SUM(AB$45:AB47)</f>
        <v>0</v>
      </c>
      <c r="AH47" s="83">
        <f>SUM(AC$45:AC47)</f>
        <v>0</v>
      </c>
      <c r="AI47" s="100">
        <f t="shared" ref="AI47:AI60" si="33">M6*(W47-W46)+AI46</f>
        <v>455.96721547597042</v>
      </c>
      <c r="AJ47" s="100">
        <f t="shared" ref="AJ47:AJ60" si="34">I6*(W47-W46)+AJ46</f>
        <v>0</v>
      </c>
      <c r="AK47" s="116">
        <f t="shared" ref="AK47:AK60" si="35">IFERROR(I6*(W47-W46)*SUMPRODUCT(D6:H6,$D$27:$H$27)/SUM(D6:H6)+AK46,0)</f>
        <v>0</v>
      </c>
      <c r="AL47" s="103">
        <f>IFERROR(求节点('六艺&amp;奇遇'!$T$5:$T$113,'六艺&amp;奇遇'!$U$5:$U$113,AK47),0)</f>
        <v>0</v>
      </c>
      <c r="AM47" s="103">
        <f>IFERROR(求节点('六艺&amp;奇遇'!$T$5:$T$113,'六艺&amp;奇遇'!V$5:V$113,$AK47),0)</f>
        <v>0</v>
      </c>
      <c r="AN47" s="103">
        <f>IFERROR(求节点('六艺&amp;奇遇'!$T$5:$T$113,'六艺&amp;奇遇'!W$5:W$113,$AK47),0)</f>
        <v>0</v>
      </c>
      <c r="AO47" s="103">
        <f>IFERROR(求节点('六艺&amp;奇遇'!$T$5:$T$113,'六艺&amp;奇遇'!X$5:X$113,$AK47),0)</f>
        <v>0</v>
      </c>
      <c r="AP47" s="103">
        <f>IFERROR(求节点('六艺&amp;奇遇'!$T$5:$T$113,'六艺&amp;奇遇'!Y$5:Y$113,$AK47),0)</f>
        <v>0</v>
      </c>
      <c r="AQ47" s="103">
        <f>IFERROR(求节点('六艺&amp;奇遇'!$T$5:$T$113,'六艺&amp;奇遇'!Z$5:Z$113,$AK47),0)</f>
        <v>0</v>
      </c>
      <c r="AT47" s="117">
        <v>43</v>
      </c>
      <c r="AU47" s="117">
        <f t="shared" si="5"/>
        <v>0</v>
      </c>
      <c r="AV47" s="117">
        <f t="shared" si="6"/>
        <v>97.636810194643132</v>
      </c>
      <c r="AW47" s="117">
        <f t="shared" si="7"/>
        <v>177.78030494960026</v>
      </c>
      <c r="AX47" s="117">
        <f t="shared" si="8"/>
        <v>218.80647419625714</v>
      </c>
      <c r="AY47" s="117">
        <f t="shared" si="9"/>
        <v>155.90250175465772</v>
      </c>
    </row>
    <row r="48" spans="2:51" x14ac:dyDescent="0.15">
      <c r="U48" s="83">
        <v>4</v>
      </c>
      <c r="V48" s="60">
        <f>基础信息!D53</f>
        <v>27.5</v>
      </c>
      <c r="W48" s="61">
        <f>基础信息!E53</f>
        <v>11.322133882791231</v>
      </c>
      <c r="X48" s="61">
        <f>基础信息!F53</f>
        <v>40.643027415884688</v>
      </c>
      <c r="Y48" s="100">
        <f t="shared" si="28"/>
        <v>0</v>
      </c>
      <c r="Z48" s="100">
        <f t="shared" si="29"/>
        <v>0</v>
      </c>
      <c r="AA48" s="100">
        <f t="shared" si="30"/>
        <v>0</v>
      </c>
      <c r="AB48" s="100">
        <f t="shared" si="31"/>
        <v>0</v>
      </c>
      <c r="AC48" s="100">
        <f t="shared" si="32"/>
        <v>0</v>
      </c>
      <c r="AD48" s="83">
        <f>SUM(Y$45:Y48)</f>
        <v>0</v>
      </c>
      <c r="AE48" s="83">
        <f>SUM(Z$45:Z48)</f>
        <v>0</v>
      </c>
      <c r="AF48" s="83">
        <f>SUM(AA$45:AA48)</f>
        <v>0</v>
      </c>
      <c r="AG48" s="83">
        <f>SUM(AB$45:AB48)</f>
        <v>0</v>
      </c>
      <c r="AH48" s="83">
        <f>SUM(AC$45:AC48)</f>
        <v>0</v>
      </c>
      <c r="AI48" s="100">
        <f t="shared" si="33"/>
        <v>1119.4622822554397</v>
      </c>
      <c r="AJ48" s="100">
        <f t="shared" si="34"/>
        <v>0</v>
      </c>
      <c r="AK48" s="116">
        <f t="shared" si="35"/>
        <v>0</v>
      </c>
      <c r="AL48" s="103">
        <f>IFERROR(求节点('六艺&amp;奇遇'!$T$5:$T$113,'六艺&amp;奇遇'!$U$5:$U$113,AK48),0)</f>
        <v>0</v>
      </c>
      <c r="AM48" s="103">
        <f>IFERROR(求节点('六艺&amp;奇遇'!$T$5:$T$113,'六艺&amp;奇遇'!V$5:V$113,$AK48),0)</f>
        <v>0</v>
      </c>
      <c r="AN48" s="103">
        <f>IFERROR(求节点('六艺&amp;奇遇'!$T$5:$T$113,'六艺&amp;奇遇'!W$5:W$113,$AK48),0)</f>
        <v>0</v>
      </c>
      <c r="AO48" s="103">
        <f>IFERROR(求节点('六艺&amp;奇遇'!$T$5:$T$113,'六艺&amp;奇遇'!X$5:X$113,$AK48),0)</f>
        <v>0</v>
      </c>
      <c r="AP48" s="103">
        <f>IFERROR(求节点('六艺&amp;奇遇'!$T$5:$T$113,'六艺&amp;奇遇'!Y$5:Y$113,$AK48),0)</f>
        <v>0</v>
      </c>
      <c r="AQ48" s="103">
        <f>IFERROR(求节点('六艺&amp;奇遇'!$T$5:$T$113,'六艺&amp;奇遇'!Z$5:Z$113,$AK48),0)</f>
        <v>0</v>
      </c>
      <c r="AT48" s="117">
        <v>44</v>
      </c>
      <c r="AU48" s="117">
        <f t="shared" si="5"/>
        <v>95.182718478043029</v>
      </c>
      <c r="AV48" s="117">
        <f t="shared" si="6"/>
        <v>188.27483062672266</v>
      </c>
      <c r="AW48" s="117">
        <f t="shared" si="7"/>
        <v>253.20770115596304</v>
      </c>
      <c r="AX48" s="117">
        <f t="shared" si="8"/>
        <v>276.70449524023661</v>
      </c>
      <c r="AY48" s="117">
        <f t="shared" si="9"/>
        <v>185.00229743847424</v>
      </c>
    </row>
    <row r="49" spans="21:51" x14ac:dyDescent="0.15">
      <c r="U49" s="83">
        <v>5</v>
      </c>
      <c r="V49" s="60">
        <f>基础信息!D54</f>
        <v>31.5</v>
      </c>
      <c r="W49" s="61">
        <f>基础信息!E54</f>
        <v>21.773543258148401</v>
      </c>
      <c r="X49" s="61">
        <f>基础信息!F54</f>
        <v>49.709437467755208</v>
      </c>
      <c r="Y49" s="100">
        <f t="shared" si="28"/>
        <v>8.3611275002857361</v>
      </c>
      <c r="Z49" s="100">
        <f t="shared" si="29"/>
        <v>2.090281875071434</v>
      </c>
      <c r="AA49" s="100">
        <f t="shared" si="30"/>
        <v>0</v>
      </c>
      <c r="AB49" s="100">
        <f t="shared" si="31"/>
        <v>0</v>
      </c>
      <c r="AC49" s="100">
        <f t="shared" si="32"/>
        <v>0</v>
      </c>
      <c r="AD49" s="83">
        <f>SUM(Y$45:Y49)</f>
        <v>8.3611275002857361</v>
      </c>
      <c r="AE49" s="83">
        <f>SUM(Z$45:Z49)</f>
        <v>2.090281875071434</v>
      </c>
      <c r="AF49" s="83">
        <f>SUM(AA$45:AA49)</f>
        <v>0</v>
      </c>
      <c r="AG49" s="83">
        <f>SUM(AB$45:AB49)</f>
        <v>0</v>
      </c>
      <c r="AH49" s="83">
        <f>SUM(AC$45:AC49)</f>
        <v>0</v>
      </c>
      <c r="AI49" s="100">
        <f t="shared" si="33"/>
        <v>2843.9448291893727</v>
      </c>
      <c r="AJ49" s="100">
        <f t="shared" si="34"/>
        <v>52.25704687678585</v>
      </c>
      <c r="AK49" s="116">
        <f t="shared" si="35"/>
        <v>78.385570315178768</v>
      </c>
      <c r="AL49" s="103">
        <f>IFERROR(求节点('六艺&amp;奇遇'!$T$5:$T$113,'六艺&amp;奇遇'!$U$5:$U$113,AK49),0)</f>
        <v>683.85570315178768</v>
      </c>
      <c r="AM49" s="103">
        <f>IFERROR(求节点('六艺&amp;奇遇'!$T$5:$T$113,'六艺&amp;奇遇'!V$5:V$113,$AK49),0)</f>
        <v>0</v>
      </c>
      <c r="AN49" s="103">
        <f>IFERROR(求节点('六艺&amp;奇遇'!$T$5:$T$113,'六艺&amp;奇遇'!W$5:W$113,$AK49),0)</f>
        <v>0</v>
      </c>
      <c r="AO49" s="103">
        <f>IFERROR(求节点('六艺&amp;奇遇'!$T$5:$T$113,'六艺&amp;奇遇'!X$5:X$113,$AK49),0)</f>
        <v>0</v>
      </c>
      <c r="AP49" s="103">
        <f>IFERROR(求节点('六艺&amp;奇遇'!$T$5:$T$113,'六艺&amp;奇遇'!Y$5:Y$113,$AK49),0)</f>
        <v>0</v>
      </c>
      <c r="AQ49" s="103">
        <f>IFERROR(求节点('六艺&amp;奇遇'!$T$5:$T$113,'六艺&amp;奇遇'!Z$5:Z$113,$AK49),0)</f>
        <v>0</v>
      </c>
      <c r="AT49" s="117">
        <v>45</v>
      </c>
      <c r="AU49" s="117">
        <f t="shared" si="5"/>
        <v>203.54126123208755</v>
      </c>
      <c r="AV49" s="117">
        <f t="shared" si="6"/>
        <v>278.91285105880218</v>
      </c>
      <c r="AW49" s="117">
        <f t="shared" si="7"/>
        <v>328.63509736232578</v>
      </c>
      <c r="AX49" s="117">
        <f t="shared" si="8"/>
        <v>334.60251628421605</v>
      </c>
      <c r="AY49" s="117">
        <f t="shared" si="9"/>
        <v>214.1020931222908</v>
      </c>
    </row>
    <row r="50" spans="21:51" x14ac:dyDescent="0.15">
      <c r="U50" s="83">
        <v>6</v>
      </c>
      <c r="V50" s="60">
        <f>基础信息!D55</f>
        <v>35.5</v>
      </c>
      <c r="W50" s="61">
        <f>基础信息!E55</f>
        <v>41.174058500102497</v>
      </c>
      <c r="X50" s="61">
        <f>基础信息!F55</f>
        <v>58.803150706157098</v>
      </c>
      <c r="Y50" s="100">
        <f t="shared" si="28"/>
        <v>13.192350364528789</v>
      </c>
      <c r="Z50" s="100">
        <f t="shared" si="29"/>
        <v>5.0441339629080648</v>
      </c>
      <c r="AA50" s="100">
        <f t="shared" si="30"/>
        <v>1.1640309145172458</v>
      </c>
      <c r="AB50" s="100">
        <f t="shared" si="31"/>
        <v>0</v>
      </c>
      <c r="AC50" s="100">
        <f t="shared" si="32"/>
        <v>0</v>
      </c>
      <c r="AD50" s="83">
        <f>SUM(Y$45:Y50)</f>
        <v>21.553477864814525</v>
      </c>
      <c r="AE50" s="83">
        <f>SUM(Z$45:Z50)</f>
        <v>7.1344158379794989</v>
      </c>
      <c r="AF50" s="83">
        <f>SUM(AA$45:AA50)</f>
        <v>1.1640309145172458</v>
      </c>
      <c r="AG50" s="83">
        <f>SUM(AB$45:AB50)</f>
        <v>0</v>
      </c>
      <c r="AH50" s="83">
        <f>SUM(AC$45:AC50)</f>
        <v>0</v>
      </c>
      <c r="AI50" s="100">
        <f t="shared" si="33"/>
        <v>6840.4509690319164</v>
      </c>
      <c r="AJ50" s="100">
        <f t="shared" si="34"/>
        <v>149.25962308655633</v>
      </c>
      <c r="AK50" s="116">
        <f t="shared" si="35"/>
        <v>282.09098035569673</v>
      </c>
      <c r="AL50" s="103">
        <f>IFERROR(求节点('六艺&amp;奇遇'!$T$5:$T$113,'六艺&amp;奇遇'!$U$5:$U$113,AK50),0)</f>
        <v>2220.9098035569673</v>
      </c>
      <c r="AM50" s="103">
        <f>IFERROR(求节点('六艺&amp;奇遇'!$T$5:$T$113,'六艺&amp;奇遇'!V$5:V$113,$AK50),0)</f>
        <v>0</v>
      </c>
      <c r="AN50" s="103">
        <f>IFERROR(求节点('六艺&amp;奇遇'!$T$5:$T$113,'六艺&amp;奇遇'!W$5:W$113,$AK50),0)</f>
        <v>0</v>
      </c>
      <c r="AO50" s="103">
        <f>IFERROR(求节点('六艺&amp;奇遇'!$T$5:$T$113,'六艺&amp;奇遇'!X$5:X$113,$AK50),0)</f>
        <v>0</v>
      </c>
      <c r="AP50" s="103">
        <f>IFERROR(求节点('六艺&amp;奇遇'!$T$5:$T$113,'六艺&amp;奇遇'!Y$5:Y$113,$AK50),0)</f>
        <v>0</v>
      </c>
      <c r="AQ50" s="103">
        <f>IFERROR(求节点('六艺&amp;奇遇'!$T$5:$T$113,'六艺&amp;奇遇'!Z$5:Z$113,$AK50),0)</f>
        <v>0</v>
      </c>
      <c r="AT50" s="117">
        <v>46</v>
      </c>
      <c r="AU50" s="117">
        <f t="shared" si="5"/>
        <v>311.89980398613204</v>
      </c>
      <c r="AV50" s="117">
        <f t="shared" si="6"/>
        <v>369.55087149088172</v>
      </c>
      <c r="AW50" s="117">
        <f t="shared" si="7"/>
        <v>404.06249356868852</v>
      </c>
      <c r="AX50" s="117">
        <f t="shared" si="8"/>
        <v>392.50053732819549</v>
      </c>
      <c r="AY50" s="117">
        <f t="shared" si="9"/>
        <v>243.20188880610735</v>
      </c>
    </row>
    <row r="51" spans="21:51" x14ac:dyDescent="0.15">
      <c r="U51" s="83">
        <v>7</v>
      </c>
      <c r="V51" s="60">
        <f>基础信息!D56</f>
        <v>39.5</v>
      </c>
      <c r="W51" s="61">
        <f>基础信息!E56</f>
        <v>74.77280729579401</v>
      </c>
      <c r="X51" s="61">
        <f>基础信息!F56</f>
        <v>67.298489171654538</v>
      </c>
      <c r="Y51" s="100">
        <f t="shared" si="28"/>
        <v>16.799374397845757</v>
      </c>
      <c r="Z51" s="100">
        <f t="shared" si="29"/>
        <v>12.599530798384318</v>
      </c>
      <c r="AA51" s="100">
        <f t="shared" si="30"/>
        <v>4.0318498554829816</v>
      </c>
      <c r="AB51" s="100">
        <f t="shared" si="31"/>
        <v>0.16799374397845759</v>
      </c>
      <c r="AC51" s="100">
        <f t="shared" si="32"/>
        <v>0</v>
      </c>
      <c r="AD51" s="83">
        <f>SUM(Y$45:Y51)</f>
        <v>38.352852262660278</v>
      </c>
      <c r="AE51" s="83">
        <f>SUM(Z$45:Z51)</f>
        <v>19.733946636363818</v>
      </c>
      <c r="AF51" s="83">
        <f>SUM(AA$45:AA51)</f>
        <v>5.1958807700002279</v>
      </c>
      <c r="AG51" s="83">
        <f>SUM(AB$45:AB51)</f>
        <v>0.16799374397845759</v>
      </c>
      <c r="AH51" s="83">
        <f>SUM(AC$45:AC51)</f>
        <v>0</v>
      </c>
      <c r="AI51" s="100">
        <f t="shared" si="33"/>
        <v>15651.722840702016</v>
      </c>
      <c r="AJ51" s="100">
        <f t="shared" si="34"/>
        <v>317.25336706501389</v>
      </c>
      <c r="AK51" s="116">
        <f t="shared" si="35"/>
        <v>794.47189948999232</v>
      </c>
      <c r="AL51" s="103">
        <f>IFERROR(求节点('六艺&amp;奇遇'!$T$5:$T$113,'六艺&amp;奇遇'!$U$5:$U$113,AK51),0)</f>
        <v>3788.9437989799844</v>
      </c>
      <c r="AM51" s="103">
        <f>IFERROR(求节点('六艺&amp;奇遇'!$T$5:$T$113,'六艺&amp;奇遇'!V$5:V$113,$AK51),0)</f>
        <v>0</v>
      </c>
      <c r="AN51" s="103">
        <f>IFERROR(求节点('六艺&amp;奇遇'!$T$5:$T$113,'六艺&amp;奇遇'!W$5:W$113,$AK51),0)</f>
        <v>0</v>
      </c>
      <c r="AO51" s="103">
        <f>IFERROR(求节点('六艺&amp;奇遇'!$T$5:$T$113,'六艺&amp;奇遇'!X$5:X$113,$AK51),0)</f>
        <v>0</v>
      </c>
      <c r="AP51" s="103">
        <f>IFERROR(求节点('六艺&amp;奇遇'!$T$5:$T$113,'六艺&amp;奇遇'!Y$5:Y$113,$AK51),0)</f>
        <v>0</v>
      </c>
      <c r="AQ51" s="103">
        <f>IFERROR(求节点('六艺&amp;奇遇'!$T$5:$T$113,'六艺&amp;奇遇'!Z$5:Z$113,$AK51),0)</f>
        <v>0</v>
      </c>
      <c r="AT51" s="117">
        <v>47</v>
      </c>
      <c r="AU51" s="117">
        <f t="shared" si="5"/>
        <v>420.25834674017659</v>
      </c>
      <c r="AV51" s="117">
        <f t="shared" si="6"/>
        <v>460.18889192296126</v>
      </c>
      <c r="AW51" s="117">
        <f t="shared" si="7"/>
        <v>479.48988977505132</v>
      </c>
      <c r="AX51" s="117">
        <f t="shared" si="8"/>
        <v>450.39855837217499</v>
      </c>
      <c r="AY51" s="117">
        <f t="shared" si="9"/>
        <v>283.32812617531818</v>
      </c>
    </row>
    <row r="52" spans="21:51" x14ac:dyDescent="0.15">
      <c r="U52" s="83">
        <v>8</v>
      </c>
      <c r="V52" s="60">
        <f>基础信息!D57</f>
        <v>43.5</v>
      </c>
      <c r="W52" s="61">
        <f>基础信息!E57</f>
        <v>135.40982620096435</v>
      </c>
      <c r="X52" s="61">
        <f>基础信息!F57</f>
        <v>75.878784655965617</v>
      </c>
      <c r="Y52" s="100">
        <f t="shared" si="28"/>
        <v>27.286658507326653</v>
      </c>
      <c r="Z52" s="100">
        <f t="shared" si="29"/>
        <v>22.738882089438874</v>
      </c>
      <c r="AA52" s="100">
        <f t="shared" si="30"/>
        <v>10.005108119353107</v>
      </c>
      <c r="AB52" s="100">
        <f t="shared" si="31"/>
        <v>0.60637018905170348</v>
      </c>
      <c r="AC52" s="100">
        <f t="shared" si="32"/>
        <v>0</v>
      </c>
      <c r="AD52" s="83">
        <f>SUM(Y$45:Y52)</f>
        <v>65.639510769986927</v>
      </c>
      <c r="AE52" s="83">
        <f>SUM(Z$45:Z52)</f>
        <v>42.472828725802692</v>
      </c>
      <c r="AF52" s="83">
        <f>SUM(AA$45:AA52)</f>
        <v>15.200988889353335</v>
      </c>
      <c r="AG52" s="83">
        <f>SUM(AB$45:AB52)</f>
        <v>0.77436393303016104</v>
      </c>
      <c r="AH52" s="83">
        <f>SUM(AC$45:AC52)</f>
        <v>0</v>
      </c>
      <c r="AI52" s="100">
        <f t="shared" si="33"/>
        <v>33433.528634643219</v>
      </c>
      <c r="AJ52" s="100">
        <f t="shared" si="34"/>
        <v>620.43846159086559</v>
      </c>
      <c r="AK52" s="116">
        <f t="shared" si="35"/>
        <v>1734.3456925201326</v>
      </c>
      <c r="AL52" s="103">
        <f>IFERROR(求节点('六艺&amp;奇遇'!$T$5:$T$113,'六艺&amp;奇遇'!$U$5:$U$113,AK52),0)</f>
        <v>4668.6913850402652</v>
      </c>
      <c r="AM52" s="103">
        <f>IFERROR(求节点('六艺&amp;奇遇'!$T$5:$T$113,'六艺&amp;奇遇'!V$5:V$113,$AK52),0)</f>
        <v>0</v>
      </c>
      <c r="AN52" s="103">
        <f>IFERROR(求节点('六艺&amp;奇遇'!$T$5:$T$113,'六艺&amp;奇遇'!W$5:W$113,$AK52),0)</f>
        <v>0</v>
      </c>
      <c r="AO52" s="103">
        <f>IFERROR(求节点('六艺&amp;奇遇'!$T$5:$T$113,'六艺&amp;奇遇'!X$5:X$113,$AK52),0)</f>
        <v>0</v>
      </c>
      <c r="AP52" s="103">
        <f>IFERROR(求节点('六艺&amp;奇遇'!$T$5:$T$113,'六艺&amp;奇遇'!Y$5:Y$113,$AK52),0)</f>
        <v>0</v>
      </c>
      <c r="AQ52" s="103">
        <f>IFERROR(求节点('六艺&amp;奇遇'!$T$5:$T$113,'六艺&amp;奇遇'!Z$5:Z$113,$AK52),0)</f>
        <v>0</v>
      </c>
      <c r="AT52" s="117">
        <v>48</v>
      </c>
      <c r="AU52" s="117">
        <f t="shared" si="5"/>
        <v>528.61688949422114</v>
      </c>
      <c r="AV52" s="117">
        <f t="shared" si="6"/>
        <v>550.8269123550408</v>
      </c>
      <c r="AW52" s="117">
        <f t="shared" si="7"/>
        <v>554.91728598141401</v>
      </c>
      <c r="AX52" s="117">
        <f t="shared" si="8"/>
        <v>508.29657941615443</v>
      </c>
      <c r="AY52" s="117">
        <f t="shared" si="9"/>
        <v>341.55411015729572</v>
      </c>
    </row>
    <row r="53" spans="21:51" x14ac:dyDescent="0.15">
      <c r="U53" s="83">
        <v>9</v>
      </c>
      <c r="V53" s="60">
        <f>基础信息!D58</f>
        <v>47.5</v>
      </c>
      <c r="W53" s="61">
        <f>基础信息!E58</f>
        <v>244.70123896107964</v>
      </c>
      <c r="X53" s="61">
        <f>基础信息!F58</f>
        <v>84.446314672957783</v>
      </c>
      <c r="Y53" s="100">
        <f t="shared" si="28"/>
        <v>43.716565104046119</v>
      </c>
      <c r="Z53" s="100">
        <f t="shared" si="29"/>
        <v>40.984279785043235</v>
      </c>
      <c r="AA53" s="100">
        <f t="shared" si="30"/>
        <v>22.951196679624214</v>
      </c>
      <c r="AB53" s="100">
        <f t="shared" si="31"/>
        <v>1.6393711914017293</v>
      </c>
      <c r="AC53" s="100">
        <f t="shared" si="32"/>
        <v>0</v>
      </c>
      <c r="AD53" s="83">
        <f>SUM(Y$45:Y53)</f>
        <v>109.35607587403305</v>
      </c>
      <c r="AE53" s="83">
        <f>SUM(Z$45:Z53)</f>
        <v>83.457108510845927</v>
      </c>
      <c r="AF53" s="83">
        <f>SUM(AA$45:AA53)</f>
        <v>38.152185568977551</v>
      </c>
      <c r="AG53" s="83">
        <f>SUM(AB$45:AB53)</f>
        <v>2.4137351244318905</v>
      </c>
      <c r="AH53" s="83">
        <f>SUM(AC$45:AC53)</f>
        <v>0</v>
      </c>
      <c r="AI53" s="100">
        <f t="shared" si="33"/>
        <v>69964.183349711762</v>
      </c>
      <c r="AJ53" s="100">
        <f t="shared" si="34"/>
        <v>1166.8955253914419</v>
      </c>
      <c r="AK53" s="116">
        <f t="shared" si="35"/>
        <v>3455.6854434919483</v>
      </c>
      <c r="AL53" s="103">
        <f>IFERROR(求节点('六艺&amp;奇遇'!$T$5:$T$113,'六艺&amp;奇遇'!$U$5:$U$113,AK53),0)</f>
        <v>6273.4112660951687</v>
      </c>
      <c r="AM53" s="103">
        <f>IFERROR(求节点('六艺&amp;奇遇'!$T$5:$T$113,'六艺&amp;奇遇'!V$5:V$113,$AK53),0)</f>
        <v>0</v>
      </c>
      <c r="AN53" s="103">
        <f>IFERROR(求节点('六艺&amp;奇遇'!$T$5:$T$113,'六艺&amp;奇遇'!W$5:W$113,$AK53),0)</f>
        <v>0</v>
      </c>
      <c r="AO53" s="103">
        <f>IFERROR(求节点('六艺&amp;奇遇'!$T$5:$T$113,'六艺&amp;奇遇'!X$5:X$113,$AK53),0)</f>
        <v>0</v>
      </c>
      <c r="AP53" s="103">
        <f>IFERROR(求节点('六艺&amp;奇遇'!$T$5:$T$113,'六艺&amp;奇遇'!Y$5:Y$113,$AK53),0)</f>
        <v>0</v>
      </c>
      <c r="AQ53" s="103">
        <f>IFERROR(求节点('六艺&amp;奇遇'!$T$5:$T$113,'六艺&amp;奇遇'!Z$5:Z$113,$AK53),0)</f>
        <v>0</v>
      </c>
      <c r="AT53" s="117">
        <v>49</v>
      </c>
      <c r="AU53" s="117">
        <f t="shared" si="5"/>
        <v>636.97543224826563</v>
      </c>
      <c r="AV53" s="117">
        <f t="shared" si="6"/>
        <v>641.46493278712035</v>
      </c>
      <c r="AW53" s="117">
        <f t="shared" si="7"/>
        <v>630.34468218777681</v>
      </c>
      <c r="AX53" s="117">
        <f t="shared" si="8"/>
        <v>588.81708782068688</v>
      </c>
      <c r="AY53" s="117">
        <f t="shared" si="9"/>
        <v>399.78009413927327</v>
      </c>
    </row>
    <row r="54" spans="21:51" x14ac:dyDescent="0.15">
      <c r="U54" s="83">
        <v>10</v>
      </c>
      <c r="V54" s="60">
        <f>基础信息!D59</f>
        <v>52</v>
      </c>
      <c r="W54" s="61">
        <f>基础信息!E59</f>
        <v>473.91181132163672</v>
      </c>
      <c r="X54" s="61">
        <f>基础信息!F59</f>
        <v>94.309081972684396</v>
      </c>
      <c r="Y54" s="100">
        <f t="shared" si="28"/>
        <v>80.223700326194987</v>
      </c>
      <c r="Z54" s="100">
        <f t="shared" si="29"/>
        <v>85.953964635208905</v>
      </c>
      <c r="AA54" s="100">
        <f t="shared" si="30"/>
        <v>58.448695951942057</v>
      </c>
      <c r="AB54" s="100">
        <f t="shared" si="31"/>
        <v>4.5842114472111426</v>
      </c>
      <c r="AC54" s="100">
        <f t="shared" si="32"/>
        <v>0</v>
      </c>
      <c r="AD54" s="83">
        <f>SUM(Y$45:Y54)</f>
        <v>189.57977620022803</v>
      </c>
      <c r="AE54" s="83">
        <f>SUM(Z$45:Z54)</f>
        <v>169.41107314605483</v>
      </c>
      <c r="AF54" s="83">
        <f>SUM(AA$45:AA54)</f>
        <v>96.600881520919614</v>
      </c>
      <c r="AG54" s="83">
        <f>SUM(AB$45:AB54)</f>
        <v>6.9979465716430331</v>
      </c>
      <c r="AH54" s="83">
        <f>SUM(AC$45:AC54)</f>
        <v>0</v>
      </c>
      <c r="AI54" s="100">
        <f t="shared" si="33"/>
        <v>155975.45062801079</v>
      </c>
      <c r="AJ54" s="100">
        <f t="shared" si="34"/>
        <v>2312.9483871942275</v>
      </c>
      <c r="AK54" s="116">
        <f t="shared" si="35"/>
        <v>7123.0546012608611</v>
      </c>
      <c r="AL54" s="103">
        <f>IFERROR(求节点('六艺&amp;奇遇'!$T$5:$T$113,'六艺&amp;奇遇'!$U$5:$U$113,AK54),0)</f>
        <v>8136.9163803782585</v>
      </c>
      <c r="AM54" s="103">
        <f>IFERROR(求节点('六艺&amp;奇遇'!$T$5:$T$113,'六艺&amp;奇遇'!V$5:V$113,$AK54),0)</f>
        <v>0</v>
      </c>
      <c r="AN54" s="103">
        <f>IFERROR(求节点('六艺&amp;奇遇'!$T$5:$T$113,'六艺&amp;奇遇'!W$5:W$113,$AK54),0)</f>
        <v>0</v>
      </c>
      <c r="AO54" s="103">
        <f>IFERROR(求节点('六艺&amp;奇遇'!$T$5:$T$113,'六艺&amp;奇遇'!X$5:X$113,$AK54),0)</f>
        <v>0</v>
      </c>
      <c r="AP54" s="103">
        <f>IFERROR(求节点('六艺&amp;奇遇'!$T$5:$T$113,'六艺&amp;奇遇'!Y$5:Y$113,$AK54),0)</f>
        <v>0</v>
      </c>
      <c r="AQ54" s="103">
        <f>IFERROR(求节点('六艺&amp;奇遇'!$T$5:$T$113,'六艺&amp;奇遇'!Z$5:Z$113,$AK54),0)</f>
        <v>0</v>
      </c>
      <c r="AT54" s="117">
        <v>50</v>
      </c>
      <c r="AU54" s="117">
        <f t="shared" si="5"/>
        <v>745.33397500231013</v>
      </c>
      <c r="AV54" s="117">
        <f t="shared" si="6"/>
        <v>732.10295321919989</v>
      </c>
      <c r="AW54" s="117">
        <f t="shared" si="7"/>
        <v>732.96769073074233</v>
      </c>
      <c r="AX54" s="117">
        <f t="shared" si="8"/>
        <v>676.73971218531858</v>
      </c>
      <c r="AY54" s="117">
        <f t="shared" si="9"/>
        <v>458.00607812125082</v>
      </c>
    </row>
    <row r="55" spans="21:51" x14ac:dyDescent="0.15">
      <c r="U55" s="83">
        <v>11</v>
      </c>
      <c r="V55" s="60">
        <f>基础信息!D60</f>
        <v>57</v>
      </c>
      <c r="W55" s="61">
        <f>基础信息!E60</f>
        <v>988.69490566221691</v>
      </c>
      <c r="X55" s="61">
        <f>基础信息!F60</f>
        <v>104.93378702762401</v>
      </c>
      <c r="Y55" s="100">
        <f t="shared" si="28"/>
        <v>152.37579592481177</v>
      </c>
      <c r="Z55" s="100">
        <f t="shared" si="29"/>
        <v>191.49931109469588</v>
      </c>
      <c r="AA55" s="100">
        <f t="shared" si="30"/>
        <v>156.44258237010234</v>
      </c>
      <c r="AB55" s="100">
        <f t="shared" si="31"/>
        <v>14.413926641536245</v>
      </c>
      <c r="AC55" s="100">
        <f t="shared" si="32"/>
        <v>5.1478309434058019E-2</v>
      </c>
      <c r="AD55" s="83">
        <f>SUM(Y$45:Y55)</f>
        <v>341.95557212503979</v>
      </c>
      <c r="AE55" s="83">
        <f>SUM(Z$45:Z55)</f>
        <v>360.91038424075072</v>
      </c>
      <c r="AF55" s="83">
        <f>SUM(AA$45:AA55)</f>
        <v>253.04346389102196</v>
      </c>
      <c r="AG55" s="83">
        <f>SUM(AB$45:AB55)</f>
        <v>21.411873213179277</v>
      </c>
      <c r="AH55" s="83">
        <f>SUM(AC$45:AC55)</f>
        <v>5.1478309434058019E-2</v>
      </c>
      <c r="AI55" s="100">
        <f t="shared" si="33"/>
        <v>372544.69841709291</v>
      </c>
      <c r="AJ55" s="100">
        <f t="shared" si="34"/>
        <v>4886.863858897128</v>
      </c>
      <c r="AK55" s="116">
        <f t="shared" si="35"/>
        <v>15539.758193729347</v>
      </c>
      <c r="AL55" s="103">
        <f>IFERROR(求节点('六艺&amp;奇遇'!$T$5:$T$113,'六艺&amp;奇遇'!$U$5:$U$113,AK55),0)</f>
        <v>10661.927458118804</v>
      </c>
      <c r="AM55" s="103">
        <f>IFERROR(求节点('六艺&amp;奇遇'!$T$5:$T$113,'六艺&amp;奇遇'!V$5:V$113,$AK55),0)</f>
        <v>0</v>
      </c>
      <c r="AN55" s="103">
        <f>IFERROR(求节点('六艺&amp;奇遇'!$T$5:$T$113,'六艺&amp;奇遇'!W$5:W$113,$AK55),0)</f>
        <v>0</v>
      </c>
      <c r="AO55" s="103">
        <f>IFERROR(求节点('六艺&amp;奇遇'!$T$5:$T$113,'六艺&amp;奇遇'!X$5:X$113,$AK55),0)</f>
        <v>0</v>
      </c>
      <c r="AP55" s="103">
        <f>IFERROR(求节点('六艺&amp;奇遇'!$T$5:$T$113,'六艺&amp;奇遇'!Y$5:Y$113,$AK55),0)</f>
        <v>0</v>
      </c>
      <c r="AQ55" s="103">
        <f>IFERROR(求节点('六艺&amp;奇遇'!$T$5:$T$113,'六艺&amp;奇遇'!Z$5:Z$113,$AK55),0)</f>
        <v>0</v>
      </c>
      <c r="AT55" s="117">
        <v>51</v>
      </c>
      <c r="AU55" s="117">
        <f t="shared" si="5"/>
        <v>853.69251775635462</v>
      </c>
      <c r="AV55" s="117">
        <f t="shared" si="6"/>
        <v>822.74097365127932</v>
      </c>
      <c r="AW55" s="117">
        <f t="shared" si="7"/>
        <v>901.99150532766032</v>
      </c>
      <c r="AX55" s="117">
        <f t="shared" si="8"/>
        <v>764.66233654995028</v>
      </c>
      <c r="AY55" s="117">
        <f t="shared" si="9"/>
        <v>516.23206210322837</v>
      </c>
    </row>
    <row r="56" spans="21:51" x14ac:dyDescent="0.15">
      <c r="U56" s="83">
        <v>12</v>
      </c>
      <c r="V56" s="60">
        <f>基础信息!D61</f>
        <v>62</v>
      </c>
      <c r="W56" s="61">
        <f>基础信息!E61</f>
        <v>2058.8113773623186</v>
      </c>
      <c r="X56" s="61">
        <f>基础信息!F61</f>
        <v>115.63935175516689</v>
      </c>
      <c r="Y56" s="100">
        <f t="shared" si="28"/>
        <v>291.07168030242764</v>
      </c>
      <c r="Z56" s="100">
        <f t="shared" si="29"/>
        <v>410.924725132839</v>
      </c>
      <c r="AA56" s="100">
        <f t="shared" si="30"/>
        <v>329.38184998929131</v>
      </c>
      <c r="AB56" s="100">
        <f t="shared" si="31"/>
        <v>38.524192981203662</v>
      </c>
      <c r="AC56" s="100">
        <f t="shared" si="32"/>
        <v>0.21402329434002032</v>
      </c>
      <c r="AD56" s="83">
        <f>SUM(Y$45:Y56)</f>
        <v>633.02725242746737</v>
      </c>
      <c r="AE56" s="83">
        <f>SUM(Z$45:Z56)</f>
        <v>771.83510937358972</v>
      </c>
      <c r="AF56" s="83">
        <f>SUM(AA$45:AA56)</f>
        <v>582.4253138803133</v>
      </c>
      <c r="AG56" s="83">
        <f>SUM(AB$45:AB56)</f>
        <v>59.936066194382938</v>
      </c>
      <c r="AH56" s="83">
        <f>SUM(AC$45:AC56)</f>
        <v>0.26550160377407833</v>
      </c>
      <c r="AI56" s="100">
        <f t="shared" si="33"/>
        <v>857735.5066859189</v>
      </c>
      <c r="AJ56" s="100">
        <f t="shared" si="34"/>
        <v>10237.446217397635</v>
      </c>
      <c r="AK56" s="116">
        <f t="shared" si="35"/>
        <v>33410.703271121041</v>
      </c>
      <c r="AL56" s="103">
        <f>IFERROR(求节点('六艺&amp;奇遇'!$T$5:$T$113,'六艺&amp;奇遇'!$U$5:$U$113,AK56),0)</f>
        <v>16023.210981336313</v>
      </c>
      <c r="AM56" s="103">
        <f>IFERROR(求节点('六艺&amp;奇遇'!$T$5:$T$113,'六艺&amp;奇遇'!V$5:V$113,$AK56),0)</f>
        <v>0</v>
      </c>
      <c r="AN56" s="103">
        <f>IFERROR(求节点('六艺&amp;奇遇'!$T$5:$T$113,'六艺&amp;奇遇'!W$5:W$113,$AK56),0)</f>
        <v>0</v>
      </c>
      <c r="AO56" s="103">
        <f>IFERROR(求节点('六艺&amp;奇遇'!$T$5:$T$113,'六艺&amp;奇遇'!X$5:X$113,$AK56),0)</f>
        <v>0</v>
      </c>
      <c r="AP56" s="103">
        <f>IFERROR(求节点('六艺&amp;奇遇'!$T$5:$T$113,'六艺&amp;奇遇'!Y$5:Y$113,$AK56),0)</f>
        <v>0</v>
      </c>
      <c r="AQ56" s="103">
        <f>IFERROR(求节点('六艺&amp;奇遇'!$T$5:$T$113,'六艺&amp;奇遇'!Z$5:Z$113,$AK56),0)</f>
        <v>0</v>
      </c>
      <c r="AT56" s="117">
        <v>52</v>
      </c>
      <c r="AU56" s="117">
        <f t="shared" si="5"/>
        <v>962.05106051039922</v>
      </c>
      <c r="AV56" s="117">
        <f t="shared" si="6"/>
        <v>1025.0447035166778</v>
      </c>
      <c r="AW56" s="117">
        <f t="shared" si="7"/>
        <v>1071.0153199245783</v>
      </c>
      <c r="AX56" s="117">
        <f t="shared" si="8"/>
        <v>852.58496091458198</v>
      </c>
      <c r="AY56" s="117">
        <f t="shared" si="9"/>
        <v>574.45804608520598</v>
      </c>
    </row>
    <row r="57" spans="21:51" x14ac:dyDescent="0.15">
      <c r="U57" s="83">
        <v>13</v>
      </c>
      <c r="V57" s="60">
        <f>基础信息!D62</f>
        <v>67</v>
      </c>
      <c r="W57" s="61">
        <f>基础信息!E62</f>
        <v>4280.1298868004114</v>
      </c>
      <c r="X57" s="61">
        <f>基础信息!F62</f>
        <v>126.19151638854794</v>
      </c>
      <c r="Y57" s="100">
        <f t="shared" si="28"/>
        <v>595.3133605294089</v>
      </c>
      <c r="Z57" s="100">
        <f t="shared" si="29"/>
        <v>846.3223520959134</v>
      </c>
      <c r="AA57" s="100">
        <f t="shared" si="30"/>
        <v>692.38497939185379</v>
      </c>
      <c r="AB57" s="100">
        <f t="shared" si="31"/>
        <v>86.631421868085638</v>
      </c>
      <c r="AC57" s="100">
        <f t="shared" si="32"/>
        <v>0.66639555283142782</v>
      </c>
      <c r="AD57" s="83">
        <f>SUM(Y$45:Y57)</f>
        <v>1228.3406129568762</v>
      </c>
      <c r="AE57" s="83">
        <f>SUM(Z$45:Z57)</f>
        <v>1618.1574614695032</v>
      </c>
      <c r="AF57" s="83">
        <f>SUM(AA$45:AA57)</f>
        <v>1274.8102932721672</v>
      </c>
      <c r="AG57" s="83">
        <f>SUM(AB$45:AB57)</f>
        <v>146.56748806246858</v>
      </c>
      <c r="AH57" s="83">
        <f>SUM(AC$45:AC57)</f>
        <v>0.93189715660550609</v>
      </c>
      <c r="AI57" s="100">
        <f t="shared" si="33"/>
        <v>1919192.5564209116</v>
      </c>
      <c r="AJ57" s="100">
        <f t="shared" si="34"/>
        <v>21344.038764588098</v>
      </c>
      <c r="AK57" s="116">
        <f t="shared" si="35"/>
        <v>70728.854229681005</v>
      </c>
      <c r="AL57" s="103">
        <f>IFERROR(求节点('六艺&amp;奇遇'!$T$5:$T$113,'六艺&amp;奇遇'!$U$5:$U$113,AK57),0)</f>
        <v>26400</v>
      </c>
      <c r="AM57" s="103">
        <f>IFERROR(求节点('六艺&amp;奇遇'!$T$5:$T$113,'六艺&amp;奇遇'!V$5:V$113,$AK57),0)</f>
        <v>0</v>
      </c>
      <c r="AN57" s="103">
        <f>IFERROR(求节点('六艺&amp;奇遇'!$T$5:$T$113,'六艺&amp;奇遇'!W$5:W$113,$AK57),0)</f>
        <v>0</v>
      </c>
      <c r="AO57" s="103">
        <f>IFERROR(求节点('六艺&amp;奇遇'!$T$5:$T$113,'六艺&amp;奇遇'!X$5:X$113,$AK57),0)</f>
        <v>0</v>
      </c>
      <c r="AP57" s="103">
        <f>IFERROR(求节点('六艺&amp;奇遇'!$T$5:$T$113,'六艺&amp;奇遇'!Y$5:Y$113,$AK57),0)</f>
        <v>0</v>
      </c>
      <c r="AQ57" s="103">
        <f>IFERROR(求节点('六艺&amp;奇遇'!$T$5:$T$113,'六艺&amp;奇遇'!Z$5:Z$113,$AK57),0)</f>
        <v>0</v>
      </c>
      <c r="AT57" s="117">
        <v>53</v>
      </c>
      <c r="AU57" s="117">
        <f t="shared" si="5"/>
        <v>1169.783041355432</v>
      </c>
      <c r="AV57" s="117">
        <f t="shared" si="6"/>
        <v>1232.969073368841</v>
      </c>
      <c r="AW57" s="117">
        <f t="shared" si="7"/>
        <v>1240.0391345214962</v>
      </c>
      <c r="AX57" s="117">
        <f t="shared" si="8"/>
        <v>940.5075852792138</v>
      </c>
      <c r="AY57" s="117">
        <f t="shared" si="9"/>
        <v>632.68403006718347</v>
      </c>
    </row>
    <row r="58" spans="21:51" x14ac:dyDescent="0.15">
      <c r="U58" s="83">
        <v>14</v>
      </c>
      <c r="V58" s="60">
        <f>基础信息!D63</f>
        <v>72</v>
      </c>
      <c r="W58" s="61">
        <f>基础信息!E63</f>
        <v>8884.9230377523691</v>
      </c>
      <c r="X58" s="61">
        <f>基础信息!F63</f>
        <v>136.8190741194654</v>
      </c>
      <c r="Y58" s="100">
        <f t="shared" si="28"/>
        <v>1215.6653918513168</v>
      </c>
      <c r="Z58" s="100">
        <f t="shared" si="29"/>
        <v>1740.6118110598397</v>
      </c>
      <c r="AA58" s="100">
        <f t="shared" si="30"/>
        <v>1453.2727184404378</v>
      </c>
      <c r="AB58" s="100">
        <f t="shared" si="31"/>
        <v>193.40131233998227</v>
      </c>
      <c r="AC58" s="100">
        <f t="shared" si="32"/>
        <v>1.8419172603807832</v>
      </c>
      <c r="AD58" s="83">
        <f>SUM(Y$45:Y58)</f>
        <v>2444.0060048081932</v>
      </c>
      <c r="AE58" s="83">
        <f>SUM(Z$45:Z58)</f>
        <v>3358.7692725293427</v>
      </c>
      <c r="AF58" s="83">
        <f>SUM(AA$45:AA58)</f>
        <v>2728.0830117126052</v>
      </c>
      <c r="AG58" s="83">
        <f>SUM(AB$45:AB58)</f>
        <v>339.96880040245082</v>
      </c>
      <c r="AH58" s="83">
        <f>SUM(AC$45:AC58)</f>
        <v>2.7738144169862893</v>
      </c>
      <c r="AI58" s="100">
        <f t="shared" si="33"/>
        <v>4232180.1561440798</v>
      </c>
      <c r="AJ58" s="100">
        <f t="shared" si="34"/>
        <v>44368.004519347887</v>
      </c>
      <c r="AK58" s="116">
        <f t="shared" si="35"/>
        <v>148549.85848076909</v>
      </c>
      <c r="AL58" s="103">
        <f>IFERROR(求节点('六艺&amp;奇遇'!$T$5:$T$113,'六艺&amp;奇遇'!$U$5:$U$113,AK58),0)</f>
        <v>26400</v>
      </c>
      <c r="AM58" s="103">
        <f>IFERROR(求节点('六艺&amp;奇遇'!$T$5:$T$113,'六艺&amp;奇遇'!V$5:V$113,$AK58),0)</f>
        <v>0</v>
      </c>
      <c r="AN58" s="103">
        <f>IFERROR(求节点('六艺&amp;奇遇'!$T$5:$T$113,'六艺&amp;奇遇'!W$5:W$113,$AK58),0)</f>
        <v>0</v>
      </c>
      <c r="AO58" s="103">
        <f>IFERROR(求节点('六艺&amp;奇遇'!$T$5:$T$113,'六艺&amp;奇遇'!X$5:X$113,$AK58),0)</f>
        <v>0</v>
      </c>
      <c r="AP58" s="103">
        <f>IFERROR(求节点('六艺&amp;奇遇'!$T$5:$T$113,'六艺&amp;奇遇'!Y$5:Y$113,$AK58),0)</f>
        <v>0</v>
      </c>
      <c r="AQ58" s="103">
        <f>IFERROR(求节点('六艺&amp;奇遇'!$T$5:$T$113,'六艺&amp;奇遇'!Z$5:Z$113,$AK58),0)</f>
        <v>0</v>
      </c>
      <c r="AT58" s="117">
        <v>54</v>
      </c>
      <c r="AU58" s="117">
        <f t="shared" si="5"/>
        <v>1402.5491604981023</v>
      </c>
      <c r="AV58" s="117">
        <f t="shared" si="6"/>
        <v>1440.893443221004</v>
      </c>
      <c r="AW58" s="117">
        <f t="shared" si="7"/>
        <v>1409.0629491184143</v>
      </c>
      <c r="AX58" s="117">
        <f t="shared" si="8"/>
        <v>1028.4302096438455</v>
      </c>
      <c r="AY58" s="117">
        <f t="shared" si="9"/>
        <v>690.91001404916096</v>
      </c>
    </row>
    <row r="59" spans="21:51" x14ac:dyDescent="0.15">
      <c r="U59" s="83">
        <v>15</v>
      </c>
      <c r="V59" s="60">
        <f>基础信息!D64</f>
        <v>77</v>
      </c>
      <c r="W59" s="61">
        <f>基础信息!E64</f>
        <v>18418.806603807832</v>
      </c>
      <c r="X59" s="61">
        <f>基础信息!F64</f>
        <v>147.45018844840658</v>
      </c>
      <c r="Y59" s="100">
        <f t="shared" si="28"/>
        <v>2478.8097271744205</v>
      </c>
      <c r="Z59" s="100">
        <f t="shared" si="29"/>
        <v>3575.2063372707989</v>
      </c>
      <c r="AA59" s="100">
        <f t="shared" si="30"/>
        <v>3046.0757993547213</v>
      </c>
      <c r="AB59" s="100">
        <f t="shared" si="31"/>
        <v>429.02476047249581</v>
      </c>
      <c r="AC59" s="100">
        <f t="shared" si="32"/>
        <v>4.7669417830277316</v>
      </c>
      <c r="AD59" s="83">
        <f>SUM(Y$45:Y59)</f>
        <v>4922.8157319826132</v>
      </c>
      <c r="AE59" s="83">
        <f>SUM(Z$45:Z59)</f>
        <v>6933.9756098001417</v>
      </c>
      <c r="AF59" s="83">
        <f>SUM(AA$45:AA59)</f>
        <v>5774.1588110673265</v>
      </c>
      <c r="AG59" s="83">
        <f>SUM(AB$45:AB59)</f>
        <v>768.99356087494664</v>
      </c>
      <c r="AH59" s="83">
        <f>SUM(AC$45:AC59)</f>
        <v>7.5407562000140214</v>
      </c>
      <c r="AI59" s="100">
        <f t="shared" si="33"/>
        <v>9254153.3245637938</v>
      </c>
      <c r="AJ59" s="100">
        <f t="shared" si="34"/>
        <v>92037.422349625209</v>
      </c>
      <c r="AK59" s="116">
        <f t="shared" si="35"/>
        <v>310625.87910371198</v>
      </c>
      <c r="AL59" s="103">
        <f>IFERROR(求节点('六艺&amp;奇遇'!$T$5:$T$113,'六艺&amp;奇遇'!$U$5:$U$113,AK59),0)</f>
        <v>26400</v>
      </c>
      <c r="AM59" s="103">
        <f>IFERROR(求节点('六艺&amp;奇遇'!$T$5:$T$113,'六艺&amp;奇遇'!V$5:V$113,$AK59),0)</f>
        <v>0</v>
      </c>
      <c r="AN59" s="103">
        <f>IFERROR(求节点('六艺&amp;奇遇'!$T$5:$T$113,'六艺&amp;奇遇'!W$5:W$113,$AK59),0)</f>
        <v>0</v>
      </c>
      <c r="AO59" s="103">
        <f>IFERROR(求节点('六艺&amp;奇遇'!$T$5:$T$113,'六艺&amp;奇遇'!X$5:X$113,$AK59),0)</f>
        <v>0</v>
      </c>
      <c r="AP59" s="103">
        <f>IFERROR(求节点('六艺&amp;奇遇'!$T$5:$T$113,'六艺&amp;奇遇'!Y$5:Y$113,$AK59),0)</f>
        <v>0</v>
      </c>
      <c r="AQ59" s="103">
        <f>IFERROR(求节点('六艺&amp;奇遇'!$T$5:$T$113,'六艺&amp;奇遇'!Z$5:Z$113,$AK59),0)</f>
        <v>0</v>
      </c>
      <c r="AT59" s="117">
        <v>55</v>
      </c>
      <c r="AU59" s="117">
        <f t="shared" si="5"/>
        <v>1635.3152796407726</v>
      </c>
      <c r="AV59" s="117">
        <f t="shared" si="6"/>
        <v>1648.8178130731671</v>
      </c>
      <c r="AW59" s="117">
        <f t="shared" si="7"/>
        <v>1578.0867637153324</v>
      </c>
      <c r="AX59" s="117">
        <f t="shared" si="8"/>
        <v>1116.3528340084772</v>
      </c>
      <c r="AY59" s="117">
        <f t="shared" si="9"/>
        <v>749.13599803113857</v>
      </c>
    </row>
    <row r="60" spans="21:51" x14ac:dyDescent="0.15">
      <c r="U60" s="83">
        <v>16</v>
      </c>
      <c r="V60" s="60">
        <f>基础信息!D65</f>
        <v>80</v>
      </c>
      <c r="W60" s="61">
        <f>基础信息!E65</f>
        <v>28507.724999999999</v>
      </c>
      <c r="X60" s="61">
        <f>基础信息!F65</f>
        <v>153.14946182958477</v>
      </c>
      <c r="Y60" s="100">
        <f t="shared" si="28"/>
        <v>2623.1187830099634</v>
      </c>
      <c r="Z60" s="100">
        <f t="shared" si="29"/>
        <v>3783.3443985720623</v>
      </c>
      <c r="AA60" s="100">
        <f t="shared" si="30"/>
        <v>3223.4094275833977</v>
      </c>
      <c r="AB60" s="100">
        <f t="shared" si="31"/>
        <v>454.00132782864745</v>
      </c>
      <c r="AC60" s="100">
        <f t="shared" si="32"/>
        <v>5.0444591980960833</v>
      </c>
      <c r="AD60" s="83">
        <f>SUM(Y$45:Y60)</f>
        <v>7545.9345149925766</v>
      </c>
      <c r="AE60" s="83">
        <f>SUM(Z$45:Z60)</f>
        <v>10717.320008372204</v>
      </c>
      <c r="AF60" s="83">
        <f>SUM(AA$45:AA60)</f>
        <v>8997.5682386507251</v>
      </c>
      <c r="AG60" s="83">
        <f>SUM(AB$45:AB60)</f>
        <v>1222.9948887035941</v>
      </c>
      <c r="AH60" s="83">
        <f>SUM(AC$45:AC60)</f>
        <v>12.585215398110105</v>
      </c>
      <c r="AI60" s="100">
        <f t="shared" si="33"/>
        <v>14770269.457681861</v>
      </c>
      <c r="AJ60" s="100">
        <f t="shared" si="34"/>
        <v>142482.01433058604</v>
      </c>
      <c r="AK60" s="116">
        <f t="shared" si="35"/>
        <v>482137.49183897884</v>
      </c>
      <c r="AL60" s="103">
        <f>IFERROR(求节点('六艺&amp;奇遇'!$T$5:$T$113,'六艺&amp;奇遇'!$U$5:$U$113,AK60),0)</f>
        <v>26400</v>
      </c>
      <c r="AM60" s="103">
        <f>IFERROR(求节点('六艺&amp;奇遇'!$T$5:$T$113,'六艺&amp;奇遇'!V$5:V$113,$AK60),0)</f>
        <v>0</v>
      </c>
      <c r="AN60" s="103">
        <f>IFERROR(求节点('六艺&amp;奇遇'!$T$5:$T$113,'六艺&amp;奇遇'!W$5:W$113,$AK60),0)</f>
        <v>0</v>
      </c>
      <c r="AO60" s="103">
        <f>IFERROR(求节点('六艺&amp;奇遇'!$T$5:$T$113,'六艺&amp;奇遇'!X$5:X$113,$AK60),0)</f>
        <v>0</v>
      </c>
      <c r="AP60" s="103">
        <f>IFERROR(求节点('六艺&amp;奇遇'!$T$5:$T$113,'六艺&amp;奇遇'!Y$5:Y$113,$AK60),0)</f>
        <v>0</v>
      </c>
      <c r="AQ60" s="103">
        <f>IFERROR(求节点('六艺&amp;奇遇'!$T$5:$T$113,'六艺&amp;奇遇'!Z$5:Z$113,$AK60),0)</f>
        <v>0</v>
      </c>
      <c r="AT60" s="117">
        <v>56</v>
      </c>
      <c r="AU60" s="117">
        <f t="shared" si="5"/>
        <v>1868.0813987834431</v>
      </c>
      <c r="AV60" s="117">
        <f t="shared" si="6"/>
        <v>1856.7421829253303</v>
      </c>
      <c r="AW60" s="117">
        <f t="shared" si="7"/>
        <v>1747.1105783122503</v>
      </c>
      <c r="AX60" s="117">
        <f t="shared" si="8"/>
        <v>1204.2754583731089</v>
      </c>
      <c r="AY60" s="117">
        <f t="shared" si="9"/>
        <v>818.61360996651229</v>
      </c>
    </row>
    <row r="61" spans="21:51" x14ac:dyDescent="0.15">
      <c r="AT61" s="117">
        <v>57</v>
      </c>
      <c r="AU61" s="117">
        <f t="shared" si="5"/>
        <v>2100.8475179261136</v>
      </c>
      <c r="AV61" s="117">
        <f t="shared" si="6"/>
        <v>2064.6665527774935</v>
      </c>
      <c r="AW61" s="117">
        <f t="shared" si="7"/>
        <v>1916.1343929091681</v>
      </c>
      <c r="AX61" s="117">
        <f t="shared" si="8"/>
        <v>1292.1980827377406</v>
      </c>
      <c r="AY61" s="117">
        <f t="shared" si="9"/>
        <v>965.82882372634356</v>
      </c>
    </row>
    <row r="62" spans="21:51" x14ac:dyDescent="0.15">
      <c r="AT62" s="117">
        <v>58</v>
      </c>
      <c r="AU62" s="117">
        <f t="shared" si="5"/>
        <v>2333.6136370687836</v>
      </c>
      <c r="AV62" s="117">
        <f t="shared" si="6"/>
        <v>2272.5909226296567</v>
      </c>
      <c r="AW62" s="117">
        <f t="shared" si="7"/>
        <v>2085.1582075060865</v>
      </c>
      <c r="AX62" s="117">
        <f t="shared" si="8"/>
        <v>1466.3359590528275</v>
      </c>
      <c r="AY62" s="117">
        <f t="shared" si="9"/>
        <v>1113.0440374861748</v>
      </c>
    </row>
    <row r="63" spans="21:51" ht="11.25" customHeight="1" x14ac:dyDescent="0.15">
      <c r="U63" s="83" t="s">
        <v>3</v>
      </c>
      <c r="Y63" s="128" t="s">
        <v>292</v>
      </c>
      <c r="Z63" s="128"/>
      <c r="AA63" s="128"/>
      <c r="AB63" s="128"/>
      <c r="AC63" s="128"/>
      <c r="AD63" s="128" t="s">
        <v>293</v>
      </c>
      <c r="AE63" s="128"/>
      <c r="AF63" s="128"/>
      <c r="AG63" s="128"/>
      <c r="AH63" s="128"/>
      <c r="AM63" s="128" t="s">
        <v>295</v>
      </c>
      <c r="AN63" s="128"/>
      <c r="AO63" s="128"/>
      <c r="AP63" s="128"/>
      <c r="AQ63" s="128"/>
      <c r="AT63" s="117">
        <v>59</v>
      </c>
      <c r="AU63" s="117">
        <f t="shared" si="5"/>
        <v>2566.3797562114542</v>
      </c>
      <c r="AV63" s="117">
        <f t="shared" si="6"/>
        <v>2480.5152924818199</v>
      </c>
      <c r="AW63" s="117">
        <f t="shared" si="7"/>
        <v>2257.243421808234</v>
      </c>
      <c r="AX63" s="117">
        <f t="shared" si="8"/>
        <v>1700.7180497890718</v>
      </c>
      <c r="AY63" s="117">
        <f t="shared" si="9"/>
        <v>1260.259251246006</v>
      </c>
    </row>
    <row r="64" spans="21:51" ht="22.5" x14ac:dyDescent="0.15">
      <c r="U64" s="83" t="s">
        <v>21</v>
      </c>
      <c r="V64" s="83" t="s">
        <v>121</v>
      </c>
      <c r="W64" s="81" t="s">
        <v>122</v>
      </c>
      <c r="X64" s="81" t="s">
        <v>103</v>
      </c>
      <c r="Y64" s="84" t="s">
        <v>8</v>
      </c>
      <c r="Z64" s="84" t="s">
        <v>9</v>
      </c>
      <c r="AA64" s="84" t="s">
        <v>10</v>
      </c>
      <c r="AB64" s="84" t="s">
        <v>11</v>
      </c>
      <c r="AC64" s="84" t="s">
        <v>12</v>
      </c>
      <c r="AD64" s="84" t="s">
        <v>8</v>
      </c>
      <c r="AE64" s="84" t="s">
        <v>9</v>
      </c>
      <c r="AF64" s="84" t="s">
        <v>10</v>
      </c>
      <c r="AG64" s="84" t="s">
        <v>11</v>
      </c>
      <c r="AH64" s="84" t="s">
        <v>12</v>
      </c>
      <c r="AI64" s="84" t="s">
        <v>194</v>
      </c>
      <c r="AJ64" s="101" t="s">
        <v>270</v>
      </c>
      <c r="AK64" s="101" t="s">
        <v>271</v>
      </c>
      <c r="AL64" s="104" t="s">
        <v>294</v>
      </c>
      <c r="AM64" s="104" t="s">
        <v>8</v>
      </c>
      <c r="AN64" s="104" t="s">
        <v>9</v>
      </c>
      <c r="AO64" s="104" t="s">
        <v>10</v>
      </c>
      <c r="AP64" s="104" t="s">
        <v>11</v>
      </c>
      <c r="AQ64" s="104" t="s">
        <v>12</v>
      </c>
      <c r="AT64" s="117">
        <v>60</v>
      </c>
      <c r="AU64" s="117">
        <f t="shared" si="5"/>
        <v>2799.1458753541247</v>
      </c>
      <c r="AV64" s="117">
        <f t="shared" si="6"/>
        <v>2688.4396623339826</v>
      </c>
      <c r="AW64" s="117">
        <f t="shared" si="7"/>
        <v>2441.8192338010526</v>
      </c>
      <c r="AX64" s="117">
        <f t="shared" si="8"/>
        <v>1935.100140525316</v>
      </c>
      <c r="AY64" s="117">
        <f t="shared" si="9"/>
        <v>1407.4744650058374</v>
      </c>
    </row>
    <row r="65" spans="21:51" x14ac:dyDescent="0.15">
      <c r="U65" s="83">
        <v>1</v>
      </c>
      <c r="V65" s="60">
        <f>基础信息!D70</f>
        <v>16</v>
      </c>
      <c r="W65" s="61">
        <f>基础信息!E70</f>
        <v>1.0155087681570587</v>
      </c>
      <c r="X65" s="61">
        <f>基础信息!F70</f>
        <v>15.589627930182091</v>
      </c>
      <c r="Y65" s="83">
        <v>0</v>
      </c>
      <c r="Z65" s="83">
        <v>0</v>
      </c>
      <c r="AA65" s="83">
        <v>0</v>
      </c>
      <c r="AB65" s="83">
        <v>0</v>
      </c>
      <c r="AC65" s="83">
        <v>0</v>
      </c>
      <c r="AD65" s="83">
        <f>SUM(Y$65:Y65)</f>
        <v>0</v>
      </c>
      <c r="AE65" s="83">
        <f>SUM(Z$65:Z65)</f>
        <v>0</v>
      </c>
      <c r="AF65" s="83">
        <f>SUM(AA$65:AA65)</f>
        <v>0</v>
      </c>
      <c r="AG65" s="83">
        <f>SUM(AB$65:AB65)</f>
        <v>0</v>
      </c>
      <c r="AH65" s="83">
        <f>SUM(AC$65:AC65)</f>
        <v>0</v>
      </c>
      <c r="AI65" s="83">
        <v>0</v>
      </c>
      <c r="AJ65" s="100">
        <v>0</v>
      </c>
      <c r="AK65" s="100">
        <v>0</v>
      </c>
      <c r="AL65" s="103">
        <f>IFERROR(求节点('六艺&amp;奇遇'!$T$5:$T$113,'六艺&amp;奇遇'!$U$5:$U$113,AK65),0)</f>
        <v>0</v>
      </c>
      <c r="AM65" s="103">
        <f>IFERROR(求节点('六艺&amp;奇遇'!$T$5:$T$113,'六艺&amp;奇遇'!V$5:V$113,$AK65),0)</f>
        <v>0</v>
      </c>
      <c r="AN65" s="103">
        <f>IFERROR(求节点('六艺&amp;奇遇'!$T$5:$T$113,'六艺&amp;奇遇'!W$5:W$113,$AK65),0)</f>
        <v>0</v>
      </c>
      <c r="AO65" s="103">
        <f>IFERROR(求节点('六艺&amp;奇遇'!$T$5:$T$113,'六艺&amp;奇遇'!X$5:X$113,$AK65),0)</f>
        <v>0</v>
      </c>
      <c r="AP65" s="103">
        <f>IFERROR(求节点('六艺&amp;奇遇'!$T$5:$T$113,'六艺&amp;奇遇'!Y$5:Y$113,$AK65),0)</f>
        <v>0</v>
      </c>
      <c r="AQ65" s="103">
        <f>IFERROR(求节点('六艺&amp;奇遇'!$T$5:$T$113,'六艺&amp;奇遇'!Z$5:Z$113,$AK65),0)</f>
        <v>0</v>
      </c>
      <c r="AT65" s="117">
        <v>61</v>
      </c>
      <c r="AU65" s="117">
        <f t="shared" si="5"/>
        <v>3031.9119944967952</v>
      </c>
      <c r="AV65" s="117">
        <f t="shared" si="6"/>
        <v>2857.9850184457041</v>
      </c>
      <c r="AW65" s="117">
        <f t="shared" si="7"/>
        <v>2626.3950457938718</v>
      </c>
      <c r="AX65" s="117">
        <f t="shared" si="8"/>
        <v>2169.4822312615606</v>
      </c>
      <c r="AY65" s="117">
        <f t="shared" si="9"/>
        <v>1554.6896787656688</v>
      </c>
    </row>
    <row r="66" spans="21:51" x14ac:dyDescent="0.15">
      <c r="U66" s="83">
        <v>2</v>
      </c>
      <c r="V66" s="60">
        <f>基础信息!D71</f>
        <v>19.5</v>
      </c>
      <c r="W66" s="61">
        <f>基础信息!E71</f>
        <v>1.9291590128661831</v>
      </c>
      <c r="X66" s="61">
        <f>基础信息!F71</f>
        <v>22.124520244011151</v>
      </c>
      <c r="Y66" s="100">
        <f>($W66-$W65)*N5</f>
        <v>0</v>
      </c>
      <c r="Z66" s="100">
        <f t="shared" ref="Z66:AC66" si="36">($W66-$W65)*O5</f>
        <v>0</v>
      </c>
      <c r="AA66" s="100">
        <f t="shared" si="36"/>
        <v>0</v>
      </c>
      <c r="AB66" s="100">
        <f t="shared" si="36"/>
        <v>0</v>
      </c>
      <c r="AC66" s="100">
        <f t="shared" si="36"/>
        <v>0</v>
      </c>
      <c r="AD66" s="83">
        <f>SUM(Y$65:Y66)</f>
        <v>0</v>
      </c>
      <c r="AE66" s="83">
        <f>SUM(Z$65:Z66)</f>
        <v>0</v>
      </c>
      <c r="AF66" s="83">
        <f>SUM(AA$65:AA66)</f>
        <v>0</v>
      </c>
      <c r="AG66" s="83">
        <f>SUM(AB$65:AB66)</f>
        <v>0</v>
      </c>
      <c r="AH66" s="83">
        <f>SUM(AC$65:AC66)</f>
        <v>0</v>
      </c>
      <c r="AI66" s="100">
        <f>M5*(W66-W65)+AI65</f>
        <v>91.365024470912431</v>
      </c>
      <c r="AJ66" s="100">
        <f>I5*(W66-W65)+AJ65</f>
        <v>0</v>
      </c>
      <c r="AK66" s="100">
        <f>IFERROR(I5*(W66-W65)*SUMPRODUCT(D5:H5,$D$27:$H$27)/SUM(D5:H5)+AK65,0)</f>
        <v>0</v>
      </c>
      <c r="AL66" s="103">
        <f>IFERROR(求节点('六艺&amp;奇遇'!$T$5:$T$113,'六艺&amp;奇遇'!$U$5:$U$113,AK66),0)</f>
        <v>0</v>
      </c>
      <c r="AM66" s="103">
        <f>IFERROR(求节点('六艺&amp;奇遇'!$T$5:$T$113,'六艺&amp;奇遇'!V$5:V$113,$AK66),0)</f>
        <v>0</v>
      </c>
      <c r="AN66" s="103">
        <f>IFERROR(求节点('六艺&amp;奇遇'!$T$5:$T$113,'六艺&amp;奇遇'!W$5:W$113,$AK66),0)</f>
        <v>0</v>
      </c>
      <c r="AO66" s="103">
        <f>IFERROR(求节点('六艺&amp;奇遇'!$T$5:$T$113,'六艺&amp;奇遇'!X$5:X$113,$AK66),0)</f>
        <v>0</v>
      </c>
      <c r="AP66" s="103">
        <f>IFERROR(求节点('六艺&amp;奇遇'!$T$5:$T$113,'六艺&amp;奇遇'!Y$5:Y$113,$AK66),0)</f>
        <v>0</v>
      </c>
      <c r="AQ66" s="103">
        <f>IFERROR(求节点('六艺&amp;奇遇'!$T$5:$T$113,'六艺&amp;奇遇'!Z$5:Z$113,$AK66),0)</f>
        <v>0</v>
      </c>
      <c r="AT66" s="117">
        <v>62</v>
      </c>
      <c r="AU66" s="117">
        <f t="shared" si="5"/>
        <v>3189.0679668570506</v>
      </c>
      <c r="AV66" s="117">
        <f t="shared" si="6"/>
        <v>3024.3209892830832</v>
      </c>
      <c r="AW66" s="117">
        <f t="shared" si="7"/>
        <v>2810.9708577866904</v>
      </c>
      <c r="AX66" s="117">
        <f t="shared" si="8"/>
        <v>2403.8643219978048</v>
      </c>
      <c r="AY66" s="117">
        <f t="shared" si="9"/>
        <v>1701.9048925254999</v>
      </c>
    </row>
    <row r="67" spans="21:51" x14ac:dyDescent="0.15">
      <c r="U67" s="83">
        <v>3</v>
      </c>
      <c r="V67" s="60">
        <f>基础信息!D72</f>
        <v>23.5</v>
      </c>
      <c r="W67" s="61">
        <f>基础信息!E72</f>
        <v>3.8620055508637692</v>
      </c>
      <c r="X67" s="61">
        <f>基础信息!F72</f>
        <v>30.385092920099169</v>
      </c>
      <c r="Y67" s="100">
        <f t="shared" ref="Y67:Y80" si="37">($W67-$W66)*N6</f>
        <v>0</v>
      </c>
      <c r="Z67" s="100">
        <f t="shared" ref="Z67:Z80" si="38">($W67-$W66)*O6</f>
        <v>0</v>
      </c>
      <c r="AA67" s="100">
        <f t="shared" ref="AA67:AA80" si="39">($W67-$W66)*P6</f>
        <v>0</v>
      </c>
      <c r="AB67" s="100">
        <f t="shared" ref="AB67:AB80" si="40">($W67-$W66)*Q6</f>
        <v>0</v>
      </c>
      <c r="AC67" s="100">
        <f t="shared" ref="AC67:AC80" si="41">($W67-$W66)*R6</f>
        <v>0</v>
      </c>
      <c r="AD67" s="83">
        <f>SUM(Y$65:Y67)</f>
        <v>0</v>
      </c>
      <c r="AE67" s="83">
        <f>SUM(Z$65:Z67)</f>
        <v>0</v>
      </c>
      <c r="AF67" s="83">
        <f>SUM(AA$65:AA67)</f>
        <v>0</v>
      </c>
      <c r="AG67" s="83">
        <f>SUM(AB$65:AB67)</f>
        <v>0</v>
      </c>
      <c r="AH67" s="83">
        <f>SUM(AC$65:AC67)</f>
        <v>0</v>
      </c>
      <c r="AI67" s="100">
        <f t="shared" ref="AI67:AI80" si="42">M6*(W67-W66)+AI66</f>
        <v>303.97814365064687</v>
      </c>
      <c r="AJ67" s="100">
        <f t="shared" ref="AJ67:AJ80" si="43">I6*(W67-W66)+AJ66</f>
        <v>0</v>
      </c>
      <c r="AK67" s="116">
        <f t="shared" ref="AK67:AK80" si="44">IFERROR(I6*(W67-W66)*SUMPRODUCT(D6:H6,$D$27:$H$27)/SUM(D6:H6)+AK66,0)</f>
        <v>0</v>
      </c>
      <c r="AL67" s="103">
        <f>IFERROR(求节点('六艺&amp;奇遇'!$T$5:$T$113,'六艺&amp;奇遇'!$U$5:$U$113,AK67),0)</f>
        <v>0</v>
      </c>
      <c r="AM67" s="103">
        <f>IFERROR(求节点('六艺&amp;奇遇'!$T$5:$T$113,'六艺&amp;奇遇'!V$5:V$113,$AK67),0)</f>
        <v>0</v>
      </c>
      <c r="AN67" s="103">
        <f>IFERROR(求节点('六艺&amp;奇遇'!$T$5:$T$113,'六艺&amp;奇遇'!W$5:W$113,$AK67),0)</f>
        <v>0</v>
      </c>
      <c r="AO67" s="103">
        <f>IFERROR(求节点('六艺&amp;奇遇'!$T$5:$T$113,'六艺&amp;奇遇'!X$5:X$113,$AK67),0)</f>
        <v>0</v>
      </c>
      <c r="AP67" s="103">
        <f>IFERROR(求节点('六艺&amp;奇遇'!$T$5:$T$113,'六艺&amp;奇遇'!Y$5:Y$113,$AK67),0)</f>
        <v>0</v>
      </c>
      <c r="AQ67" s="103">
        <f>IFERROR(求节点('六艺&amp;奇遇'!$T$5:$T$113,'六艺&amp;奇遇'!Z$5:Z$113,$AK67),0)</f>
        <v>0</v>
      </c>
      <c r="AT67" s="117">
        <v>63</v>
      </c>
      <c r="AU67" s="117">
        <f t="shared" si="5"/>
        <v>3326.2219299471321</v>
      </c>
      <c r="AV67" s="117">
        <f t="shared" si="6"/>
        <v>3190.6569601204628</v>
      </c>
      <c r="AW67" s="117">
        <f t="shared" si="7"/>
        <v>2995.5466697795091</v>
      </c>
      <c r="AX67" s="117">
        <f t="shared" si="8"/>
        <v>2638.246412734049</v>
      </c>
      <c r="AY67" s="117">
        <f t="shared" si="9"/>
        <v>1849.1201062853311</v>
      </c>
    </row>
    <row r="68" spans="21:51" x14ac:dyDescent="0.15">
      <c r="U68" s="83">
        <v>4</v>
      </c>
      <c r="V68" s="60">
        <f>基础信息!D73</f>
        <v>27.5</v>
      </c>
      <c r="W68" s="61">
        <f>基础信息!E73</f>
        <v>7.5480892551941539</v>
      </c>
      <c r="X68" s="61">
        <f>基础信息!F73</f>
        <v>39.22082982715331</v>
      </c>
      <c r="Y68" s="100">
        <f t="shared" si="37"/>
        <v>0</v>
      </c>
      <c r="Z68" s="100">
        <f t="shared" si="38"/>
        <v>0</v>
      </c>
      <c r="AA68" s="100">
        <f t="shared" si="39"/>
        <v>0</v>
      </c>
      <c r="AB68" s="100">
        <f t="shared" si="40"/>
        <v>0</v>
      </c>
      <c r="AC68" s="100">
        <f t="shared" si="41"/>
        <v>0</v>
      </c>
      <c r="AD68" s="83">
        <f>SUM(Y$65:Y68)</f>
        <v>0</v>
      </c>
      <c r="AE68" s="83">
        <f>SUM(Z$65:Z68)</f>
        <v>0</v>
      </c>
      <c r="AF68" s="83">
        <f>SUM(AA$65:AA68)</f>
        <v>0</v>
      </c>
      <c r="AG68" s="83">
        <f>SUM(AB$65:AB68)</f>
        <v>0</v>
      </c>
      <c r="AH68" s="83">
        <f>SUM(AC$65:AC68)</f>
        <v>0</v>
      </c>
      <c r="AI68" s="100">
        <f t="shared" si="42"/>
        <v>746.30818817029308</v>
      </c>
      <c r="AJ68" s="100">
        <f t="shared" si="43"/>
        <v>0</v>
      </c>
      <c r="AK68" s="116">
        <f t="shared" si="44"/>
        <v>0</v>
      </c>
      <c r="AL68" s="103">
        <f>IFERROR(求节点('六艺&amp;奇遇'!$T$5:$T$113,'六艺&amp;奇遇'!$U$5:$U$113,AK68),0)</f>
        <v>0</v>
      </c>
      <c r="AM68" s="103">
        <f>IFERROR(求节点('六艺&amp;奇遇'!$T$5:$T$113,'六艺&amp;奇遇'!V$5:V$113,$AK68),0)</f>
        <v>0</v>
      </c>
      <c r="AN68" s="103">
        <f>IFERROR(求节点('六艺&amp;奇遇'!$T$5:$T$113,'六艺&amp;奇遇'!W$5:W$113,$AK68),0)</f>
        <v>0</v>
      </c>
      <c r="AO68" s="103">
        <f>IFERROR(求节点('六艺&amp;奇遇'!$T$5:$T$113,'六艺&amp;奇遇'!X$5:X$113,$AK68),0)</f>
        <v>0</v>
      </c>
      <c r="AP68" s="103">
        <f>IFERROR(求节点('六艺&amp;奇遇'!$T$5:$T$113,'六艺&amp;奇遇'!Y$5:Y$113,$AK68),0)</f>
        <v>0</v>
      </c>
      <c r="AQ68" s="103">
        <f>IFERROR(求节点('六艺&amp;奇遇'!$T$5:$T$113,'六艺&amp;奇遇'!Z$5:Z$113,$AK68),0)</f>
        <v>0</v>
      </c>
      <c r="AT68" s="117">
        <v>64</v>
      </c>
      <c r="AU68" s="117">
        <f t="shared" si="5"/>
        <v>3463.3758930372137</v>
      </c>
      <c r="AV68" s="117">
        <f t="shared" si="6"/>
        <v>3356.992930957842</v>
      </c>
      <c r="AW68" s="117">
        <f t="shared" si="7"/>
        <v>3180.1224817723278</v>
      </c>
      <c r="AX68" s="117">
        <f t="shared" si="8"/>
        <v>2872.6285034702933</v>
      </c>
      <c r="AY68" s="117">
        <f t="shared" si="9"/>
        <v>1996.3353200451625</v>
      </c>
    </row>
    <row r="69" spans="21:51" x14ac:dyDescent="0.15">
      <c r="U69" s="83">
        <v>5</v>
      </c>
      <c r="V69" s="60">
        <f>基础信息!D74</f>
        <v>31.5</v>
      </c>
      <c r="W69" s="61">
        <f>基础信息!E74</f>
        <v>14.515695505432269</v>
      </c>
      <c r="X69" s="61">
        <f>基础信息!F74</f>
        <v>48.246535012671018</v>
      </c>
      <c r="Y69" s="100">
        <f t="shared" si="37"/>
        <v>5.5740850001904931</v>
      </c>
      <c r="Z69" s="100">
        <f t="shared" si="38"/>
        <v>1.3935212500476233</v>
      </c>
      <c r="AA69" s="100">
        <f t="shared" si="39"/>
        <v>0</v>
      </c>
      <c r="AB69" s="100">
        <f t="shared" si="40"/>
        <v>0</v>
      </c>
      <c r="AC69" s="100">
        <f t="shared" si="41"/>
        <v>0</v>
      </c>
      <c r="AD69" s="83">
        <f>SUM(Y$65:Y69)</f>
        <v>5.5740850001904931</v>
      </c>
      <c r="AE69" s="83">
        <f>SUM(Z$65:Z69)</f>
        <v>1.3935212500476233</v>
      </c>
      <c r="AF69" s="83">
        <f>SUM(AA$65:AA69)</f>
        <v>0</v>
      </c>
      <c r="AG69" s="83">
        <f>SUM(AB$65:AB69)</f>
        <v>0</v>
      </c>
      <c r="AH69" s="83">
        <f>SUM(AC$65:AC69)</f>
        <v>0</v>
      </c>
      <c r="AI69" s="100">
        <f t="shared" si="42"/>
        <v>1895.9632194595822</v>
      </c>
      <c r="AJ69" s="100">
        <f t="shared" si="43"/>
        <v>34.838031251190579</v>
      </c>
      <c r="AK69" s="116">
        <f t="shared" si="44"/>
        <v>52.257046876785871</v>
      </c>
      <c r="AL69" s="103">
        <f>IFERROR(求节点('六艺&amp;奇遇'!$T$5:$T$113,'六艺&amp;奇遇'!$U$5:$U$113,AK69),0)</f>
        <v>522.57046876785876</v>
      </c>
      <c r="AM69" s="103">
        <f>IFERROR(求节点('六艺&amp;奇遇'!$T$5:$T$113,'六艺&amp;奇遇'!V$5:V$113,$AK69),0)</f>
        <v>0</v>
      </c>
      <c r="AN69" s="103">
        <f>IFERROR(求节点('六艺&amp;奇遇'!$T$5:$T$113,'六艺&amp;奇遇'!W$5:W$113,$AK69),0)</f>
        <v>0</v>
      </c>
      <c r="AO69" s="103">
        <f>IFERROR(求节点('六艺&amp;奇遇'!$T$5:$T$113,'六艺&amp;奇遇'!X$5:X$113,$AK69),0)</f>
        <v>0</v>
      </c>
      <c r="AP69" s="103">
        <f>IFERROR(求节点('六艺&amp;奇遇'!$T$5:$T$113,'六艺&amp;奇遇'!Y$5:Y$113,$AK69),0)</f>
        <v>0</v>
      </c>
      <c r="AQ69" s="103">
        <f>IFERROR(求节点('六艺&amp;奇遇'!$T$5:$T$113,'六艺&amp;奇遇'!Z$5:Z$113,$AK69),0)</f>
        <v>0</v>
      </c>
      <c r="AT69" s="117">
        <v>65</v>
      </c>
      <c r="AU69" s="117">
        <f t="shared" si="5"/>
        <v>3600.5298561272948</v>
      </c>
      <c r="AV69" s="117">
        <f t="shared" si="6"/>
        <v>3523.3289017952216</v>
      </c>
      <c r="AW69" s="117">
        <f t="shared" si="7"/>
        <v>3364.6982937651464</v>
      </c>
      <c r="AX69" s="117">
        <f t="shared" si="8"/>
        <v>3107.0105942065375</v>
      </c>
      <c r="AY69" s="117">
        <f t="shared" si="9"/>
        <v>2156.8765601242085</v>
      </c>
    </row>
    <row r="70" spans="21:51" x14ac:dyDescent="0.15">
      <c r="U70" s="83">
        <v>6</v>
      </c>
      <c r="V70" s="60">
        <f>基础信息!D75</f>
        <v>35.5</v>
      </c>
      <c r="W70" s="61">
        <f>基础信息!E75</f>
        <v>27.449372333401666</v>
      </c>
      <c r="X70" s="61">
        <f>基础信息!F75</f>
        <v>57.411337115405701</v>
      </c>
      <c r="Y70" s="100">
        <f t="shared" si="37"/>
        <v>8.7949002430191907</v>
      </c>
      <c r="Z70" s="100">
        <f t="shared" si="38"/>
        <v>3.3627559752720431</v>
      </c>
      <c r="AA70" s="100">
        <f t="shared" si="39"/>
        <v>0.77602060967816378</v>
      </c>
      <c r="AB70" s="100">
        <f t="shared" si="40"/>
        <v>0</v>
      </c>
      <c r="AC70" s="100">
        <f t="shared" si="41"/>
        <v>0</v>
      </c>
      <c r="AD70" s="83">
        <f>SUM(Y$65:Y70)</f>
        <v>14.368985243209684</v>
      </c>
      <c r="AE70" s="83">
        <f>SUM(Z$65:Z70)</f>
        <v>4.7562772253196659</v>
      </c>
      <c r="AF70" s="83">
        <f>SUM(AA$65:AA70)</f>
        <v>0.77602060967816378</v>
      </c>
      <c r="AG70" s="83">
        <f>SUM(AB$65:AB70)</f>
        <v>0</v>
      </c>
      <c r="AH70" s="83">
        <f>SUM(AC$65:AC70)</f>
        <v>0</v>
      </c>
      <c r="AI70" s="100">
        <f t="shared" si="42"/>
        <v>4560.3006460212782</v>
      </c>
      <c r="AJ70" s="100">
        <f t="shared" si="43"/>
        <v>99.506415391037564</v>
      </c>
      <c r="AK70" s="116">
        <f t="shared" si="44"/>
        <v>188.06065357046452</v>
      </c>
      <c r="AL70" s="103">
        <f>IFERROR(求节点('六艺&amp;奇遇'!$T$5:$T$113,'六艺&amp;奇遇'!$U$5:$U$113,AK70),0)</f>
        <v>1328.3639214227871</v>
      </c>
      <c r="AM70" s="103">
        <f>IFERROR(求节点('六艺&amp;奇遇'!$T$5:$T$113,'六艺&amp;奇遇'!V$5:V$113,$AK70),0)</f>
        <v>0</v>
      </c>
      <c r="AN70" s="103">
        <f>IFERROR(求节点('六艺&amp;奇遇'!$T$5:$T$113,'六艺&amp;奇遇'!W$5:W$113,$AK70),0)</f>
        <v>0</v>
      </c>
      <c r="AO70" s="103">
        <f>IFERROR(求节点('六艺&amp;奇遇'!$T$5:$T$113,'六艺&amp;奇遇'!X$5:X$113,$AK70),0)</f>
        <v>0</v>
      </c>
      <c r="AP70" s="103">
        <f>IFERROR(求节点('六艺&amp;奇遇'!$T$5:$T$113,'六艺&amp;奇遇'!Y$5:Y$113,$AK70),0)</f>
        <v>0</v>
      </c>
      <c r="AQ70" s="103">
        <f>IFERROR(求节点('六艺&amp;奇遇'!$T$5:$T$113,'六艺&amp;奇遇'!Z$5:Z$113,$AK70),0)</f>
        <v>0</v>
      </c>
      <c r="AT70" s="117">
        <v>66</v>
      </c>
      <c r="AU70" s="117">
        <f t="shared" ref="AU70:AU133" si="45">MIN(IFERROR(求节点($X$5:$X$20,$AL$5:$AL$20,$AT70),0),MAX($AL$5:$AL$20))</f>
        <v>3737.6838192173764</v>
      </c>
      <c r="AV70" s="117">
        <f t="shared" ref="AV70:AV133" si="46">MIN(IFERROR(求节点($X$25:$X$40,$AL$25:$AL$40,$AT70),0),MAX($AL$25:$AL$40))</f>
        <v>3689.6648726326011</v>
      </c>
      <c r="AW70" s="117">
        <f t="shared" ref="AW70:AW133" si="47">MIN(IFERROR(求节点($X$45:$X$60,$AL$45:$AL$60,$AT70),0),MAX($AL$45:$AL$60))</f>
        <v>3549.2741057579656</v>
      </c>
      <c r="AX70" s="117">
        <f t="shared" ref="AX70:AX133" si="48">MIN(IFERROR(求节点($X$65:$X$80,$AL$65:$AL$80,$AT70),0),MAX($AL$65:$AL$80))</f>
        <v>3328.5230543925522</v>
      </c>
      <c r="AY70" s="117">
        <f t="shared" ref="AY70:AY133" si="49">MIN(IFERROR(求节点($X$85:$X$100,$AL$85:$AL$100,$AT70),0),MAX($AL$85:$AL$100))</f>
        <v>2324.6748809007172</v>
      </c>
    </row>
    <row r="71" spans="21:51" x14ac:dyDescent="0.15">
      <c r="U71" s="83">
        <v>7</v>
      </c>
      <c r="V71" s="60">
        <f>基础信息!D76</f>
        <v>39.5</v>
      </c>
      <c r="W71" s="61">
        <f>基础信息!E76</f>
        <v>49.848538197196007</v>
      </c>
      <c r="X71" s="61">
        <f>基础信息!F76</f>
        <v>65.902718877121345</v>
      </c>
      <c r="Y71" s="100">
        <f t="shared" si="37"/>
        <v>11.19958293189717</v>
      </c>
      <c r="Z71" s="100">
        <f t="shared" si="38"/>
        <v>8.3996871989228783</v>
      </c>
      <c r="AA71" s="100">
        <f t="shared" si="39"/>
        <v>2.6878999036553206</v>
      </c>
      <c r="AB71" s="100">
        <f t="shared" si="40"/>
        <v>0.11199582931897173</v>
      </c>
      <c r="AC71" s="100">
        <f t="shared" si="41"/>
        <v>0</v>
      </c>
      <c r="AD71" s="83">
        <f>SUM(Y$65:Y71)</f>
        <v>25.568568175106854</v>
      </c>
      <c r="AE71" s="83">
        <f>SUM(Z$65:Z71)</f>
        <v>13.155964424242544</v>
      </c>
      <c r="AF71" s="83">
        <f>SUM(AA$65:AA71)</f>
        <v>3.4639205133334845</v>
      </c>
      <c r="AG71" s="83">
        <f>SUM(AB$65:AB71)</f>
        <v>0.11199582931897173</v>
      </c>
      <c r="AH71" s="83">
        <f>SUM(AC$65:AC71)</f>
        <v>0</v>
      </c>
      <c r="AI71" s="100">
        <f t="shared" si="42"/>
        <v>10434.481893801345</v>
      </c>
      <c r="AJ71" s="100">
        <f t="shared" si="43"/>
        <v>211.50224471000928</v>
      </c>
      <c r="AK71" s="116">
        <f t="shared" si="44"/>
        <v>529.64793299332825</v>
      </c>
      <c r="AL71" s="103">
        <f>IFERROR(求节点('六艺&amp;奇遇'!$T$5:$T$113,'六艺&amp;奇遇'!$U$5:$U$113,AK71),0)</f>
        <v>3318.591731973313</v>
      </c>
      <c r="AM71" s="103">
        <f>IFERROR(求节点('六艺&amp;奇遇'!$T$5:$T$113,'六艺&amp;奇遇'!V$5:V$113,$AK71),0)</f>
        <v>0</v>
      </c>
      <c r="AN71" s="103">
        <f>IFERROR(求节点('六艺&amp;奇遇'!$T$5:$T$113,'六艺&amp;奇遇'!W$5:W$113,$AK71),0)</f>
        <v>0</v>
      </c>
      <c r="AO71" s="103">
        <f>IFERROR(求节点('六艺&amp;奇遇'!$T$5:$T$113,'六艺&amp;奇遇'!X$5:X$113,$AK71),0)</f>
        <v>0</v>
      </c>
      <c r="AP71" s="103">
        <f>IFERROR(求节点('六艺&amp;奇遇'!$T$5:$T$113,'六艺&amp;奇遇'!Y$5:Y$113,$AK71),0)</f>
        <v>0</v>
      </c>
      <c r="AQ71" s="103">
        <f>IFERROR(求节点('六艺&amp;奇遇'!$T$5:$T$113,'六艺&amp;奇遇'!Z$5:Z$113,$AK71),0)</f>
        <v>0</v>
      </c>
      <c r="AT71" s="117">
        <v>67</v>
      </c>
      <c r="AU71" s="117">
        <f t="shared" si="45"/>
        <v>3874.8377823074575</v>
      </c>
      <c r="AV71" s="117">
        <f t="shared" si="46"/>
        <v>3856.0008434699803</v>
      </c>
      <c r="AW71" s="117">
        <f t="shared" si="47"/>
        <v>3733.8499177507842</v>
      </c>
      <c r="AX71" s="117">
        <f t="shared" si="48"/>
        <v>3430.6119502169449</v>
      </c>
      <c r="AY71" s="117">
        <f t="shared" si="49"/>
        <v>2492.4732016772259</v>
      </c>
    </row>
    <row r="72" spans="21:51" x14ac:dyDescent="0.15">
      <c r="U72" s="83">
        <v>8</v>
      </c>
      <c r="V72" s="60">
        <f>基础信息!D77</f>
        <v>43.5</v>
      </c>
      <c r="W72" s="61">
        <f>基础信息!E77</f>
        <v>90.273217467309593</v>
      </c>
      <c r="X72" s="61">
        <f>基础信息!F77</f>
        <v>74.536451869422805</v>
      </c>
      <c r="Y72" s="100">
        <f t="shared" si="37"/>
        <v>18.191105671551114</v>
      </c>
      <c r="Z72" s="100">
        <f t="shared" si="38"/>
        <v>15.159254726292595</v>
      </c>
      <c r="AA72" s="100">
        <f t="shared" si="39"/>
        <v>6.6700720795687429</v>
      </c>
      <c r="AB72" s="100">
        <f t="shared" si="40"/>
        <v>0.40424679270113595</v>
      </c>
      <c r="AC72" s="100">
        <f t="shared" si="41"/>
        <v>0</v>
      </c>
      <c r="AD72" s="83">
        <f>SUM(Y$65:Y72)</f>
        <v>43.759673846657968</v>
      </c>
      <c r="AE72" s="83">
        <f>SUM(Z$65:Z72)</f>
        <v>28.315219150535139</v>
      </c>
      <c r="AF72" s="83">
        <f>SUM(AA$65:AA72)</f>
        <v>10.133992592902228</v>
      </c>
      <c r="AG72" s="83">
        <f>SUM(AB$65:AB72)</f>
        <v>0.51624262202010773</v>
      </c>
      <c r="AH72" s="83">
        <f>SUM(AC$65:AC72)</f>
        <v>0</v>
      </c>
      <c r="AI72" s="100">
        <f t="shared" si="42"/>
        <v>22289.019089762154</v>
      </c>
      <c r="AJ72" s="100">
        <f t="shared" si="43"/>
        <v>413.62564106057721</v>
      </c>
      <c r="AK72" s="116">
        <f t="shared" si="44"/>
        <v>1156.2304616800889</v>
      </c>
      <c r="AL72" s="103">
        <f>IFERROR(求节点('六艺&amp;奇遇'!$T$5:$T$113,'六艺&amp;奇遇'!$U$5:$U$113,AK72),0)</f>
        <v>4200</v>
      </c>
      <c r="AM72" s="103">
        <f>IFERROR(求节点('六艺&amp;奇遇'!$T$5:$T$113,'六艺&amp;奇遇'!V$5:V$113,$AK72),0)</f>
        <v>0</v>
      </c>
      <c r="AN72" s="103">
        <f>IFERROR(求节点('六艺&amp;奇遇'!$T$5:$T$113,'六艺&amp;奇遇'!W$5:W$113,$AK72),0)</f>
        <v>0</v>
      </c>
      <c r="AO72" s="103">
        <f>IFERROR(求节点('六艺&amp;奇遇'!$T$5:$T$113,'六艺&amp;奇遇'!X$5:X$113,$AK72),0)</f>
        <v>0</v>
      </c>
      <c r="AP72" s="103">
        <f>IFERROR(求节点('六艺&amp;奇遇'!$T$5:$T$113,'六艺&amp;奇遇'!Y$5:Y$113,$AK72),0)</f>
        <v>0</v>
      </c>
      <c r="AQ72" s="103">
        <f>IFERROR(求节点('六艺&amp;奇遇'!$T$5:$T$113,'六艺&amp;奇遇'!Z$5:Z$113,$AK72),0)</f>
        <v>0</v>
      </c>
      <c r="AT72" s="117">
        <v>68</v>
      </c>
      <c r="AU72" s="117">
        <f t="shared" si="45"/>
        <v>4011.991745397539</v>
      </c>
      <c r="AV72" s="117">
        <f t="shared" si="46"/>
        <v>4022.3368143073599</v>
      </c>
      <c r="AW72" s="117">
        <f t="shared" si="47"/>
        <v>3860.8705128047613</v>
      </c>
      <c r="AX72" s="117">
        <f t="shared" si="48"/>
        <v>3532.7008460413376</v>
      </c>
      <c r="AY72" s="117">
        <f t="shared" si="49"/>
        <v>2660.2715224537351</v>
      </c>
    </row>
    <row r="73" spans="21:51" x14ac:dyDescent="0.15">
      <c r="U73" s="83">
        <v>9</v>
      </c>
      <c r="V73" s="60">
        <f>基础信息!D78</f>
        <v>47.5</v>
      </c>
      <c r="W73" s="61">
        <f>基础信息!E78</f>
        <v>163.13415930738643</v>
      </c>
      <c r="X73" s="61">
        <f>基础信息!F78</f>
        <v>83.136424497546074</v>
      </c>
      <c r="Y73" s="100">
        <f t="shared" si="37"/>
        <v>29.144376736030736</v>
      </c>
      <c r="Z73" s="100">
        <f t="shared" si="38"/>
        <v>27.322853190028813</v>
      </c>
      <c r="AA73" s="100">
        <f t="shared" si="39"/>
        <v>15.300797786416137</v>
      </c>
      <c r="AB73" s="100">
        <f t="shared" si="40"/>
        <v>1.0929141276011525</v>
      </c>
      <c r="AC73" s="100">
        <f t="shared" si="41"/>
        <v>0</v>
      </c>
      <c r="AD73" s="83">
        <f>SUM(Y$65:Y73)</f>
        <v>72.904050582688711</v>
      </c>
      <c r="AE73" s="83">
        <f>SUM(Z$65:Z73)</f>
        <v>55.638072340563951</v>
      </c>
      <c r="AF73" s="83">
        <f>SUM(AA$65:AA73)</f>
        <v>25.434790379318365</v>
      </c>
      <c r="AG73" s="83">
        <f>SUM(AB$65:AB73)</f>
        <v>1.6091567496212602</v>
      </c>
      <c r="AH73" s="83">
        <f>SUM(AC$65:AC73)</f>
        <v>0</v>
      </c>
      <c r="AI73" s="100">
        <f t="shared" si="42"/>
        <v>46642.788899807834</v>
      </c>
      <c r="AJ73" s="100">
        <f t="shared" si="43"/>
        <v>777.9303502609614</v>
      </c>
      <c r="AK73" s="116">
        <f t="shared" si="44"/>
        <v>2303.7902956612988</v>
      </c>
      <c r="AL73" s="103">
        <f>IFERROR(求节点('六艺&amp;奇遇'!$T$5:$T$113,'六艺&amp;奇遇'!$U$5:$U$113,AK73),0)</f>
        <v>5303.7902956612988</v>
      </c>
      <c r="AM73" s="103">
        <f>IFERROR(求节点('六艺&amp;奇遇'!$T$5:$T$113,'六艺&amp;奇遇'!V$5:V$113,$AK73),0)</f>
        <v>0</v>
      </c>
      <c r="AN73" s="103">
        <f>IFERROR(求节点('六艺&amp;奇遇'!$T$5:$T$113,'六艺&amp;奇遇'!W$5:W$113,$AK73),0)</f>
        <v>0</v>
      </c>
      <c r="AO73" s="103">
        <f>IFERROR(求节点('六艺&amp;奇遇'!$T$5:$T$113,'六艺&amp;奇遇'!X$5:X$113,$AK73),0)</f>
        <v>0</v>
      </c>
      <c r="AP73" s="103">
        <f>IFERROR(求节点('六艺&amp;奇遇'!$T$5:$T$113,'六艺&amp;奇遇'!Y$5:Y$113,$AK73),0)</f>
        <v>0</v>
      </c>
      <c r="AQ73" s="103">
        <f>IFERROR(求节点('六艺&amp;奇遇'!$T$5:$T$113,'六艺&amp;奇遇'!Z$5:Z$113,$AK73),0)</f>
        <v>0</v>
      </c>
      <c r="AT73" s="117">
        <v>69</v>
      </c>
      <c r="AU73" s="117">
        <f t="shared" si="45"/>
        <v>4149.1457084876201</v>
      </c>
      <c r="AV73" s="117">
        <f t="shared" si="46"/>
        <v>4177.550803121324</v>
      </c>
      <c r="AW73" s="117">
        <f t="shared" si="47"/>
        <v>3963.4016654519965</v>
      </c>
      <c r="AX73" s="117">
        <f t="shared" si="48"/>
        <v>3634.7897418657303</v>
      </c>
      <c r="AY73" s="117">
        <f t="shared" si="49"/>
        <v>2828.0698432302434</v>
      </c>
    </row>
    <row r="74" spans="21:51" x14ac:dyDescent="0.15">
      <c r="U74" s="83">
        <v>10</v>
      </c>
      <c r="V74" s="60">
        <f>基础信息!D79</f>
        <v>52</v>
      </c>
      <c r="W74" s="61">
        <f>基础信息!E79</f>
        <v>315.94120754775781</v>
      </c>
      <c r="X74" s="61">
        <f>基础信息!F79</f>
        <v>93.208444061349098</v>
      </c>
      <c r="Y74" s="100">
        <f t="shared" si="37"/>
        <v>53.482466884129991</v>
      </c>
      <c r="Z74" s="100">
        <f t="shared" si="38"/>
        <v>57.30264309013927</v>
      </c>
      <c r="AA74" s="100">
        <f t="shared" si="39"/>
        <v>38.965797301294707</v>
      </c>
      <c r="AB74" s="100">
        <f t="shared" si="40"/>
        <v>3.0561409648074283</v>
      </c>
      <c r="AC74" s="100">
        <f t="shared" si="41"/>
        <v>0</v>
      </c>
      <c r="AD74" s="83">
        <f>SUM(Y$65:Y74)</f>
        <v>126.3865174668187</v>
      </c>
      <c r="AE74" s="83">
        <f>SUM(Z$65:Z74)</f>
        <v>112.94071543070322</v>
      </c>
      <c r="AF74" s="83">
        <f>SUM(AA$65:AA74)</f>
        <v>64.400587680613071</v>
      </c>
      <c r="AG74" s="83">
        <f>SUM(AB$65:AB74)</f>
        <v>4.6652977144286885</v>
      </c>
      <c r="AH74" s="83">
        <f>SUM(AC$65:AC74)</f>
        <v>0</v>
      </c>
      <c r="AI74" s="100">
        <f t="shared" si="42"/>
        <v>103983.6337520072</v>
      </c>
      <c r="AJ74" s="100">
        <f t="shared" si="43"/>
        <v>1541.9655914628183</v>
      </c>
      <c r="AK74" s="116">
        <f t="shared" si="44"/>
        <v>4748.703067507241</v>
      </c>
      <c r="AL74" s="103">
        <f>IFERROR(求节点('六艺&amp;奇遇'!$T$5:$T$113,'六艺&amp;奇遇'!$U$5:$U$113,AK74),0)</f>
        <v>7049.221840504345</v>
      </c>
      <c r="AM74" s="103">
        <f>IFERROR(求节点('六艺&amp;奇遇'!$T$5:$T$113,'六艺&amp;奇遇'!V$5:V$113,$AK74),0)</f>
        <v>0</v>
      </c>
      <c r="AN74" s="103">
        <f>IFERROR(求节点('六艺&amp;奇遇'!$T$5:$T$113,'六艺&amp;奇遇'!W$5:W$113,$AK74),0)</f>
        <v>0</v>
      </c>
      <c r="AO74" s="103">
        <f>IFERROR(求节点('六艺&amp;奇遇'!$T$5:$T$113,'六艺&amp;奇遇'!X$5:X$113,$AK74),0)</f>
        <v>0</v>
      </c>
      <c r="AP74" s="103">
        <f>IFERROR(求节点('六艺&amp;奇遇'!$T$5:$T$113,'六艺&amp;奇遇'!Y$5:Y$113,$AK74),0)</f>
        <v>0</v>
      </c>
      <c r="AQ74" s="103">
        <f>IFERROR(求节点('六艺&amp;奇遇'!$T$5:$T$113,'六艺&amp;奇遇'!Z$5:Z$113,$AK74),0)</f>
        <v>0</v>
      </c>
      <c r="AT74" s="117">
        <v>70</v>
      </c>
      <c r="AU74" s="117">
        <f t="shared" si="45"/>
        <v>4301.7532691699153</v>
      </c>
      <c r="AV74" s="117">
        <f t="shared" si="46"/>
        <v>4317.4889732153924</v>
      </c>
      <c r="AW74" s="117">
        <f t="shared" si="47"/>
        <v>4065.9328180992316</v>
      </c>
      <c r="AX74" s="117">
        <f t="shared" si="48"/>
        <v>3736.8786376901235</v>
      </c>
      <c r="AY74" s="117">
        <f t="shared" si="49"/>
        <v>2995.8681640067525</v>
      </c>
    </row>
    <row r="75" spans="21:51" x14ac:dyDescent="0.15">
      <c r="U75" s="83">
        <v>11</v>
      </c>
      <c r="V75" s="60">
        <f>基础信息!D80</f>
        <v>57</v>
      </c>
      <c r="W75" s="61">
        <f>基础信息!E80</f>
        <v>659.12993710814465</v>
      </c>
      <c r="X75" s="61">
        <f>基础信息!F80</f>
        <v>103.87052361677672</v>
      </c>
      <c r="Y75" s="100">
        <f t="shared" si="37"/>
        <v>101.58386394987451</v>
      </c>
      <c r="Z75" s="100">
        <f t="shared" si="38"/>
        <v>127.66620739646393</v>
      </c>
      <c r="AA75" s="100">
        <f t="shared" si="39"/>
        <v>104.29505491340157</v>
      </c>
      <c r="AB75" s="100">
        <f t="shared" si="40"/>
        <v>9.6092844276908309</v>
      </c>
      <c r="AC75" s="100">
        <f t="shared" si="41"/>
        <v>3.4318872956038686E-2</v>
      </c>
      <c r="AD75" s="83">
        <f>SUM(Y$65:Y75)</f>
        <v>227.97038141669321</v>
      </c>
      <c r="AE75" s="83">
        <f>SUM(Z$65:Z75)</f>
        <v>240.60692282716715</v>
      </c>
      <c r="AF75" s="83">
        <f>SUM(AA$65:AA75)</f>
        <v>168.69564259401466</v>
      </c>
      <c r="AG75" s="83">
        <f>SUM(AB$65:AB75)</f>
        <v>14.27458214211952</v>
      </c>
      <c r="AH75" s="83">
        <f>SUM(AC$65:AC75)</f>
        <v>3.4318872956038686E-2</v>
      </c>
      <c r="AI75" s="100">
        <f t="shared" si="42"/>
        <v>248363.13227806194</v>
      </c>
      <c r="AJ75" s="100">
        <f t="shared" si="43"/>
        <v>3257.9092392647526</v>
      </c>
      <c r="AK75" s="116">
        <f t="shared" si="44"/>
        <v>10359.838795819567</v>
      </c>
      <c r="AL75" s="103">
        <f>IFERROR(求节点('六艺&amp;奇遇'!$T$5:$T$113,'六艺&amp;奇遇'!$U$5:$U$113,AK75),0)</f>
        <v>9107.9516387458698</v>
      </c>
      <c r="AM75" s="103">
        <f>IFERROR(求节点('六艺&amp;奇遇'!$T$5:$T$113,'六艺&amp;奇遇'!V$5:V$113,$AK75),0)</f>
        <v>0</v>
      </c>
      <c r="AN75" s="103">
        <f>IFERROR(求节点('六艺&amp;奇遇'!$T$5:$T$113,'六艺&amp;奇遇'!W$5:W$113,$AK75),0)</f>
        <v>0</v>
      </c>
      <c r="AO75" s="103">
        <f>IFERROR(求节点('六艺&amp;奇遇'!$T$5:$T$113,'六艺&amp;奇遇'!X$5:X$113,$AK75),0)</f>
        <v>0</v>
      </c>
      <c r="AP75" s="103">
        <f>IFERROR(求节点('六艺&amp;奇遇'!$T$5:$T$113,'六艺&amp;奇遇'!Y$5:Y$113,$AK75),0)</f>
        <v>0</v>
      </c>
      <c r="AQ75" s="103">
        <f>IFERROR(求节点('六艺&amp;奇遇'!$T$5:$T$113,'六艺&amp;奇遇'!Z$5:Z$113,$AK75),0)</f>
        <v>0</v>
      </c>
      <c r="AT75" s="117">
        <v>71</v>
      </c>
      <c r="AU75" s="117">
        <f t="shared" si="45"/>
        <v>4494.5961914194404</v>
      </c>
      <c r="AV75" s="117">
        <f t="shared" si="46"/>
        <v>4457.4271433094618</v>
      </c>
      <c r="AW75" s="117">
        <f t="shared" si="47"/>
        <v>4168.4639707464667</v>
      </c>
      <c r="AX75" s="117">
        <f t="shared" si="48"/>
        <v>3838.9675335145162</v>
      </c>
      <c r="AY75" s="117">
        <f t="shared" si="49"/>
        <v>3163.6664847832612</v>
      </c>
    </row>
    <row r="76" spans="21:51" x14ac:dyDescent="0.15">
      <c r="U76" s="83">
        <v>12</v>
      </c>
      <c r="V76" s="60">
        <f>基础信息!D81</f>
        <v>62</v>
      </c>
      <c r="W76" s="61">
        <f>基础信息!E81</f>
        <v>1372.540918241546</v>
      </c>
      <c r="X76" s="61">
        <f>基础信息!F81</f>
        <v>114.60606674176169</v>
      </c>
      <c r="Y76" s="100">
        <f t="shared" si="37"/>
        <v>194.04778686828519</v>
      </c>
      <c r="Z76" s="100">
        <f t="shared" si="38"/>
        <v>273.94981675522615</v>
      </c>
      <c r="AA76" s="100">
        <f t="shared" si="39"/>
        <v>219.587899992861</v>
      </c>
      <c r="AB76" s="100">
        <f t="shared" si="40"/>
        <v>25.682795320802452</v>
      </c>
      <c r="AC76" s="100">
        <f t="shared" si="41"/>
        <v>0.14268219622668027</v>
      </c>
      <c r="AD76" s="83">
        <f>SUM(Y$65:Y76)</f>
        <v>422.0181682849784</v>
      </c>
      <c r="AE76" s="83">
        <f>SUM(Z$65:Z76)</f>
        <v>514.55673958239333</v>
      </c>
      <c r="AF76" s="83">
        <f>SUM(AA$65:AA76)</f>
        <v>388.28354258687568</v>
      </c>
      <c r="AG76" s="83">
        <f>SUM(AB$65:AB76)</f>
        <v>39.957377462921968</v>
      </c>
      <c r="AH76" s="83">
        <f>SUM(AC$65:AC76)</f>
        <v>0.17700106918271896</v>
      </c>
      <c r="AI76" s="100">
        <f t="shared" si="42"/>
        <v>571823.67112394609</v>
      </c>
      <c r="AJ76" s="100">
        <f t="shared" si="43"/>
        <v>6824.9641449317596</v>
      </c>
      <c r="AK76" s="116">
        <f t="shared" si="44"/>
        <v>22273.802180747371</v>
      </c>
      <c r="AL76" s="103">
        <f>IFERROR(求节点('六艺&amp;奇遇'!$T$5:$T$113,'六艺&amp;奇遇'!$U$5:$U$113,AK76),0)</f>
        <v>12682.140654224211</v>
      </c>
      <c r="AM76" s="103">
        <f>IFERROR(求节点('六艺&amp;奇遇'!$T$5:$T$113,'六艺&amp;奇遇'!V$5:V$113,$AK76),0)</f>
        <v>0</v>
      </c>
      <c r="AN76" s="103">
        <f>IFERROR(求节点('六艺&amp;奇遇'!$T$5:$T$113,'六艺&amp;奇遇'!W$5:W$113,$AK76),0)</f>
        <v>0</v>
      </c>
      <c r="AO76" s="103">
        <f>IFERROR(求节点('六艺&amp;奇遇'!$T$5:$T$113,'六艺&amp;奇遇'!X$5:X$113,$AK76),0)</f>
        <v>0</v>
      </c>
      <c r="AP76" s="103">
        <f>IFERROR(求节点('六艺&amp;奇遇'!$T$5:$T$113,'六艺&amp;奇遇'!Y$5:Y$113,$AK76),0)</f>
        <v>0</v>
      </c>
      <c r="AQ76" s="103">
        <f>IFERROR(求节点('六艺&amp;奇遇'!$T$5:$T$113,'六艺&amp;奇遇'!Z$5:Z$113,$AK76),0)</f>
        <v>0</v>
      </c>
      <c r="AT76" s="117">
        <v>72</v>
      </c>
      <c r="AU76" s="117">
        <f t="shared" si="45"/>
        <v>4687.4391136689646</v>
      </c>
      <c r="AV76" s="117">
        <f t="shared" si="46"/>
        <v>4597.3653134035303</v>
      </c>
      <c r="AW76" s="117">
        <f t="shared" si="47"/>
        <v>4270.9951233937018</v>
      </c>
      <c r="AX76" s="117">
        <f t="shared" si="48"/>
        <v>3941.0564293389089</v>
      </c>
      <c r="AY76" s="117">
        <f t="shared" si="49"/>
        <v>3331.46480555977</v>
      </c>
    </row>
    <row r="77" spans="21:51" x14ac:dyDescent="0.15">
      <c r="U77" s="83">
        <v>13</v>
      </c>
      <c r="V77" s="60">
        <f>基础信息!D82</f>
        <v>67</v>
      </c>
      <c r="W77" s="61">
        <f>基础信息!E82</f>
        <v>2853.4199245336076</v>
      </c>
      <c r="X77" s="61">
        <f>基础信息!F82</f>
        <v>125.19410714767859</v>
      </c>
      <c r="Y77" s="100">
        <f t="shared" si="37"/>
        <v>396.87557368627256</v>
      </c>
      <c r="Z77" s="100">
        <f t="shared" si="38"/>
        <v>564.21490139727553</v>
      </c>
      <c r="AA77" s="100">
        <f t="shared" si="39"/>
        <v>461.58998626123571</v>
      </c>
      <c r="AB77" s="100">
        <f t="shared" si="40"/>
        <v>57.754281245390416</v>
      </c>
      <c r="AC77" s="100">
        <f t="shared" si="41"/>
        <v>0.44426370188761843</v>
      </c>
      <c r="AD77" s="83">
        <f>SUM(Y$65:Y77)</f>
        <v>818.89374197125096</v>
      </c>
      <c r="AE77" s="83">
        <f>SUM(Z$65:Z77)</f>
        <v>1078.771640979669</v>
      </c>
      <c r="AF77" s="83">
        <f>SUM(AA$65:AA77)</f>
        <v>849.87352884811139</v>
      </c>
      <c r="AG77" s="83">
        <f>SUM(AB$65:AB77)</f>
        <v>97.711658708312385</v>
      </c>
      <c r="AH77" s="83">
        <f>SUM(AC$65:AC77)</f>
        <v>0.6212647710703374</v>
      </c>
      <c r="AI77" s="100">
        <f t="shared" si="42"/>
        <v>1279461.7042806079</v>
      </c>
      <c r="AJ77" s="100">
        <f t="shared" si="43"/>
        <v>14229.359176392067</v>
      </c>
      <c r="AK77" s="116">
        <f t="shared" si="44"/>
        <v>47152.569486454013</v>
      </c>
      <c r="AL77" s="103">
        <f>IFERROR(求节点('六艺&amp;奇遇'!$T$5:$T$113,'六艺&amp;奇遇'!$U$5:$U$113,AK77),0)</f>
        <v>21261.027794581605</v>
      </c>
      <c r="AM77" s="103">
        <f>IFERROR(求节点('六艺&amp;奇遇'!$T$5:$T$113,'六艺&amp;奇遇'!V$5:V$113,$AK77),0)</f>
        <v>0</v>
      </c>
      <c r="AN77" s="103">
        <f>IFERROR(求节点('六艺&amp;奇遇'!$T$5:$T$113,'六艺&amp;奇遇'!W$5:W$113,$AK77),0)</f>
        <v>0</v>
      </c>
      <c r="AO77" s="103">
        <f>IFERROR(求节点('六艺&amp;奇遇'!$T$5:$T$113,'六艺&amp;奇遇'!X$5:X$113,$AK77),0)</f>
        <v>0</v>
      </c>
      <c r="AP77" s="103">
        <f>IFERROR(求节点('六艺&amp;奇遇'!$T$5:$T$113,'六艺&amp;奇遇'!Y$5:Y$113,$AK77),0)</f>
        <v>0</v>
      </c>
      <c r="AQ77" s="103">
        <f>IFERROR(求节点('六艺&amp;奇遇'!$T$5:$T$113,'六艺&amp;奇遇'!Z$5:Z$113,$AK77),0)</f>
        <v>0</v>
      </c>
      <c r="AT77" s="117">
        <v>73</v>
      </c>
      <c r="AU77" s="117">
        <f t="shared" si="45"/>
        <v>4880.2820359184889</v>
      </c>
      <c r="AV77" s="117">
        <f t="shared" si="46"/>
        <v>4737.3034834975997</v>
      </c>
      <c r="AW77" s="117">
        <f t="shared" si="47"/>
        <v>4373.5262760409369</v>
      </c>
      <c r="AX77" s="117">
        <f t="shared" si="48"/>
        <v>4043.1453251633015</v>
      </c>
      <c r="AY77" s="117">
        <f t="shared" si="49"/>
        <v>3499.2631263362791</v>
      </c>
    </row>
    <row r="78" spans="21:51" x14ac:dyDescent="0.15">
      <c r="U78" s="83">
        <v>14</v>
      </c>
      <c r="V78" s="60">
        <f>基础信息!D83</f>
        <v>72</v>
      </c>
      <c r="W78" s="61">
        <f>基础信息!E83</f>
        <v>5923.2820251682469</v>
      </c>
      <c r="X78" s="61">
        <f>基础信息!F83</f>
        <v>135.89542876835631</v>
      </c>
      <c r="Y78" s="100">
        <f t="shared" si="37"/>
        <v>810.44359456754478</v>
      </c>
      <c r="Z78" s="100">
        <f t="shared" si="38"/>
        <v>1160.4078740398936</v>
      </c>
      <c r="AA78" s="100">
        <f t="shared" si="39"/>
        <v>968.84847896029214</v>
      </c>
      <c r="AB78" s="100">
        <f t="shared" si="40"/>
        <v>128.93420822665487</v>
      </c>
      <c r="AC78" s="100">
        <f t="shared" si="41"/>
        <v>1.2279448402538558</v>
      </c>
      <c r="AD78" s="83">
        <f>SUM(Y$65:Y78)</f>
        <v>1629.3373365387956</v>
      </c>
      <c r="AE78" s="83">
        <f>SUM(Z$65:Z78)</f>
        <v>2239.1795150195626</v>
      </c>
      <c r="AF78" s="83">
        <f>SUM(AA$65:AA78)</f>
        <v>1818.7220078084035</v>
      </c>
      <c r="AG78" s="83">
        <f>SUM(AB$65:AB78)</f>
        <v>226.64586693496727</v>
      </c>
      <c r="AH78" s="83">
        <f>SUM(AC$65:AC78)</f>
        <v>1.8492096113241931</v>
      </c>
      <c r="AI78" s="100">
        <f t="shared" si="42"/>
        <v>2821453.4374293871</v>
      </c>
      <c r="AJ78" s="100">
        <f t="shared" si="43"/>
        <v>29578.669679565264</v>
      </c>
      <c r="AK78" s="116">
        <f t="shared" si="44"/>
        <v>99033.238987179415</v>
      </c>
      <c r="AL78" s="103">
        <f>IFERROR(求节点('六艺&amp;奇遇'!$T$5:$T$113,'六艺&amp;奇遇'!$U$5:$U$113,AK78),0)</f>
        <v>26400</v>
      </c>
      <c r="AM78" s="103">
        <f>IFERROR(求节点('六艺&amp;奇遇'!$T$5:$T$113,'六艺&amp;奇遇'!V$5:V$113,$AK78),0)</f>
        <v>0</v>
      </c>
      <c r="AN78" s="103">
        <f>IFERROR(求节点('六艺&amp;奇遇'!$T$5:$T$113,'六艺&amp;奇遇'!W$5:W$113,$AK78),0)</f>
        <v>0</v>
      </c>
      <c r="AO78" s="103">
        <f>IFERROR(求节点('六艺&amp;奇遇'!$T$5:$T$113,'六艺&amp;奇遇'!X$5:X$113,$AK78),0)</f>
        <v>0</v>
      </c>
      <c r="AP78" s="103">
        <f>IFERROR(求节点('六艺&amp;奇遇'!$T$5:$T$113,'六艺&amp;奇遇'!Y$5:Y$113,$AK78),0)</f>
        <v>0</v>
      </c>
      <c r="AQ78" s="103">
        <f>IFERROR(求节点('六艺&amp;奇遇'!$T$5:$T$113,'六艺&amp;奇遇'!Z$5:Z$113,$AK78),0)</f>
        <v>0</v>
      </c>
      <c r="AT78" s="117">
        <v>74</v>
      </c>
      <c r="AU78" s="117">
        <f t="shared" si="45"/>
        <v>5073.1249581680131</v>
      </c>
      <c r="AV78" s="117">
        <f t="shared" si="46"/>
        <v>4877.2416535916682</v>
      </c>
      <c r="AW78" s="117">
        <f t="shared" si="47"/>
        <v>4476.0574286881711</v>
      </c>
      <c r="AX78" s="117">
        <f t="shared" si="48"/>
        <v>4145.2342209876942</v>
      </c>
      <c r="AY78" s="117">
        <f t="shared" si="49"/>
        <v>3586.0189744659865</v>
      </c>
    </row>
    <row r="79" spans="21:51" x14ac:dyDescent="0.15">
      <c r="U79" s="83">
        <v>15</v>
      </c>
      <c r="V79" s="60">
        <f>基础信息!D84</f>
        <v>77</v>
      </c>
      <c r="W79" s="61">
        <f>基础信息!E84</f>
        <v>12279.204402538555</v>
      </c>
      <c r="X79" s="61">
        <f>基础信息!F84</f>
        <v>146.55064673623977</v>
      </c>
      <c r="Y79" s="100">
        <f t="shared" si="37"/>
        <v>1652.53981811628</v>
      </c>
      <c r="Z79" s="100">
        <f t="shared" si="38"/>
        <v>2383.4708915138654</v>
      </c>
      <c r="AA79" s="100">
        <f t="shared" si="39"/>
        <v>2030.7171995698138</v>
      </c>
      <c r="AB79" s="100">
        <f t="shared" si="40"/>
        <v>286.01650698166384</v>
      </c>
      <c r="AC79" s="100">
        <f t="shared" si="41"/>
        <v>3.177961188685154</v>
      </c>
      <c r="AD79" s="83">
        <f>SUM(Y$65:Y79)</f>
        <v>3281.8771546550756</v>
      </c>
      <c r="AE79" s="83">
        <f>SUM(Z$65:Z79)</f>
        <v>4622.6504065334284</v>
      </c>
      <c r="AF79" s="83">
        <f>SUM(AA$65:AA79)</f>
        <v>3849.4392073782174</v>
      </c>
      <c r="AG79" s="83">
        <f>SUM(AB$65:AB79)</f>
        <v>512.66237391663117</v>
      </c>
      <c r="AH79" s="83">
        <f>SUM(AC$65:AC79)</f>
        <v>5.0271708000093476</v>
      </c>
      <c r="AI79" s="100">
        <f t="shared" si="42"/>
        <v>6169435.5497091971</v>
      </c>
      <c r="AJ79" s="100">
        <f t="shared" si="43"/>
        <v>61358.281566416801</v>
      </c>
      <c r="AK79" s="116">
        <f t="shared" si="44"/>
        <v>207083.91940247465</v>
      </c>
      <c r="AL79" s="103">
        <f>IFERROR(求节点('六艺&amp;奇遇'!$T$5:$T$113,'六艺&amp;奇遇'!$U$5:$U$113,AK79),0)</f>
        <v>26400</v>
      </c>
      <c r="AM79" s="103">
        <f>IFERROR(求节点('六艺&amp;奇遇'!$T$5:$T$113,'六艺&amp;奇遇'!V$5:V$113,$AK79),0)</f>
        <v>0</v>
      </c>
      <c r="AN79" s="103">
        <f>IFERROR(求节点('六艺&amp;奇遇'!$T$5:$T$113,'六艺&amp;奇遇'!W$5:W$113,$AK79),0)</f>
        <v>0</v>
      </c>
      <c r="AO79" s="103">
        <f>IFERROR(求节点('六艺&amp;奇遇'!$T$5:$T$113,'六艺&amp;奇遇'!X$5:X$113,$AK79),0)</f>
        <v>0</v>
      </c>
      <c r="AP79" s="103">
        <f>IFERROR(求节点('六艺&amp;奇遇'!$T$5:$T$113,'六艺&amp;奇遇'!Y$5:Y$113,$AK79),0)</f>
        <v>0</v>
      </c>
      <c r="AQ79" s="103">
        <f>IFERROR(求节点('六艺&amp;奇遇'!$T$5:$T$113,'六艺&amp;奇遇'!Z$5:Z$113,$AK79),0)</f>
        <v>0</v>
      </c>
      <c r="AT79" s="117">
        <v>75</v>
      </c>
      <c r="AU79" s="117">
        <f t="shared" si="45"/>
        <v>5265.9678804175373</v>
      </c>
      <c r="AV79" s="117">
        <f t="shared" si="46"/>
        <v>5017.1798236857376</v>
      </c>
      <c r="AW79" s="117">
        <f t="shared" si="47"/>
        <v>4578.5885813354062</v>
      </c>
      <c r="AX79" s="117">
        <f t="shared" si="48"/>
        <v>4259.4955298380646</v>
      </c>
      <c r="AY79" s="117">
        <f t="shared" si="49"/>
        <v>3665.8564624352921</v>
      </c>
    </row>
    <row r="80" spans="21:51" x14ac:dyDescent="0.15">
      <c r="U80" s="83">
        <v>16</v>
      </c>
      <c r="V80" s="60">
        <f>基础信息!D85</f>
        <v>80</v>
      </c>
      <c r="W80" s="61">
        <f>基础信息!E85</f>
        <v>19005.150000000001</v>
      </c>
      <c r="X80" s="61">
        <f>基础信息!F85</f>
        <v>152.12605579164665</v>
      </c>
      <c r="Y80" s="100">
        <f t="shared" si="37"/>
        <v>1748.7458553399763</v>
      </c>
      <c r="Z80" s="100">
        <f t="shared" si="38"/>
        <v>2522.2295990480425</v>
      </c>
      <c r="AA80" s="100">
        <f t="shared" si="39"/>
        <v>2148.9396183889326</v>
      </c>
      <c r="AB80" s="100">
        <f t="shared" si="40"/>
        <v>302.66755188576508</v>
      </c>
      <c r="AC80" s="100">
        <f t="shared" si="41"/>
        <v>3.3629727987307234</v>
      </c>
      <c r="AD80" s="83">
        <f>SUM(Y$65:Y80)</f>
        <v>5030.6230099950517</v>
      </c>
      <c r="AE80" s="83">
        <f>SUM(Z$65:Z80)</f>
        <v>7144.8800055814709</v>
      </c>
      <c r="AF80" s="83">
        <f>SUM(AA$65:AA80)</f>
        <v>5998.3788257671495</v>
      </c>
      <c r="AG80" s="83">
        <f>SUM(AB$65:AB80)</f>
        <v>815.32992580239625</v>
      </c>
      <c r="AH80" s="83">
        <f>SUM(AC$65:AC80)</f>
        <v>8.390143598740071</v>
      </c>
      <c r="AI80" s="100">
        <f t="shared" si="42"/>
        <v>9846846.305121243</v>
      </c>
      <c r="AJ80" s="100">
        <f t="shared" si="43"/>
        <v>94988.009553724027</v>
      </c>
      <c r="AK80" s="116">
        <f t="shared" si="44"/>
        <v>321424.99455931922</v>
      </c>
      <c r="AL80" s="103">
        <f>IFERROR(求节点('六艺&amp;奇遇'!$T$5:$T$113,'六艺&amp;奇遇'!$U$5:$U$113,AK80),0)</f>
        <v>26400</v>
      </c>
      <c r="AM80" s="103">
        <f>IFERROR(求节点('六艺&amp;奇遇'!$T$5:$T$113,'六艺&amp;奇遇'!V$5:V$113,$AK80),0)</f>
        <v>0</v>
      </c>
      <c r="AN80" s="103">
        <f>IFERROR(求节点('六艺&amp;奇遇'!$T$5:$T$113,'六艺&amp;奇遇'!W$5:W$113,$AK80),0)</f>
        <v>0</v>
      </c>
      <c r="AO80" s="103">
        <f>IFERROR(求节点('六艺&amp;奇遇'!$T$5:$T$113,'六艺&amp;奇遇'!X$5:X$113,$AK80),0)</f>
        <v>0</v>
      </c>
      <c r="AP80" s="103">
        <f>IFERROR(求节点('六艺&amp;奇遇'!$T$5:$T$113,'六艺&amp;奇遇'!Y$5:Y$113,$AK80),0)</f>
        <v>0</v>
      </c>
      <c r="AQ80" s="103">
        <f>IFERROR(求节点('六艺&amp;奇遇'!$T$5:$T$113,'六艺&amp;奇遇'!Z$5:Z$113,$AK80),0)</f>
        <v>0</v>
      </c>
      <c r="AT80" s="117">
        <v>76</v>
      </c>
      <c r="AU80" s="117">
        <f t="shared" si="45"/>
        <v>5458.8108026670616</v>
      </c>
      <c r="AV80" s="117">
        <f t="shared" si="46"/>
        <v>5157.1179937798061</v>
      </c>
      <c r="AW80" s="117">
        <f t="shared" si="47"/>
        <v>4691.3953232902741</v>
      </c>
      <c r="AX80" s="117">
        <f t="shared" si="48"/>
        <v>4387.8436471392442</v>
      </c>
      <c r="AY80" s="117">
        <f t="shared" si="49"/>
        <v>3745.6939504045977</v>
      </c>
    </row>
    <row r="81" spans="21:51" x14ac:dyDescent="0.15">
      <c r="AT81" s="117">
        <v>77</v>
      </c>
      <c r="AU81" s="117">
        <f t="shared" si="45"/>
        <v>5651.6537249165858</v>
      </c>
      <c r="AV81" s="117">
        <f t="shared" si="46"/>
        <v>5297.0561638738745</v>
      </c>
      <c r="AW81" s="117">
        <f t="shared" si="47"/>
        <v>4878.6978338005638</v>
      </c>
      <c r="AX81" s="117">
        <f t="shared" si="48"/>
        <v>4516.1917644404239</v>
      </c>
      <c r="AY81" s="117">
        <f t="shared" si="49"/>
        <v>3825.5314383739037</v>
      </c>
    </row>
    <row r="82" spans="21:51" x14ac:dyDescent="0.15">
      <c r="AT82" s="117">
        <v>78</v>
      </c>
      <c r="AU82" s="117">
        <f t="shared" si="45"/>
        <v>5844.4966471661101</v>
      </c>
      <c r="AV82" s="117">
        <f t="shared" si="46"/>
        <v>5484.5606415174898</v>
      </c>
      <c r="AW82" s="117">
        <f t="shared" si="47"/>
        <v>5066.0003443108544</v>
      </c>
      <c r="AX82" s="117">
        <f t="shared" si="48"/>
        <v>4644.5398817416026</v>
      </c>
      <c r="AY82" s="117">
        <f t="shared" si="49"/>
        <v>3905.3689263432093</v>
      </c>
    </row>
    <row r="83" spans="21:51" ht="11.25" customHeight="1" x14ac:dyDescent="0.15">
      <c r="U83" s="83" t="s">
        <v>4</v>
      </c>
      <c r="Y83" s="128" t="s">
        <v>292</v>
      </c>
      <c r="Z83" s="128"/>
      <c r="AA83" s="128"/>
      <c r="AB83" s="128"/>
      <c r="AC83" s="128"/>
      <c r="AD83" s="128" t="s">
        <v>293</v>
      </c>
      <c r="AE83" s="128"/>
      <c r="AF83" s="128"/>
      <c r="AG83" s="128"/>
      <c r="AH83" s="128"/>
      <c r="AM83" s="128" t="s">
        <v>295</v>
      </c>
      <c r="AN83" s="128"/>
      <c r="AO83" s="128"/>
      <c r="AP83" s="128"/>
      <c r="AQ83" s="128"/>
      <c r="AT83" s="117">
        <v>79</v>
      </c>
      <c r="AU83" s="117">
        <f t="shared" si="45"/>
        <v>6048.4610633067095</v>
      </c>
      <c r="AV83" s="117">
        <f t="shared" si="46"/>
        <v>5677.9490624649634</v>
      </c>
      <c r="AW83" s="117">
        <f t="shared" si="47"/>
        <v>5253.302854821145</v>
      </c>
      <c r="AX83" s="117">
        <f t="shared" si="48"/>
        <v>4772.8879990427822</v>
      </c>
      <c r="AY83" s="117">
        <f t="shared" si="49"/>
        <v>3985.2064143125149</v>
      </c>
    </row>
    <row r="84" spans="21:51" ht="22.5" x14ac:dyDescent="0.15">
      <c r="U84" s="83" t="s">
        <v>21</v>
      </c>
      <c r="V84" s="83" t="s">
        <v>121</v>
      </c>
      <c r="W84" s="81" t="s">
        <v>122</v>
      </c>
      <c r="X84" s="81" t="s">
        <v>103</v>
      </c>
      <c r="Y84" s="84" t="s">
        <v>8</v>
      </c>
      <c r="Z84" s="84" t="s">
        <v>9</v>
      </c>
      <c r="AA84" s="84" t="s">
        <v>10</v>
      </c>
      <c r="AB84" s="84" t="s">
        <v>11</v>
      </c>
      <c r="AC84" s="84" t="s">
        <v>12</v>
      </c>
      <c r="AD84" s="84" t="s">
        <v>8</v>
      </c>
      <c r="AE84" s="84" t="s">
        <v>9</v>
      </c>
      <c r="AF84" s="84" t="s">
        <v>10</v>
      </c>
      <c r="AG84" s="84" t="s">
        <v>11</v>
      </c>
      <c r="AH84" s="84" t="s">
        <v>12</v>
      </c>
      <c r="AI84" s="84" t="s">
        <v>194</v>
      </c>
      <c r="AJ84" s="101" t="s">
        <v>270</v>
      </c>
      <c r="AK84" s="101" t="s">
        <v>271</v>
      </c>
      <c r="AL84" s="104" t="s">
        <v>294</v>
      </c>
      <c r="AM84" s="104" t="s">
        <v>8</v>
      </c>
      <c r="AN84" s="104" t="s">
        <v>9</v>
      </c>
      <c r="AO84" s="104" t="s">
        <v>10</v>
      </c>
      <c r="AP84" s="104" t="s">
        <v>11</v>
      </c>
      <c r="AQ84" s="104" t="s">
        <v>12</v>
      </c>
      <c r="AT84" s="117">
        <v>80</v>
      </c>
      <c r="AU84" s="117">
        <f t="shared" si="45"/>
        <v>6255.9173098549845</v>
      </c>
      <c r="AV84" s="117">
        <f t="shared" si="46"/>
        <v>5871.337483412437</v>
      </c>
      <c r="AW84" s="117">
        <f t="shared" si="47"/>
        <v>5440.6053653314348</v>
      </c>
      <c r="AX84" s="117">
        <f t="shared" si="48"/>
        <v>4901.2361163439618</v>
      </c>
      <c r="AY84" s="117">
        <f t="shared" si="49"/>
        <v>4065.0439022818205</v>
      </c>
    </row>
    <row r="85" spans="21:51" x14ac:dyDescent="0.15">
      <c r="U85" s="83">
        <v>1</v>
      </c>
      <c r="V85" s="60">
        <f>基础信息!D90</f>
        <v>16</v>
      </c>
      <c r="W85" s="61">
        <f>基础信息!E90</f>
        <v>0.50775438407852935</v>
      </c>
      <c r="X85" s="61">
        <f>基础信息!F90</f>
        <v>14.671687356650759</v>
      </c>
      <c r="Y85" s="83">
        <v>0</v>
      </c>
      <c r="Z85" s="83">
        <v>0</v>
      </c>
      <c r="AA85" s="83">
        <v>0</v>
      </c>
      <c r="AB85" s="83">
        <v>0</v>
      </c>
      <c r="AC85" s="83">
        <v>0</v>
      </c>
      <c r="AD85" s="83">
        <f>SUM(Y$85:Y85)</f>
        <v>0</v>
      </c>
      <c r="AE85" s="83">
        <f>SUM(Z$85:Z85)</f>
        <v>0</v>
      </c>
      <c r="AF85" s="83">
        <f>SUM(AA$85:AA85)</f>
        <v>0</v>
      </c>
      <c r="AG85" s="83">
        <f>SUM(AB$85:AB85)</f>
        <v>0</v>
      </c>
      <c r="AH85" s="83">
        <f>SUM(AC$85:AC85)</f>
        <v>0</v>
      </c>
      <c r="AI85" s="83">
        <v>0</v>
      </c>
      <c r="AJ85" s="100">
        <v>0</v>
      </c>
      <c r="AK85" s="100">
        <v>0</v>
      </c>
      <c r="AL85" s="103">
        <f>IFERROR(求节点('六艺&amp;奇遇'!$T$5:$T$113,'六艺&amp;奇遇'!$U$5:$U$113,AK85),0)</f>
        <v>0</v>
      </c>
      <c r="AM85" s="103">
        <f>IFERROR(求节点('六艺&amp;奇遇'!$T$5:$T$113,'六艺&amp;奇遇'!V$5:V$113,$AK85),0)</f>
        <v>0</v>
      </c>
      <c r="AN85" s="103">
        <f>IFERROR(求节点('六艺&amp;奇遇'!$T$5:$T$113,'六艺&amp;奇遇'!W$5:W$113,$AK85),0)</f>
        <v>0</v>
      </c>
      <c r="AO85" s="103">
        <f>IFERROR(求节点('六艺&amp;奇遇'!$T$5:$T$113,'六艺&amp;奇遇'!X$5:X$113,$AK85),0)</f>
        <v>0</v>
      </c>
      <c r="AP85" s="103">
        <f>IFERROR(求节点('六艺&amp;奇遇'!$T$5:$T$113,'六艺&amp;奇遇'!Y$5:Y$113,$AK85),0)</f>
        <v>0</v>
      </c>
      <c r="AQ85" s="103">
        <f>IFERROR(求节点('六艺&amp;奇遇'!$T$5:$T$113,'六艺&amp;奇遇'!Z$5:Z$113,$AK85),0)</f>
        <v>0</v>
      </c>
      <c r="AT85" s="117">
        <v>81</v>
      </c>
      <c r="AU85" s="117">
        <f t="shared" si="45"/>
        <v>6463.3735564032604</v>
      </c>
      <c r="AV85" s="117">
        <f t="shared" si="46"/>
        <v>6064.7259043599106</v>
      </c>
      <c r="AW85" s="117">
        <f t="shared" si="47"/>
        <v>5627.9078758417254</v>
      </c>
      <c r="AX85" s="117">
        <f t="shared" si="48"/>
        <v>5029.5842336451415</v>
      </c>
      <c r="AY85" s="117">
        <f t="shared" si="49"/>
        <v>4144.8813902511265</v>
      </c>
    </row>
    <row r="86" spans="21:51" x14ac:dyDescent="0.15">
      <c r="U86" s="83">
        <v>2</v>
      </c>
      <c r="V86" s="60">
        <f>基础信息!D91</f>
        <v>19.5</v>
      </c>
      <c r="W86" s="61">
        <f>基础信息!E91</f>
        <v>0.96457950643309154</v>
      </c>
      <c r="X86" s="61">
        <f>基础信息!F91</f>
        <v>20.922787117743994</v>
      </c>
      <c r="Y86" s="100">
        <f>($W86-$W85)*N5</f>
        <v>0</v>
      </c>
      <c r="Z86" s="100">
        <f t="shared" ref="Z86:AC86" si="50">($W86-$W85)*O5</f>
        <v>0</v>
      </c>
      <c r="AA86" s="100">
        <f t="shared" si="50"/>
        <v>0</v>
      </c>
      <c r="AB86" s="100">
        <f t="shared" si="50"/>
        <v>0</v>
      </c>
      <c r="AC86" s="100">
        <f t="shared" si="50"/>
        <v>0</v>
      </c>
      <c r="AD86" s="83">
        <f>SUM(Y$85:Y86)</f>
        <v>0</v>
      </c>
      <c r="AE86" s="83">
        <f>SUM(Z$85:Z86)</f>
        <v>0</v>
      </c>
      <c r="AF86" s="83">
        <f>SUM(AA$85:AA86)</f>
        <v>0</v>
      </c>
      <c r="AG86" s="83">
        <f>SUM(AB$85:AB86)</f>
        <v>0</v>
      </c>
      <c r="AH86" s="83">
        <f>SUM(AC$85:AC86)</f>
        <v>0</v>
      </c>
      <c r="AI86" s="100">
        <f>M5*(W86-W85)+AI85</f>
        <v>45.682512235456215</v>
      </c>
      <c r="AJ86" s="100">
        <f>I5*(W86-W85)+AJ85</f>
        <v>0</v>
      </c>
      <c r="AK86" s="100">
        <f>IFERROR(I5*(W86-W85)*SUMPRODUCT(D5:H5,$D$27:$H$27)/SUM(D5:H5)+AK85,0)</f>
        <v>0</v>
      </c>
      <c r="AL86" s="103">
        <f>IFERROR(求节点('六艺&amp;奇遇'!$T$5:$T$113,'六艺&amp;奇遇'!$U$5:$U$113,AK86),0)</f>
        <v>0</v>
      </c>
      <c r="AM86" s="103">
        <f>IFERROR(求节点('六艺&amp;奇遇'!$T$5:$T$113,'六艺&amp;奇遇'!V$5:V$113,$AK86),0)</f>
        <v>0</v>
      </c>
      <c r="AN86" s="103">
        <f>IFERROR(求节点('六艺&amp;奇遇'!$T$5:$T$113,'六艺&amp;奇遇'!W$5:W$113,$AK86),0)</f>
        <v>0</v>
      </c>
      <c r="AO86" s="103">
        <f>IFERROR(求节点('六艺&amp;奇遇'!$T$5:$T$113,'六艺&amp;奇遇'!X$5:X$113,$AK86),0)</f>
        <v>0</v>
      </c>
      <c r="AP86" s="103">
        <f>IFERROR(求节点('六艺&amp;奇遇'!$T$5:$T$113,'六艺&amp;奇遇'!Y$5:Y$113,$AK86),0)</f>
        <v>0</v>
      </c>
      <c r="AQ86" s="103">
        <f>IFERROR(求节点('六艺&amp;奇遇'!$T$5:$T$113,'六艺&amp;奇遇'!Z$5:Z$113,$AK86),0)</f>
        <v>0</v>
      </c>
      <c r="AT86" s="117">
        <v>82</v>
      </c>
      <c r="AU86" s="117">
        <f t="shared" si="45"/>
        <v>6670.8298029515363</v>
      </c>
      <c r="AV86" s="117">
        <f t="shared" si="46"/>
        <v>6258.1143253073842</v>
      </c>
      <c r="AW86" s="117">
        <f t="shared" si="47"/>
        <v>5815.210386352016</v>
      </c>
      <c r="AX86" s="117">
        <f t="shared" si="48"/>
        <v>5157.9323509463211</v>
      </c>
      <c r="AY86" s="117">
        <f t="shared" si="49"/>
        <v>4235.1641034402373</v>
      </c>
    </row>
    <row r="87" spans="21:51" x14ac:dyDescent="0.15">
      <c r="U87" s="83">
        <v>3</v>
      </c>
      <c r="V87" s="60">
        <f>基础信息!D92</f>
        <v>23.5</v>
      </c>
      <c r="W87" s="61">
        <f>基础信息!E92</f>
        <v>1.9310027754318846</v>
      </c>
      <c r="X87" s="61">
        <f>基础信息!F92</f>
        <v>28.96506192552858</v>
      </c>
      <c r="Y87" s="100">
        <f t="shared" ref="Y87:Y100" si="51">($W87-$W86)*N6</f>
        <v>0</v>
      </c>
      <c r="Z87" s="100">
        <f t="shared" ref="Z87:Z100" si="52">($W87-$W86)*O6</f>
        <v>0</v>
      </c>
      <c r="AA87" s="100">
        <f t="shared" ref="AA87:AA100" si="53">($W87-$W86)*P6</f>
        <v>0</v>
      </c>
      <c r="AB87" s="100">
        <f t="shared" ref="AB87:AB100" si="54">($W87-$W86)*Q6</f>
        <v>0</v>
      </c>
      <c r="AC87" s="100">
        <f t="shared" ref="AC87:AC100" si="55">($W87-$W86)*R6</f>
        <v>0</v>
      </c>
      <c r="AD87" s="83">
        <f>SUM(Y$85:Y87)</f>
        <v>0</v>
      </c>
      <c r="AE87" s="83">
        <f>SUM(Z$85:Z87)</f>
        <v>0</v>
      </c>
      <c r="AF87" s="83">
        <f>SUM(AA$85:AA87)</f>
        <v>0</v>
      </c>
      <c r="AG87" s="83">
        <f>SUM(AB$85:AB87)</f>
        <v>0</v>
      </c>
      <c r="AH87" s="83">
        <f>SUM(AC$85:AC87)</f>
        <v>0</v>
      </c>
      <c r="AI87" s="100">
        <f t="shared" ref="AI87:AI100" si="56">M6*(W87-W86)+AI86</f>
        <v>151.98907182532344</v>
      </c>
      <c r="AJ87" s="100">
        <f t="shared" ref="AJ87:AJ100" si="57">I6*(W87-W86)+AJ86</f>
        <v>0</v>
      </c>
      <c r="AK87" s="116">
        <f t="shared" ref="AK87:AK100" si="58">IFERROR(I6*(W87-W86)*SUMPRODUCT(D6:H6,$D$27:$H$27)/SUM(D6:H6)+AK86,0)</f>
        <v>0</v>
      </c>
      <c r="AL87" s="103">
        <f>IFERROR(求节点('六艺&amp;奇遇'!$T$5:$T$113,'六艺&amp;奇遇'!$U$5:$U$113,AK87),0)</f>
        <v>0</v>
      </c>
      <c r="AM87" s="103">
        <f>IFERROR(求节点('六艺&amp;奇遇'!$T$5:$T$113,'六艺&amp;奇遇'!V$5:V$113,$AK87),0)</f>
        <v>0</v>
      </c>
      <c r="AN87" s="103">
        <f>IFERROR(求节点('六艺&amp;奇遇'!$T$5:$T$113,'六艺&amp;奇遇'!W$5:W$113,$AK87),0)</f>
        <v>0</v>
      </c>
      <c r="AO87" s="103">
        <f>IFERROR(求节点('六艺&amp;奇遇'!$T$5:$T$113,'六艺&amp;奇遇'!X$5:X$113,$AK87),0)</f>
        <v>0</v>
      </c>
      <c r="AP87" s="103">
        <f>IFERROR(求节点('六艺&amp;奇遇'!$T$5:$T$113,'六艺&amp;奇遇'!Y$5:Y$113,$AK87),0)</f>
        <v>0</v>
      </c>
      <c r="AQ87" s="103">
        <f>IFERROR(求节点('六艺&amp;奇遇'!$T$5:$T$113,'六艺&amp;奇遇'!Z$5:Z$113,$AK87),0)</f>
        <v>0</v>
      </c>
      <c r="AT87" s="117">
        <v>83</v>
      </c>
      <c r="AU87" s="117">
        <f t="shared" si="45"/>
        <v>6878.2860494998113</v>
      </c>
      <c r="AV87" s="117">
        <f t="shared" si="46"/>
        <v>6451.5027462548569</v>
      </c>
      <c r="AW87" s="117">
        <f t="shared" si="47"/>
        <v>6002.5128968623067</v>
      </c>
      <c r="AX87" s="117">
        <f t="shared" si="48"/>
        <v>5286.2804682475007</v>
      </c>
      <c r="AY87" s="117">
        <f t="shared" si="49"/>
        <v>4348.737772128844</v>
      </c>
    </row>
    <row r="88" spans="21:51" x14ac:dyDescent="0.15">
      <c r="U88" s="83">
        <v>4</v>
      </c>
      <c r="V88" s="60">
        <f>基础信息!D93</f>
        <v>27.5</v>
      </c>
      <c r="W88" s="61">
        <f>基础信息!E93</f>
        <v>3.7740446275970769</v>
      </c>
      <c r="X88" s="61">
        <f>基础信息!F93</f>
        <v>37.642488096871389</v>
      </c>
      <c r="Y88" s="100">
        <f t="shared" si="51"/>
        <v>0</v>
      </c>
      <c r="Z88" s="100">
        <f t="shared" si="52"/>
        <v>0</v>
      </c>
      <c r="AA88" s="100">
        <f t="shared" si="53"/>
        <v>0</v>
      </c>
      <c r="AB88" s="100">
        <f t="shared" si="54"/>
        <v>0</v>
      </c>
      <c r="AC88" s="100">
        <f t="shared" si="55"/>
        <v>0</v>
      </c>
      <c r="AD88" s="83">
        <f>SUM(Y$85:Y88)</f>
        <v>0</v>
      </c>
      <c r="AE88" s="83">
        <f>SUM(Z$85:Z88)</f>
        <v>0</v>
      </c>
      <c r="AF88" s="83">
        <f>SUM(AA$85:AA88)</f>
        <v>0</v>
      </c>
      <c r="AG88" s="83">
        <f>SUM(AB$85:AB88)</f>
        <v>0</v>
      </c>
      <c r="AH88" s="83">
        <f>SUM(AC$85:AC88)</f>
        <v>0</v>
      </c>
      <c r="AI88" s="100">
        <f t="shared" si="56"/>
        <v>373.15409408514654</v>
      </c>
      <c r="AJ88" s="100">
        <f t="shared" si="57"/>
        <v>0</v>
      </c>
      <c r="AK88" s="116">
        <f t="shared" si="58"/>
        <v>0</v>
      </c>
      <c r="AL88" s="103">
        <f>IFERROR(求节点('六艺&amp;奇遇'!$T$5:$T$113,'六艺&amp;奇遇'!$U$5:$U$113,AK88),0)</f>
        <v>0</v>
      </c>
      <c r="AM88" s="103">
        <f>IFERROR(求节点('六艺&amp;奇遇'!$T$5:$T$113,'六艺&amp;奇遇'!V$5:V$113,$AK88),0)</f>
        <v>0</v>
      </c>
      <c r="AN88" s="103">
        <f>IFERROR(求节点('六艺&amp;奇遇'!$T$5:$T$113,'六艺&amp;奇遇'!W$5:W$113,$AK88),0)</f>
        <v>0</v>
      </c>
      <c r="AO88" s="103">
        <f>IFERROR(求节点('六艺&amp;奇遇'!$T$5:$T$113,'六艺&amp;奇遇'!X$5:X$113,$AK88),0)</f>
        <v>0</v>
      </c>
      <c r="AP88" s="103">
        <f>IFERROR(求节点('六艺&amp;奇遇'!$T$5:$T$113,'六艺&amp;奇遇'!Y$5:Y$113,$AK88),0)</f>
        <v>0</v>
      </c>
      <c r="AQ88" s="103">
        <f>IFERROR(求节点('六艺&amp;奇遇'!$T$5:$T$113,'六艺&amp;奇遇'!Z$5:Z$113,$AK88),0)</f>
        <v>0</v>
      </c>
      <c r="AT88" s="117">
        <v>84</v>
      </c>
      <c r="AU88" s="117">
        <f t="shared" si="45"/>
        <v>7085.7422960480872</v>
      </c>
      <c r="AV88" s="117">
        <f t="shared" si="46"/>
        <v>6644.8911672023314</v>
      </c>
      <c r="AW88" s="117">
        <f t="shared" si="47"/>
        <v>6189.8154073725964</v>
      </c>
      <c r="AX88" s="117">
        <f t="shared" si="48"/>
        <v>5453.4436907712297</v>
      </c>
      <c r="AY88" s="117">
        <f t="shared" si="49"/>
        <v>4462.3114408174515</v>
      </c>
    </row>
    <row r="89" spans="21:51" x14ac:dyDescent="0.15">
      <c r="U89" s="83">
        <v>5</v>
      </c>
      <c r="V89" s="60">
        <f>基础信息!D94</f>
        <v>31.5</v>
      </c>
      <c r="W89" s="61">
        <f>基础信息!E94</f>
        <v>7.2578477527161347</v>
      </c>
      <c r="X89" s="61">
        <f>基础信息!F94</f>
        <v>46.621425173369133</v>
      </c>
      <c r="Y89" s="100">
        <f t="shared" si="51"/>
        <v>2.7870425000952466</v>
      </c>
      <c r="Z89" s="100">
        <f t="shared" si="52"/>
        <v>0.69676062502381164</v>
      </c>
      <c r="AA89" s="100">
        <f t="shared" si="53"/>
        <v>0</v>
      </c>
      <c r="AB89" s="100">
        <f t="shared" si="54"/>
        <v>0</v>
      </c>
      <c r="AC89" s="100">
        <f t="shared" si="55"/>
        <v>0</v>
      </c>
      <c r="AD89" s="83">
        <f>SUM(Y$85:Y89)</f>
        <v>2.7870425000952466</v>
      </c>
      <c r="AE89" s="83">
        <f>SUM(Z$85:Z89)</f>
        <v>0.69676062502381164</v>
      </c>
      <c r="AF89" s="83">
        <f>SUM(AA$85:AA89)</f>
        <v>0</v>
      </c>
      <c r="AG89" s="83">
        <f>SUM(AB$85:AB89)</f>
        <v>0</v>
      </c>
      <c r="AH89" s="83">
        <f>SUM(AC$85:AC89)</f>
        <v>0</v>
      </c>
      <c r="AI89" s="100">
        <f t="shared" si="56"/>
        <v>947.9816097297911</v>
      </c>
      <c r="AJ89" s="100">
        <f t="shared" si="57"/>
        <v>17.419015625595289</v>
      </c>
      <c r="AK89" s="116">
        <f t="shared" si="58"/>
        <v>26.128523438392936</v>
      </c>
      <c r="AL89" s="103">
        <f>IFERROR(求节点('六艺&amp;奇遇'!$T$5:$T$113,'六艺&amp;奇遇'!$U$5:$U$113,AK89),0)</f>
        <v>261.28523438392938</v>
      </c>
      <c r="AM89" s="103">
        <f>IFERROR(求节点('六艺&amp;奇遇'!$T$5:$T$113,'六艺&amp;奇遇'!V$5:V$113,$AK89),0)</f>
        <v>0</v>
      </c>
      <c r="AN89" s="103">
        <f>IFERROR(求节点('六艺&amp;奇遇'!$T$5:$T$113,'六艺&amp;奇遇'!W$5:W$113,$AK89),0)</f>
        <v>0</v>
      </c>
      <c r="AO89" s="103">
        <f>IFERROR(求节点('六艺&amp;奇遇'!$T$5:$T$113,'六艺&amp;奇遇'!X$5:X$113,$AK89),0)</f>
        <v>0</v>
      </c>
      <c r="AP89" s="103">
        <f>IFERROR(求节点('六艺&amp;奇遇'!$T$5:$T$113,'六艺&amp;奇遇'!Y$5:Y$113,$AK89),0)</f>
        <v>0</v>
      </c>
      <c r="AQ89" s="103">
        <f>IFERROR(求节点('六艺&amp;奇遇'!$T$5:$T$113,'六艺&amp;奇遇'!Z$5:Z$113,$AK89),0)</f>
        <v>0</v>
      </c>
      <c r="AT89" s="117">
        <v>85</v>
      </c>
      <c r="AU89" s="117">
        <f t="shared" si="45"/>
        <v>7293.198542596363</v>
      </c>
      <c r="AV89" s="117">
        <f t="shared" si="46"/>
        <v>6838.2795881498041</v>
      </c>
      <c r="AW89" s="117">
        <f t="shared" si="47"/>
        <v>6378.0264726888881</v>
      </c>
      <c r="AX89" s="117">
        <f t="shared" si="48"/>
        <v>5626.7387815706761</v>
      </c>
      <c r="AY89" s="117">
        <f t="shared" si="49"/>
        <v>4575.8851095060581</v>
      </c>
    </row>
    <row r="90" spans="21:51" x14ac:dyDescent="0.15">
      <c r="U90" s="83">
        <v>6</v>
      </c>
      <c r="V90" s="60">
        <f>基础信息!D95</f>
        <v>35.5</v>
      </c>
      <c r="W90" s="61">
        <f>基础信息!E95</f>
        <v>13.724686166700833</v>
      </c>
      <c r="X90" s="61">
        <f>基础信息!F95</f>
        <v>55.873561913262044</v>
      </c>
      <c r="Y90" s="100">
        <f t="shared" si="51"/>
        <v>4.3974501215095954</v>
      </c>
      <c r="Z90" s="100">
        <f t="shared" si="52"/>
        <v>1.6813779876360215</v>
      </c>
      <c r="AA90" s="100">
        <f t="shared" si="53"/>
        <v>0.38801030483908189</v>
      </c>
      <c r="AB90" s="100">
        <f t="shared" si="54"/>
        <v>0</v>
      </c>
      <c r="AC90" s="100">
        <f t="shared" si="55"/>
        <v>0</v>
      </c>
      <c r="AD90" s="83">
        <f>SUM(Y$85:Y90)</f>
        <v>7.1844926216048419</v>
      </c>
      <c r="AE90" s="83">
        <f>SUM(Z$85:Z90)</f>
        <v>2.378138612659833</v>
      </c>
      <c r="AF90" s="83">
        <f>SUM(AA$85:AA90)</f>
        <v>0.38801030483908189</v>
      </c>
      <c r="AG90" s="83">
        <f>SUM(AB$85:AB90)</f>
        <v>0</v>
      </c>
      <c r="AH90" s="83">
        <f>SUM(AC$85:AC90)</f>
        <v>0</v>
      </c>
      <c r="AI90" s="100">
        <f t="shared" si="56"/>
        <v>2280.1503230106391</v>
      </c>
      <c r="AJ90" s="100">
        <f t="shared" si="57"/>
        <v>49.753207695518782</v>
      </c>
      <c r="AK90" s="116">
        <f t="shared" si="58"/>
        <v>94.030326785232262</v>
      </c>
      <c r="AL90" s="103">
        <f>IFERROR(求节点('六艺&amp;奇遇'!$T$5:$T$113,'六艺&amp;奇遇'!$U$5:$U$113,AK90),0)</f>
        <v>800</v>
      </c>
      <c r="AM90" s="103">
        <f>IFERROR(求节点('六艺&amp;奇遇'!$T$5:$T$113,'六艺&amp;奇遇'!V$5:V$113,$AK90),0)</f>
        <v>0</v>
      </c>
      <c r="AN90" s="103">
        <f>IFERROR(求节点('六艺&amp;奇遇'!$T$5:$T$113,'六艺&amp;奇遇'!W$5:W$113,$AK90),0)</f>
        <v>0</v>
      </c>
      <c r="AO90" s="103">
        <f>IFERROR(求节点('六艺&amp;奇遇'!$T$5:$T$113,'六艺&amp;奇遇'!X$5:X$113,$AK90),0)</f>
        <v>0</v>
      </c>
      <c r="AP90" s="103">
        <f>IFERROR(求节点('六艺&amp;奇遇'!$T$5:$T$113,'六艺&amp;奇遇'!Y$5:Y$113,$AK90),0)</f>
        <v>0</v>
      </c>
      <c r="AQ90" s="103">
        <f>IFERROR(求节点('六艺&amp;奇遇'!$T$5:$T$113,'六艺&amp;奇遇'!Z$5:Z$113,$AK90),0)</f>
        <v>0</v>
      </c>
      <c r="AT90" s="117">
        <v>86</v>
      </c>
      <c r="AU90" s="117">
        <f t="shared" si="45"/>
        <v>7500.6547891446389</v>
      </c>
      <c r="AV90" s="117">
        <f t="shared" si="46"/>
        <v>7032.2123888773203</v>
      </c>
      <c r="AW90" s="117">
        <f t="shared" si="47"/>
        <v>6566.9699058706428</v>
      </c>
      <c r="AX90" s="117">
        <f t="shared" si="48"/>
        <v>5800.0338723701225</v>
      </c>
      <c r="AY90" s="117">
        <f t="shared" si="49"/>
        <v>4689.4587781946648</v>
      </c>
    </row>
    <row r="91" spans="21:51" x14ac:dyDescent="0.15">
      <c r="U91" s="83">
        <v>7</v>
      </c>
      <c r="V91" s="60">
        <f>基础信息!D96</f>
        <v>39.5</v>
      </c>
      <c r="W91" s="61">
        <f>基础信息!E96</f>
        <v>24.924269098598003</v>
      </c>
      <c r="X91" s="61">
        <f>基础信息!F96</f>
        <v>64.352574598751431</v>
      </c>
      <c r="Y91" s="100">
        <f t="shared" si="51"/>
        <v>5.5997914659485852</v>
      </c>
      <c r="Z91" s="100">
        <f t="shared" si="52"/>
        <v>4.1998435994614391</v>
      </c>
      <c r="AA91" s="100">
        <f t="shared" si="53"/>
        <v>1.3439499518276603</v>
      </c>
      <c r="AB91" s="100">
        <f t="shared" si="54"/>
        <v>5.5997914659485865E-2</v>
      </c>
      <c r="AC91" s="100">
        <f t="shared" si="55"/>
        <v>0</v>
      </c>
      <c r="AD91" s="83">
        <f>SUM(Y$85:Y91)</f>
        <v>12.784284087553427</v>
      </c>
      <c r="AE91" s="83">
        <f>SUM(Z$85:Z91)</f>
        <v>6.5779822121212721</v>
      </c>
      <c r="AF91" s="83">
        <f>SUM(AA$85:AA91)</f>
        <v>1.7319602566667422</v>
      </c>
      <c r="AG91" s="83">
        <f>SUM(AB$85:AB91)</f>
        <v>5.5997914659485865E-2</v>
      </c>
      <c r="AH91" s="83">
        <f>SUM(AC$85:AC91)</f>
        <v>0</v>
      </c>
      <c r="AI91" s="100">
        <f t="shared" si="56"/>
        <v>5217.2409469006725</v>
      </c>
      <c r="AJ91" s="100">
        <f t="shared" si="57"/>
        <v>105.75112235500464</v>
      </c>
      <c r="AK91" s="116">
        <f t="shared" si="58"/>
        <v>264.82396649666413</v>
      </c>
      <c r="AL91" s="103">
        <f>IFERROR(求节点('六艺&amp;奇遇'!$T$5:$T$113,'六艺&amp;奇遇'!$U$5:$U$113,AK91),0)</f>
        <v>2048.2396649666412</v>
      </c>
      <c r="AM91" s="103">
        <f>IFERROR(求节点('六艺&amp;奇遇'!$T$5:$T$113,'六艺&amp;奇遇'!V$5:V$113,$AK91),0)</f>
        <v>0</v>
      </c>
      <c r="AN91" s="103">
        <f>IFERROR(求节点('六艺&amp;奇遇'!$T$5:$T$113,'六艺&amp;奇遇'!W$5:W$113,$AK91),0)</f>
        <v>0</v>
      </c>
      <c r="AO91" s="103">
        <f>IFERROR(求节点('六艺&amp;奇遇'!$T$5:$T$113,'六艺&amp;奇遇'!X$5:X$113,$AK91),0)</f>
        <v>0</v>
      </c>
      <c r="AP91" s="103">
        <f>IFERROR(求节点('六艺&amp;奇遇'!$T$5:$T$113,'六艺&amp;奇遇'!Y$5:Y$113,$AK91),0)</f>
        <v>0</v>
      </c>
      <c r="AQ91" s="103">
        <f>IFERROR(求节点('六艺&amp;奇遇'!$T$5:$T$113,'六艺&amp;奇遇'!Z$5:Z$113,$AK91),0)</f>
        <v>0</v>
      </c>
      <c r="AT91" s="117">
        <v>87</v>
      </c>
      <c r="AU91" s="117">
        <f t="shared" si="45"/>
        <v>7706.2835066349326</v>
      </c>
      <c r="AV91" s="117">
        <f t="shared" si="46"/>
        <v>7227.1693033927377</v>
      </c>
      <c r="AW91" s="117">
        <f t="shared" si="47"/>
        <v>6755.9133390523966</v>
      </c>
      <c r="AX91" s="117">
        <f t="shared" si="48"/>
        <v>5973.3289631695689</v>
      </c>
      <c r="AY91" s="117">
        <f t="shared" si="49"/>
        <v>4803.0324468832723</v>
      </c>
    </row>
    <row r="92" spans="21:51" x14ac:dyDescent="0.15">
      <c r="U92" s="83">
        <v>8</v>
      </c>
      <c r="V92" s="60">
        <f>基础信息!D97</f>
        <v>43.5</v>
      </c>
      <c r="W92" s="61">
        <f>基础信息!E97</f>
        <v>45.136608733654796</v>
      </c>
      <c r="X92" s="61">
        <f>基础信息!F97</f>
        <v>73.078652735991781</v>
      </c>
      <c r="Y92" s="100">
        <f t="shared" si="51"/>
        <v>9.0955528357755568</v>
      </c>
      <c r="Z92" s="100">
        <f t="shared" si="52"/>
        <v>7.5796273631462974</v>
      </c>
      <c r="AA92" s="100">
        <f t="shared" si="53"/>
        <v>3.3350360397843715</v>
      </c>
      <c r="AB92" s="100">
        <f t="shared" si="54"/>
        <v>0.20212339635056797</v>
      </c>
      <c r="AC92" s="100">
        <f t="shared" si="55"/>
        <v>0</v>
      </c>
      <c r="AD92" s="83">
        <f>SUM(Y$85:Y92)</f>
        <v>21.879836923328984</v>
      </c>
      <c r="AE92" s="83">
        <f>SUM(Z$85:Z92)</f>
        <v>14.157609575267569</v>
      </c>
      <c r="AF92" s="83">
        <f>SUM(AA$85:AA92)</f>
        <v>5.0669962964511139</v>
      </c>
      <c r="AG92" s="83">
        <f>SUM(AB$85:AB92)</f>
        <v>0.25812131101005387</v>
      </c>
      <c r="AH92" s="83">
        <f>SUM(AC$85:AC92)</f>
        <v>0</v>
      </c>
      <c r="AI92" s="100">
        <f t="shared" si="56"/>
        <v>11144.509544881077</v>
      </c>
      <c r="AJ92" s="100">
        <f t="shared" si="57"/>
        <v>206.8128205302886</v>
      </c>
      <c r="AK92" s="116">
        <f t="shared" si="58"/>
        <v>578.11523084004443</v>
      </c>
      <c r="AL92" s="103">
        <f>IFERROR(求节点('六艺&amp;奇遇'!$T$5:$T$113,'六艺&amp;奇遇'!$U$5:$U$113,AK92),0)</f>
        <v>3512.4609233601777</v>
      </c>
      <c r="AM92" s="103">
        <f>IFERROR(求节点('六艺&amp;奇遇'!$T$5:$T$113,'六艺&amp;奇遇'!V$5:V$113,$AK92),0)</f>
        <v>0</v>
      </c>
      <c r="AN92" s="103">
        <f>IFERROR(求节点('六艺&amp;奇遇'!$T$5:$T$113,'六艺&amp;奇遇'!W$5:W$113,$AK92),0)</f>
        <v>0</v>
      </c>
      <c r="AO92" s="103">
        <f>IFERROR(求节点('六艺&amp;奇遇'!$T$5:$T$113,'六艺&amp;奇遇'!X$5:X$113,$AK92),0)</f>
        <v>0</v>
      </c>
      <c r="AP92" s="103">
        <f>IFERROR(求节点('六艺&amp;奇遇'!$T$5:$T$113,'六艺&amp;奇遇'!Y$5:Y$113,$AK92),0)</f>
        <v>0</v>
      </c>
      <c r="AQ92" s="103">
        <f>IFERROR(求节点('六艺&amp;奇遇'!$T$5:$T$113,'六艺&amp;奇遇'!Z$5:Z$113,$AK92),0)</f>
        <v>0</v>
      </c>
      <c r="AT92" s="117">
        <v>88</v>
      </c>
      <c r="AU92" s="117">
        <f t="shared" si="45"/>
        <v>7906.5079356126316</v>
      </c>
      <c r="AV92" s="117">
        <f t="shared" si="46"/>
        <v>7422.1262179081559</v>
      </c>
      <c r="AW92" s="117">
        <f t="shared" si="47"/>
        <v>6944.8567722341513</v>
      </c>
      <c r="AX92" s="117">
        <f t="shared" si="48"/>
        <v>6146.6240539690152</v>
      </c>
      <c r="AY92" s="117">
        <f t="shared" si="49"/>
        <v>4916.6061155718789</v>
      </c>
    </row>
    <row r="93" spans="21:51" x14ac:dyDescent="0.15">
      <c r="U93" s="83">
        <v>9</v>
      </c>
      <c r="V93" s="60">
        <f>基础信息!D98</f>
        <v>47.5</v>
      </c>
      <c r="W93" s="61">
        <f>基础信息!E98</f>
        <v>81.567079653693213</v>
      </c>
      <c r="X93" s="61">
        <f>基础信息!F98</f>
        <v>81.690385070357735</v>
      </c>
      <c r="Y93" s="100">
        <f t="shared" si="51"/>
        <v>14.572188368015368</v>
      </c>
      <c r="Z93" s="100">
        <f t="shared" si="52"/>
        <v>13.661426595014406</v>
      </c>
      <c r="AA93" s="100">
        <f t="shared" si="53"/>
        <v>7.6503988932080684</v>
      </c>
      <c r="AB93" s="100">
        <f t="shared" si="54"/>
        <v>0.54645706380057624</v>
      </c>
      <c r="AC93" s="100">
        <f t="shared" si="55"/>
        <v>0</v>
      </c>
      <c r="AD93" s="83">
        <f>SUM(Y$85:Y93)</f>
        <v>36.452025291344356</v>
      </c>
      <c r="AE93" s="83">
        <f>SUM(Z$85:Z93)</f>
        <v>27.819036170281976</v>
      </c>
      <c r="AF93" s="83">
        <f>SUM(AA$85:AA93)</f>
        <v>12.717395189659182</v>
      </c>
      <c r="AG93" s="83">
        <f>SUM(AB$85:AB93)</f>
        <v>0.8045783748106301</v>
      </c>
      <c r="AH93" s="83">
        <f>SUM(AC$85:AC93)</f>
        <v>0</v>
      </c>
      <c r="AI93" s="100">
        <f t="shared" si="56"/>
        <v>23321.394449903917</v>
      </c>
      <c r="AJ93" s="100">
        <f t="shared" si="57"/>
        <v>388.9651751304807</v>
      </c>
      <c r="AK93" s="116">
        <f t="shared" si="58"/>
        <v>1151.8951478306494</v>
      </c>
      <c r="AL93" s="103">
        <f>IFERROR(求节点('六艺&amp;奇遇'!$T$5:$T$113,'六艺&amp;奇遇'!$U$5:$U$113,AK93),0)</f>
        <v>4200</v>
      </c>
      <c r="AM93" s="103">
        <f>IFERROR(求节点('六艺&amp;奇遇'!$T$5:$T$113,'六艺&amp;奇遇'!V$5:V$113,$AK93),0)</f>
        <v>0</v>
      </c>
      <c r="AN93" s="103">
        <f>IFERROR(求节点('六艺&amp;奇遇'!$T$5:$T$113,'六艺&amp;奇遇'!W$5:W$113,$AK93),0)</f>
        <v>0</v>
      </c>
      <c r="AO93" s="103">
        <f>IFERROR(求节点('六艺&amp;奇遇'!$T$5:$T$113,'六艺&amp;奇遇'!X$5:X$113,$AK93),0)</f>
        <v>0</v>
      </c>
      <c r="AP93" s="103">
        <f>IFERROR(求节点('六艺&amp;奇遇'!$T$5:$T$113,'六艺&amp;奇遇'!Y$5:Y$113,$AK93),0)</f>
        <v>0</v>
      </c>
      <c r="AQ93" s="103">
        <f>IFERROR(求节点('六艺&amp;奇遇'!$T$5:$T$113,'六艺&amp;奇遇'!Z$5:Z$113,$AK93),0)</f>
        <v>0</v>
      </c>
      <c r="AT93" s="117">
        <v>89</v>
      </c>
      <c r="AU93" s="117">
        <f t="shared" si="45"/>
        <v>8106.7323645903307</v>
      </c>
      <c r="AV93" s="117">
        <f t="shared" si="46"/>
        <v>7617.0831324235742</v>
      </c>
      <c r="AW93" s="117">
        <f t="shared" si="47"/>
        <v>7133.800205415906</v>
      </c>
      <c r="AX93" s="117">
        <f t="shared" si="48"/>
        <v>6319.9191447684616</v>
      </c>
      <c r="AY93" s="117">
        <f t="shared" si="49"/>
        <v>5030.1797842604865</v>
      </c>
    </row>
    <row r="94" spans="21:51" x14ac:dyDescent="0.15">
      <c r="U94" s="83">
        <v>10</v>
      </c>
      <c r="V94" s="60">
        <f>基础信息!D99</f>
        <v>52</v>
      </c>
      <c r="W94" s="61">
        <f>基础信息!E99</f>
        <v>157.97060377387891</v>
      </c>
      <c r="X94" s="61">
        <f>基础信息!F99</f>
        <v>92.03038330510195</v>
      </c>
      <c r="Y94" s="100">
        <f t="shared" si="51"/>
        <v>26.741233442064996</v>
      </c>
      <c r="Z94" s="100">
        <f t="shared" si="52"/>
        <v>28.651321545069635</v>
      </c>
      <c r="AA94" s="100">
        <f t="shared" si="53"/>
        <v>19.482898650647353</v>
      </c>
      <c r="AB94" s="100">
        <f t="shared" si="54"/>
        <v>1.5280704824037141</v>
      </c>
      <c r="AC94" s="100">
        <f t="shared" si="55"/>
        <v>0</v>
      </c>
      <c r="AD94" s="83">
        <f>SUM(Y$85:Y94)</f>
        <v>63.193258733409351</v>
      </c>
      <c r="AE94" s="83">
        <f>SUM(Z$85:Z94)</f>
        <v>56.470357715351611</v>
      </c>
      <c r="AF94" s="83">
        <f>SUM(AA$85:AA94)</f>
        <v>32.200293840306536</v>
      </c>
      <c r="AG94" s="83">
        <f>SUM(AB$85:AB94)</f>
        <v>2.3326488572143442</v>
      </c>
      <c r="AH94" s="83">
        <f>SUM(AC$85:AC94)</f>
        <v>0</v>
      </c>
      <c r="AI94" s="100">
        <f t="shared" si="56"/>
        <v>51991.816876003599</v>
      </c>
      <c r="AJ94" s="100">
        <f t="shared" si="57"/>
        <v>770.98279573140917</v>
      </c>
      <c r="AK94" s="116">
        <f t="shared" si="58"/>
        <v>2374.3515337536205</v>
      </c>
      <c r="AL94" s="103">
        <f>IFERROR(求节点('六艺&amp;奇遇'!$T$5:$T$113,'六艺&amp;奇遇'!$U$5:$U$113,AK94),0)</f>
        <v>5374.351533753621</v>
      </c>
      <c r="AM94" s="103">
        <f>IFERROR(求节点('六艺&amp;奇遇'!$T$5:$T$113,'六艺&amp;奇遇'!V$5:V$113,$AK94),0)</f>
        <v>0</v>
      </c>
      <c r="AN94" s="103">
        <f>IFERROR(求节点('六艺&amp;奇遇'!$T$5:$T$113,'六艺&amp;奇遇'!W$5:W$113,$AK94),0)</f>
        <v>0</v>
      </c>
      <c r="AO94" s="103">
        <f>IFERROR(求节点('六艺&amp;奇遇'!$T$5:$T$113,'六艺&amp;奇遇'!X$5:X$113,$AK94),0)</f>
        <v>0</v>
      </c>
      <c r="AP94" s="103">
        <f>IFERROR(求节点('六艺&amp;奇遇'!$T$5:$T$113,'六艺&amp;奇遇'!Y$5:Y$113,$AK94),0)</f>
        <v>0</v>
      </c>
      <c r="AQ94" s="103">
        <f>IFERROR(求节点('六艺&amp;奇遇'!$T$5:$T$113,'六艺&amp;奇遇'!Z$5:Z$113,$AK94),0)</f>
        <v>0</v>
      </c>
      <c r="AT94" s="117">
        <v>90</v>
      </c>
      <c r="AU94" s="117">
        <f t="shared" si="45"/>
        <v>8306.9567935680298</v>
      </c>
      <c r="AV94" s="117">
        <f t="shared" si="46"/>
        <v>7812.0400469389924</v>
      </c>
      <c r="AW94" s="117">
        <f t="shared" si="47"/>
        <v>7322.7436385976607</v>
      </c>
      <c r="AX94" s="117">
        <f t="shared" si="48"/>
        <v>6493.214235567908</v>
      </c>
      <c r="AY94" s="117">
        <f t="shared" si="49"/>
        <v>5143.7534529490931</v>
      </c>
    </row>
    <row r="95" spans="21:51" x14ac:dyDescent="0.15">
      <c r="U95" s="83">
        <v>11</v>
      </c>
      <c r="V95" s="60">
        <f>基础信息!D100</f>
        <v>57</v>
      </c>
      <c r="W95" s="61">
        <f>基础信息!E100</f>
        <v>329.56496855407232</v>
      </c>
      <c r="X95" s="61">
        <f>基础信息!F100</f>
        <v>102.71853803916484</v>
      </c>
      <c r="Y95" s="100">
        <f t="shared" si="51"/>
        <v>50.791931974937256</v>
      </c>
      <c r="Z95" s="100">
        <f t="shared" si="52"/>
        <v>63.833103698231966</v>
      </c>
      <c r="AA95" s="100">
        <f t="shared" si="53"/>
        <v>52.147527456700786</v>
      </c>
      <c r="AB95" s="100">
        <f t="shared" si="54"/>
        <v>4.8046422138454155</v>
      </c>
      <c r="AC95" s="100">
        <f t="shared" si="55"/>
        <v>1.7159436478019343E-2</v>
      </c>
      <c r="AD95" s="83">
        <f>SUM(Y$85:Y95)</f>
        <v>113.98519070834661</v>
      </c>
      <c r="AE95" s="83">
        <f>SUM(Z$85:Z95)</f>
        <v>120.30346141358358</v>
      </c>
      <c r="AF95" s="83">
        <f>SUM(AA$85:AA95)</f>
        <v>84.347821297007329</v>
      </c>
      <c r="AG95" s="83">
        <f>SUM(AB$85:AB95)</f>
        <v>7.1372910710597601</v>
      </c>
      <c r="AH95" s="83">
        <f>SUM(AC$85:AC95)</f>
        <v>1.7159436478019343E-2</v>
      </c>
      <c r="AI95" s="100">
        <f t="shared" si="56"/>
        <v>124181.56613903097</v>
      </c>
      <c r="AJ95" s="100">
        <f t="shared" si="57"/>
        <v>1628.9546196323763</v>
      </c>
      <c r="AK95" s="116">
        <f t="shared" si="58"/>
        <v>5179.9193979097836</v>
      </c>
      <c r="AL95" s="103">
        <f>IFERROR(求节点('六艺&amp;奇遇'!$T$5:$T$113,'六艺&amp;奇遇'!$U$5:$U$113,AK95),0)</f>
        <v>7307.9516387458698</v>
      </c>
      <c r="AM95" s="103">
        <f>IFERROR(求节点('六艺&amp;奇遇'!$T$5:$T$113,'六艺&amp;奇遇'!V$5:V$113,$AK95),0)</f>
        <v>0</v>
      </c>
      <c r="AN95" s="103">
        <f>IFERROR(求节点('六艺&amp;奇遇'!$T$5:$T$113,'六艺&amp;奇遇'!W$5:W$113,$AK95),0)</f>
        <v>0</v>
      </c>
      <c r="AO95" s="103">
        <f>IFERROR(求节点('六艺&amp;奇遇'!$T$5:$T$113,'六艺&amp;奇遇'!X$5:X$113,$AK95),0)</f>
        <v>0</v>
      </c>
      <c r="AP95" s="103">
        <f>IFERROR(求节点('六艺&amp;奇遇'!$T$5:$T$113,'六艺&amp;奇遇'!Y$5:Y$113,$AK95),0)</f>
        <v>0</v>
      </c>
      <c r="AQ95" s="103">
        <f>IFERROR(求节点('六艺&amp;奇遇'!$T$5:$T$113,'六艺&amp;奇遇'!Z$5:Z$113,$AK95),0)</f>
        <v>0</v>
      </c>
      <c r="AT95" s="117">
        <v>91</v>
      </c>
      <c r="AU95" s="117">
        <f t="shared" si="45"/>
        <v>8507.1812225457288</v>
      </c>
      <c r="AV95" s="117">
        <f t="shared" si="46"/>
        <v>8006.9969614544098</v>
      </c>
      <c r="AW95" s="117">
        <f t="shared" si="47"/>
        <v>7511.6870717794154</v>
      </c>
      <c r="AX95" s="117">
        <f t="shared" si="48"/>
        <v>6666.5093263673552</v>
      </c>
      <c r="AY95" s="117">
        <f t="shared" si="49"/>
        <v>5257.3271216376997</v>
      </c>
    </row>
    <row r="96" spans="21:51" x14ac:dyDescent="0.15">
      <c r="U96" s="83">
        <v>12</v>
      </c>
      <c r="V96" s="60">
        <f>基础信息!D101</f>
        <v>62</v>
      </c>
      <c r="W96" s="61">
        <f>基础信息!E101</f>
        <v>686.27045912077301</v>
      </c>
      <c r="X96" s="61">
        <f>基础信息!F101</f>
        <v>113.4549371467006</v>
      </c>
      <c r="Y96" s="100">
        <f t="shared" si="51"/>
        <v>97.023893434142593</v>
      </c>
      <c r="Z96" s="100">
        <f t="shared" si="52"/>
        <v>136.97490837761308</v>
      </c>
      <c r="AA96" s="100">
        <f t="shared" si="53"/>
        <v>109.7939499964305</v>
      </c>
      <c r="AB96" s="100">
        <f t="shared" si="54"/>
        <v>12.841397660401226</v>
      </c>
      <c r="AC96" s="100">
        <f t="shared" si="55"/>
        <v>7.1341098113340135E-2</v>
      </c>
      <c r="AD96" s="83">
        <f>SUM(Y$85:Y96)</f>
        <v>211.0090841424892</v>
      </c>
      <c r="AE96" s="83">
        <f>SUM(Z$85:Z96)</f>
        <v>257.27836979119667</v>
      </c>
      <c r="AF96" s="83">
        <f>SUM(AA$85:AA96)</f>
        <v>194.14177129343784</v>
      </c>
      <c r="AG96" s="83">
        <f>SUM(AB$85:AB96)</f>
        <v>19.978688731460984</v>
      </c>
      <c r="AH96" s="83">
        <f>SUM(AC$85:AC96)</f>
        <v>8.8500534591359481E-2</v>
      </c>
      <c r="AI96" s="100">
        <f t="shared" si="56"/>
        <v>285911.83556197304</v>
      </c>
      <c r="AJ96" s="100">
        <f t="shared" si="57"/>
        <v>3412.4820724658798</v>
      </c>
      <c r="AK96" s="116">
        <f t="shared" si="58"/>
        <v>11136.901090373685</v>
      </c>
      <c r="AL96" s="103">
        <f>IFERROR(求节点('六艺&amp;奇遇'!$T$5:$T$113,'六艺&amp;奇遇'!$U$5:$U$113,AK96),0)</f>
        <v>9341.0703271121056</v>
      </c>
      <c r="AM96" s="103">
        <f>IFERROR(求节点('六艺&amp;奇遇'!$T$5:$T$113,'六艺&amp;奇遇'!V$5:V$113,$AK96),0)</f>
        <v>0</v>
      </c>
      <c r="AN96" s="103">
        <f>IFERROR(求节点('六艺&amp;奇遇'!$T$5:$T$113,'六艺&amp;奇遇'!W$5:W$113,$AK96),0)</f>
        <v>0</v>
      </c>
      <c r="AO96" s="103">
        <f>IFERROR(求节点('六艺&amp;奇遇'!$T$5:$T$113,'六艺&amp;奇遇'!X$5:X$113,$AK96),0)</f>
        <v>0</v>
      </c>
      <c r="AP96" s="103">
        <f>IFERROR(求节点('六艺&amp;奇遇'!$T$5:$T$113,'六艺&amp;奇遇'!Y$5:Y$113,$AK96),0)</f>
        <v>0</v>
      </c>
      <c r="AQ96" s="103">
        <f>IFERROR(求节点('六艺&amp;奇遇'!$T$5:$T$113,'六艺&amp;奇遇'!Z$5:Z$113,$AK96),0)</f>
        <v>0</v>
      </c>
      <c r="AT96" s="117">
        <v>92</v>
      </c>
      <c r="AU96" s="117">
        <f t="shared" si="45"/>
        <v>8707.4056515234279</v>
      </c>
      <c r="AV96" s="117">
        <f t="shared" si="46"/>
        <v>8201.953875969828</v>
      </c>
      <c r="AW96" s="117">
        <f t="shared" si="47"/>
        <v>7700.6305049611701</v>
      </c>
      <c r="AX96" s="117">
        <f t="shared" si="48"/>
        <v>6839.8044171668007</v>
      </c>
      <c r="AY96" s="117">
        <f t="shared" si="49"/>
        <v>5370.9007903263073</v>
      </c>
    </row>
    <row r="97" spans="21:51" x14ac:dyDescent="0.15">
      <c r="U97" s="83">
        <v>13</v>
      </c>
      <c r="V97" s="60">
        <f>基础信息!D102</f>
        <v>67</v>
      </c>
      <c r="W97" s="61">
        <f>基础信息!E102</f>
        <v>1426.7099622668038</v>
      </c>
      <c r="X97" s="61">
        <f>基础信息!F102</f>
        <v>124.11624751239822</v>
      </c>
      <c r="Y97" s="100">
        <f t="shared" si="51"/>
        <v>198.43778684313628</v>
      </c>
      <c r="Z97" s="100">
        <f t="shared" si="52"/>
        <v>282.10745069863776</v>
      </c>
      <c r="AA97" s="100">
        <f t="shared" si="53"/>
        <v>230.79499313061785</v>
      </c>
      <c r="AB97" s="100">
        <f t="shared" si="54"/>
        <v>28.877140622695208</v>
      </c>
      <c r="AC97" s="100">
        <f t="shared" si="55"/>
        <v>0.22213185094380922</v>
      </c>
      <c r="AD97" s="83">
        <f>SUM(Y$85:Y97)</f>
        <v>409.44687098562548</v>
      </c>
      <c r="AE97" s="83">
        <f>SUM(Z$85:Z97)</f>
        <v>539.38582048983449</v>
      </c>
      <c r="AF97" s="83">
        <f>SUM(AA$85:AA97)</f>
        <v>424.9367644240557</v>
      </c>
      <c r="AG97" s="83">
        <f>SUM(AB$85:AB97)</f>
        <v>48.855829354156192</v>
      </c>
      <c r="AH97" s="83">
        <f>SUM(AC$85:AC97)</f>
        <v>0.3106323855351687</v>
      </c>
      <c r="AI97" s="100">
        <f t="shared" si="56"/>
        <v>639730.85214030393</v>
      </c>
      <c r="AJ97" s="100">
        <f t="shared" si="57"/>
        <v>7114.6795881960334</v>
      </c>
      <c r="AK97" s="116">
        <f t="shared" si="58"/>
        <v>23576.284743227006</v>
      </c>
      <c r="AL97" s="103">
        <f>IFERROR(求节点('六艺&amp;奇遇'!$T$5:$T$113,'六艺&amp;奇遇'!$U$5:$U$113,AK97),0)</f>
        <v>13072.885422968102</v>
      </c>
      <c r="AM97" s="103">
        <f>IFERROR(求节点('六艺&amp;奇遇'!$T$5:$T$113,'六艺&amp;奇遇'!V$5:V$113,$AK97),0)</f>
        <v>0</v>
      </c>
      <c r="AN97" s="103">
        <f>IFERROR(求节点('六艺&amp;奇遇'!$T$5:$T$113,'六艺&amp;奇遇'!W$5:W$113,$AK97),0)</f>
        <v>0</v>
      </c>
      <c r="AO97" s="103">
        <f>IFERROR(求节点('六艺&amp;奇遇'!$T$5:$T$113,'六艺&amp;奇遇'!X$5:X$113,$AK97),0)</f>
        <v>0</v>
      </c>
      <c r="AP97" s="103">
        <f>IFERROR(求节点('六艺&amp;奇遇'!$T$5:$T$113,'六艺&amp;奇遇'!Y$5:Y$113,$AK97),0)</f>
        <v>0</v>
      </c>
      <c r="AQ97" s="103">
        <f>IFERROR(求节点('六艺&amp;奇遇'!$T$5:$T$113,'六艺&amp;奇遇'!Z$5:Z$113,$AK97),0)</f>
        <v>0</v>
      </c>
      <c r="AT97" s="117">
        <v>93</v>
      </c>
      <c r="AU97" s="117">
        <f t="shared" si="45"/>
        <v>8907.6300805011269</v>
      </c>
      <c r="AV97" s="117">
        <f t="shared" si="46"/>
        <v>8396.9107904852463</v>
      </c>
      <c r="AW97" s="117">
        <f t="shared" si="47"/>
        <v>7889.5739381429248</v>
      </c>
      <c r="AX97" s="117">
        <f t="shared" si="48"/>
        <v>7013.099507966248</v>
      </c>
      <c r="AY97" s="117">
        <f t="shared" si="49"/>
        <v>5549.7654372483003</v>
      </c>
    </row>
    <row r="98" spans="21:51" x14ac:dyDescent="0.15">
      <c r="U98" s="83">
        <v>14</v>
      </c>
      <c r="V98" s="60">
        <f>基础信息!D103</f>
        <v>72</v>
      </c>
      <c r="W98" s="61">
        <f>基础信息!E103</f>
        <v>2961.6410125841235</v>
      </c>
      <c r="X98" s="61">
        <f>基础信息!F103</f>
        <v>134.91256595481366</v>
      </c>
      <c r="Y98" s="100">
        <f t="shared" si="51"/>
        <v>405.22179728377239</v>
      </c>
      <c r="Z98" s="100">
        <f t="shared" si="52"/>
        <v>580.20393701994681</v>
      </c>
      <c r="AA98" s="100">
        <f t="shared" si="53"/>
        <v>484.42423948014607</v>
      </c>
      <c r="AB98" s="100">
        <f t="shared" si="54"/>
        <v>64.467104113327437</v>
      </c>
      <c r="AC98" s="100">
        <f t="shared" si="55"/>
        <v>0.61397242012692788</v>
      </c>
      <c r="AD98" s="83">
        <f>SUM(Y$85:Y98)</f>
        <v>814.66866826939781</v>
      </c>
      <c r="AE98" s="83">
        <f>SUM(Z$85:Z98)</f>
        <v>1119.5897575097813</v>
      </c>
      <c r="AF98" s="83">
        <f>SUM(AA$85:AA98)</f>
        <v>909.36100390420177</v>
      </c>
      <c r="AG98" s="83">
        <f>SUM(AB$85:AB98)</f>
        <v>113.32293346748364</v>
      </c>
      <c r="AH98" s="83">
        <f>SUM(AC$85:AC98)</f>
        <v>0.92460480566209657</v>
      </c>
      <c r="AI98" s="100">
        <f t="shared" si="56"/>
        <v>1410726.7187146936</v>
      </c>
      <c r="AJ98" s="100">
        <f t="shared" si="57"/>
        <v>14789.334839782632</v>
      </c>
      <c r="AK98" s="116">
        <f t="shared" si="58"/>
        <v>49516.619493589707</v>
      </c>
      <c r="AL98" s="103">
        <f>IFERROR(求节点('六艺&amp;奇遇'!$T$5:$T$113,'六艺&amp;奇遇'!$U$5:$U$113,AK98),0)</f>
        <v>22206.647797435882</v>
      </c>
      <c r="AM98" s="103">
        <f>IFERROR(求节点('六艺&amp;奇遇'!$T$5:$T$113,'六艺&amp;奇遇'!V$5:V$113,$AK98),0)</f>
        <v>0</v>
      </c>
      <c r="AN98" s="103">
        <f>IFERROR(求节点('六艺&amp;奇遇'!$T$5:$T$113,'六艺&amp;奇遇'!W$5:W$113,$AK98),0)</f>
        <v>0</v>
      </c>
      <c r="AO98" s="103">
        <f>IFERROR(求节点('六艺&amp;奇遇'!$T$5:$T$113,'六艺&amp;奇遇'!X$5:X$113,$AK98),0)</f>
        <v>0</v>
      </c>
      <c r="AP98" s="103">
        <f>IFERROR(求节点('六艺&amp;奇遇'!$T$5:$T$113,'六艺&amp;奇遇'!Y$5:Y$113,$AK98),0)</f>
        <v>0</v>
      </c>
      <c r="AQ98" s="103">
        <f>IFERROR(求节点('六艺&amp;奇遇'!$T$5:$T$113,'六艺&amp;奇遇'!Z$5:Z$113,$AK98),0)</f>
        <v>0</v>
      </c>
      <c r="AT98" s="117">
        <v>94</v>
      </c>
      <c r="AU98" s="117">
        <f t="shared" si="45"/>
        <v>9107.854509478826</v>
      </c>
      <c r="AV98" s="117">
        <f t="shared" si="46"/>
        <v>8591.8677050006645</v>
      </c>
      <c r="AW98" s="117">
        <f t="shared" si="47"/>
        <v>8078.5173713246795</v>
      </c>
      <c r="AX98" s="117">
        <f t="shared" si="48"/>
        <v>7202.0625494302212</v>
      </c>
      <c r="AY98" s="117">
        <f t="shared" si="49"/>
        <v>5730.6760016163398</v>
      </c>
    </row>
    <row r="99" spans="21:51" x14ac:dyDescent="0.15">
      <c r="U99" s="83">
        <v>15</v>
      </c>
      <c r="V99" s="60">
        <f>基础信息!D104</f>
        <v>77</v>
      </c>
      <c r="W99" s="61">
        <f>基础信息!E104</f>
        <v>6139.6022012692774</v>
      </c>
      <c r="X99" s="61">
        <f>基础信息!F104</f>
        <v>145.53468456757108</v>
      </c>
      <c r="Y99" s="100">
        <f t="shared" si="51"/>
        <v>826.26990905814</v>
      </c>
      <c r="Z99" s="100">
        <f t="shared" si="52"/>
        <v>1191.7354457569327</v>
      </c>
      <c r="AA99" s="100">
        <f t="shared" si="53"/>
        <v>1015.3585997849069</v>
      </c>
      <c r="AB99" s="100">
        <f t="shared" si="54"/>
        <v>143.00825349083192</v>
      </c>
      <c r="AC99" s="100">
        <f t="shared" si="55"/>
        <v>1.588980594342577</v>
      </c>
      <c r="AD99" s="83">
        <f>SUM(Y$85:Y99)</f>
        <v>1640.9385773275378</v>
      </c>
      <c r="AE99" s="83">
        <f>SUM(Z$85:Z99)</f>
        <v>2311.3252032667142</v>
      </c>
      <c r="AF99" s="83">
        <f>SUM(AA$85:AA99)</f>
        <v>1924.7196036891087</v>
      </c>
      <c r="AG99" s="83">
        <f>SUM(AB$85:AB99)</f>
        <v>256.33118695831558</v>
      </c>
      <c r="AH99" s="83">
        <f>SUM(AC$85:AC99)</f>
        <v>2.5135854000046738</v>
      </c>
      <c r="AI99" s="100">
        <f t="shared" si="56"/>
        <v>3084717.7748545986</v>
      </c>
      <c r="AJ99" s="100">
        <f t="shared" si="57"/>
        <v>30679.140783208401</v>
      </c>
      <c r="AK99" s="116">
        <f t="shared" si="58"/>
        <v>103541.95970123733</v>
      </c>
      <c r="AL99" s="103">
        <f>IFERROR(求节点('六艺&amp;奇遇'!$T$5:$T$113,'六艺&amp;奇遇'!$U$5:$U$113,AK99),0)</f>
        <v>26400</v>
      </c>
      <c r="AM99" s="103">
        <f>IFERROR(求节点('六艺&amp;奇遇'!$T$5:$T$113,'六艺&amp;奇遇'!V$5:V$113,$AK99),0)</f>
        <v>0</v>
      </c>
      <c r="AN99" s="103">
        <f>IFERROR(求节点('六艺&amp;奇遇'!$T$5:$T$113,'六艺&amp;奇遇'!W$5:W$113,$AK99),0)</f>
        <v>0</v>
      </c>
      <c r="AO99" s="103">
        <f>IFERROR(求节点('六艺&amp;奇遇'!$T$5:$T$113,'六艺&amp;奇遇'!X$5:X$113,$AK99),0)</f>
        <v>0</v>
      </c>
      <c r="AP99" s="103">
        <f>IFERROR(求节点('六艺&amp;奇遇'!$T$5:$T$113,'六艺&amp;奇遇'!Y$5:Y$113,$AK99),0)</f>
        <v>0</v>
      </c>
      <c r="AQ99" s="103">
        <f>IFERROR(求节点('六艺&amp;奇遇'!$T$5:$T$113,'六艺&amp;奇遇'!Z$5:Z$113,$AK99),0)</f>
        <v>0</v>
      </c>
      <c r="AT99" s="117">
        <v>95</v>
      </c>
      <c r="AU99" s="117">
        <f t="shared" si="45"/>
        <v>9308.0789384565251</v>
      </c>
      <c r="AV99" s="117">
        <f t="shared" si="46"/>
        <v>8786.8246195160827</v>
      </c>
      <c r="AW99" s="117">
        <f t="shared" si="47"/>
        <v>8301.1162959299345</v>
      </c>
      <c r="AX99" s="117">
        <f t="shared" si="48"/>
        <v>7395.1515043136533</v>
      </c>
      <c r="AY99" s="117">
        <f t="shared" si="49"/>
        <v>5911.5865659843785</v>
      </c>
    </row>
    <row r="100" spans="21:51" x14ac:dyDescent="0.15">
      <c r="U100" s="83">
        <v>16</v>
      </c>
      <c r="V100" s="60">
        <f>基础信息!D105</f>
        <v>80</v>
      </c>
      <c r="W100" s="61">
        <f>基础信息!E105</f>
        <v>9502.5750000000007</v>
      </c>
      <c r="X100" s="61">
        <f>基础信息!F105</f>
        <v>151.0810487166913</v>
      </c>
      <c r="Y100" s="100">
        <f t="shared" si="51"/>
        <v>874.37292766998814</v>
      </c>
      <c r="Z100" s="100">
        <f t="shared" si="52"/>
        <v>1261.1147995240212</v>
      </c>
      <c r="AA100" s="100">
        <f t="shared" si="53"/>
        <v>1074.4698091944663</v>
      </c>
      <c r="AB100" s="100">
        <f t="shared" si="54"/>
        <v>151.33377594288254</v>
      </c>
      <c r="AC100" s="100">
        <f t="shared" si="55"/>
        <v>1.6814863993653617</v>
      </c>
      <c r="AD100" s="83">
        <f>SUM(Y$85:Y100)</f>
        <v>2515.3115049975258</v>
      </c>
      <c r="AE100" s="83">
        <f>SUM(Z$85:Z100)</f>
        <v>3572.4400027907354</v>
      </c>
      <c r="AF100" s="83">
        <f>SUM(AA$85:AA100)</f>
        <v>2999.1894128835747</v>
      </c>
      <c r="AG100" s="83">
        <f>SUM(AB$85:AB100)</f>
        <v>407.66496290119812</v>
      </c>
      <c r="AH100" s="83">
        <f>SUM(AC$85:AC100)</f>
        <v>4.1950717993700355</v>
      </c>
      <c r="AI100" s="100">
        <f t="shared" si="56"/>
        <v>4923423.1525606215</v>
      </c>
      <c r="AJ100" s="100">
        <f t="shared" si="57"/>
        <v>47494.004776862013</v>
      </c>
      <c r="AK100" s="116">
        <f t="shared" si="58"/>
        <v>160712.49727965961</v>
      </c>
      <c r="AL100" s="103">
        <f>IFERROR(求节点('六艺&amp;奇遇'!$T$5:$T$113,'六艺&amp;奇遇'!$U$5:$U$113,AK100),0)</f>
        <v>26400</v>
      </c>
      <c r="AM100" s="103">
        <f>IFERROR(求节点('六艺&amp;奇遇'!$T$5:$T$113,'六艺&amp;奇遇'!V$5:V$113,$AK100),0)</f>
        <v>0</v>
      </c>
      <c r="AN100" s="103">
        <f>IFERROR(求节点('六艺&amp;奇遇'!$T$5:$T$113,'六艺&amp;奇遇'!W$5:W$113,$AK100),0)</f>
        <v>0</v>
      </c>
      <c r="AO100" s="103">
        <f>IFERROR(求节点('六艺&amp;奇遇'!$T$5:$T$113,'六艺&amp;奇遇'!X$5:X$113,$AK100),0)</f>
        <v>0</v>
      </c>
      <c r="AP100" s="103">
        <f>IFERROR(求节点('六艺&amp;奇遇'!$T$5:$T$113,'六艺&amp;奇遇'!Y$5:Y$113,$AK100),0)</f>
        <v>0</v>
      </c>
      <c r="AQ100" s="103">
        <f>IFERROR(求节点('六艺&amp;奇遇'!$T$5:$T$113,'六艺&amp;奇遇'!Z$5:Z$113,$AK100),0)</f>
        <v>0</v>
      </c>
      <c r="AT100" s="117">
        <v>96</v>
      </c>
      <c r="AU100" s="117">
        <f t="shared" si="45"/>
        <v>9508.3033674342241</v>
      </c>
      <c r="AV100" s="117">
        <f t="shared" si="46"/>
        <v>9064.9649514089651</v>
      </c>
      <c r="AW100" s="117">
        <f t="shared" si="47"/>
        <v>8538.7709945482857</v>
      </c>
      <c r="AX100" s="117">
        <f t="shared" si="48"/>
        <v>7588.2404591970853</v>
      </c>
      <c r="AY100" s="117">
        <f t="shared" si="49"/>
        <v>6092.497130352418</v>
      </c>
    </row>
    <row r="101" spans="21:51" x14ac:dyDescent="0.15">
      <c r="AT101" s="117">
        <v>97</v>
      </c>
      <c r="AU101" s="117">
        <f t="shared" si="45"/>
        <v>9852.9377966371576</v>
      </c>
      <c r="AV101" s="117">
        <f t="shared" si="46"/>
        <v>9382.2605795955697</v>
      </c>
      <c r="AW101" s="117">
        <f t="shared" si="47"/>
        <v>8776.4256931666368</v>
      </c>
      <c r="AX101" s="117">
        <f t="shared" si="48"/>
        <v>7781.3294140805165</v>
      </c>
      <c r="AY101" s="117">
        <f t="shared" si="49"/>
        <v>6273.4076947204576</v>
      </c>
    </row>
    <row r="102" spans="21:51" x14ac:dyDescent="0.15">
      <c r="AT102" s="117">
        <v>98</v>
      </c>
      <c r="AU102" s="117">
        <f t="shared" si="45"/>
        <v>10249.858227761317</v>
      </c>
      <c r="AV102" s="117">
        <f t="shared" si="46"/>
        <v>9699.5562077821724</v>
      </c>
      <c r="AW102" s="117">
        <f t="shared" si="47"/>
        <v>9014.080391784988</v>
      </c>
      <c r="AX102" s="117">
        <f t="shared" si="48"/>
        <v>7974.4183689639485</v>
      </c>
      <c r="AY102" s="117">
        <f t="shared" si="49"/>
        <v>6454.3182590884971</v>
      </c>
    </row>
    <row r="103" spans="21:51" x14ac:dyDescent="0.15">
      <c r="AT103" s="117">
        <v>99</v>
      </c>
      <c r="AU103" s="117">
        <f t="shared" si="45"/>
        <v>10646.778658885476</v>
      </c>
      <c r="AV103" s="117">
        <f t="shared" si="46"/>
        <v>10016.851835968775</v>
      </c>
      <c r="AW103" s="117">
        <f t="shared" si="47"/>
        <v>9251.7350904033392</v>
      </c>
      <c r="AX103" s="117">
        <f t="shared" si="48"/>
        <v>8167.5073238473806</v>
      </c>
      <c r="AY103" s="117">
        <f t="shared" si="49"/>
        <v>6635.2288234565358</v>
      </c>
    </row>
    <row r="104" spans="21:51" x14ac:dyDescent="0.15">
      <c r="AT104" s="117">
        <v>100</v>
      </c>
      <c r="AU104" s="117">
        <f t="shared" si="45"/>
        <v>11043.699090009635</v>
      </c>
      <c r="AV104" s="117">
        <f t="shared" si="46"/>
        <v>10334.147464155378</v>
      </c>
      <c r="AW104" s="117">
        <f t="shared" si="47"/>
        <v>9489.3897890216904</v>
      </c>
      <c r="AX104" s="117">
        <f t="shared" si="48"/>
        <v>8360.5962787308126</v>
      </c>
      <c r="AY104" s="117">
        <f t="shared" si="49"/>
        <v>6816.1393878245754</v>
      </c>
    </row>
    <row r="105" spans="21:51" x14ac:dyDescent="0.15">
      <c r="AT105" s="117">
        <v>101</v>
      </c>
      <c r="AU105" s="117">
        <f t="shared" si="45"/>
        <v>11440.619521133794</v>
      </c>
      <c r="AV105" s="117">
        <f t="shared" si="46"/>
        <v>10651.443092341982</v>
      </c>
      <c r="AW105" s="117">
        <f t="shared" si="47"/>
        <v>9727.0444876400416</v>
      </c>
      <c r="AX105" s="117">
        <f t="shared" si="48"/>
        <v>8553.6852336142438</v>
      </c>
      <c r="AY105" s="117">
        <f t="shared" si="49"/>
        <v>6997.0499521926149</v>
      </c>
    </row>
    <row r="106" spans="21:51" x14ac:dyDescent="0.15">
      <c r="AT106" s="117">
        <v>102</v>
      </c>
      <c r="AU106" s="117">
        <f t="shared" si="45"/>
        <v>11837.539952257954</v>
      </c>
      <c r="AV106" s="117">
        <f t="shared" si="46"/>
        <v>10968.738720528585</v>
      </c>
      <c r="AW106" s="117">
        <f t="shared" si="47"/>
        <v>9964.6991862583927</v>
      </c>
      <c r="AX106" s="117">
        <f t="shared" si="48"/>
        <v>8746.7741884976749</v>
      </c>
      <c r="AY106" s="117">
        <f t="shared" si="49"/>
        <v>7177.9605165606536</v>
      </c>
    </row>
    <row r="107" spans="21:51" x14ac:dyDescent="0.15">
      <c r="AT107" s="117">
        <v>103</v>
      </c>
      <c r="AU107" s="117">
        <f t="shared" si="45"/>
        <v>12234.460383382113</v>
      </c>
      <c r="AV107" s="117">
        <f t="shared" si="46"/>
        <v>11286.034348715188</v>
      </c>
      <c r="AW107" s="117">
        <f t="shared" si="47"/>
        <v>10202.353884876744</v>
      </c>
      <c r="AX107" s="117">
        <f t="shared" si="48"/>
        <v>8939.8631433811079</v>
      </c>
      <c r="AY107" s="117">
        <f t="shared" si="49"/>
        <v>7361.2512196301641</v>
      </c>
    </row>
    <row r="108" spans="21:51" x14ac:dyDescent="0.15">
      <c r="AT108" s="117">
        <v>104</v>
      </c>
      <c r="AU108" s="117">
        <f t="shared" si="45"/>
        <v>12631.380814506272</v>
      </c>
      <c r="AV108" s="117">
        <f t="shared" si="46"/>
        <v>11603.32997690179</v>
      </c>
      <c r="AW108" s="117">
        <f t="shared" si="47"/>
        <v>10440.008583495095</v>
      </c>
      <c r="AX108" s="117">
        <f t="shared" si="48"/>
        <v>9151.058267007973</v>
      </c>
      <c r="AY108" s="117">
        <f t="shared" si="49"/>
        <v>7550.6181263558292</v>
      </c>
    </row>
    <row r="109" spans="21:51" x14ac:dyDescent="0.15">
      <c r="AT109" s="117">
        <v>105</v>
      </c>
      <c r="AU109" s="117">
        <f t="shared" si="45"/>
        <v>13028.301245630431</v>
      </c>
      <c r="AV109" s="117">
        <f t="shared" si="46"/>
        <v>11920.625605088393</v>
      </c>
      <c r="AW109" s="117">
        <f t="shared" si="47"/>
        <v>10695.086523227194</v>
      </c>
      <c r="AX109" s="117">
        <f t="shared" si="48"/>
        <v>9483.9886994851222</v>
      </c>
      <c r="AY109" s="117">
        <f t="shared" si="49"/>
        <v>7739.9850330814934</v>
      </c>
    </row>
    <row r="110" spans="21:51" x14ac:dyDescent="0.15">
      <c r="AT110" s="117">
        <v>106</v>
      </c>
      <c r="AU110" s="117">
        <f t="shared" si="45"/>
        <v>13425.221676754591</v>
      </c>
      <c r="AV110" s="117">
        <f t="shared" si="46"/>
        <v>12268.101155318158</v>
      </c>
      <c r="AW110" s="117">
        <f t="shared" si="47"/>
        <v>11195.8806111303</v>
      </c>
      <c r="AX110" s="117">
        <f t="shared" si="48"/>
        <v>9816.9191319622732</v>
      </c>
      <c r="AY110" s="117">
        <f t="shared" si="49"/>
        <v>7929.3519398071585</v>
      </c>
    </row>
    <row r="111" spans="21:51" x14ac:dyDescent="0.15">
      <c r="AT111" s="117">
        <v>107</v>
      </c>
      <c r="AU111" s="117">
        <f t="shared" si="45"/>
        <v>13905.672487685568</v>
      </c>
      <c r="AV111" s="117">
        <f t="shared" si="46"/>
        <v>13020.312604826777</v>
      </c>
      <c r="AW111" s="117">
        <f t="shared" si="47"/>
        <v>11696.674699033407</v>
      </c>
      <c r="AX111" s="117">
        <f t="shared" si="48"/>
        <v>10149.849564439422</v>
      </c>
      <c r="AY111" s="117">
        <f t="shared" si="49"/>
        <v>8118.7188465328236</v>
      </c>
    </row>
    <row r="112" spans="21:51" x14ac:dyDescent="0.15">
      <c r="AT112" s="117">
        <v>108</v>
      </c>
      <c r="AU112" s="117">
        <f t="shared" si="45"/>
        <v>14936.97876305353</v>
      </c>
      <c r="AV112" s="117">
        <f t="shared" si="46"/>
        <v>13772.524054335394</v>
      </c>
      <c r="AW112" s="117">
        <f t="shared" si="47"/>
        <v>12197.468786936513</v>
      </c>
      <c r="AX112" s="117">
        <f t="shared" si="48"/>
        <v>10482.779996916574</v>
      </c>
      <c r="AY112" s="117">
        <f t="shared" si="49"/>
        <v>8308.0857532584887</v>
      </c>
    </row>
    <row r="113" spans="46:51" x14ac:dyDescent="0.15">
      <c r="AT113" s="117">
        <v>109</v>
      </c>
      <c r="AU113" s="117">
        <f t="shared" si="45"/>
        <v>15968.285038421494</v>
      </c>
      <c r="AV113" s="117">
        <f t="shared" si="46"/>
        <v>14524.735503844013</v>
      </c>
      <c r="AW113" s="117">
        <f t="shared" si="47"/>
        <v>12698.26287483962</v>
      </c>
      <c r="AX113" s="117">
        <f t="shared" si="48"/>
        <v>10815.710429393723</v>
      </c>
      <c r="AY113" s="117">
        <f t="shared" si="49"/>
        <v>8497.4526599841538</v>
      </c>
    </row>
    <row r="114" spans="46:51" x14ac:dyDescent="0.15">
      <c r="AT114" s="117">
        <v>110</v>
      </c>
      <c r="AU114" s="117">
        <f t="shared" si="45"/>
        <v>16999.591313789457</v>
      </c>
      <c r="AV114" s="117">
        <f t="shared" si="46"/>
        <v>15276.946953352632</v>
      </c>
      <c r="AW114" s="117">
        <f t="shared" si="47"/>
        <v>13199.056962742729</v>
      </c>
      <c r="AX114" s="117">
        <f t="shared" si="48"/>
        <v>11148.640861870874</v>
      </c>
      <c r="AY114" s="117">
        <f t="shared" si="49"/>
        <v>8686.8195667098189</v>
      </c>
    </row>
    <row r="115" spans="46:51" x14ac:dyDescent="0.15">
      <c r="AT115" s="117">
        <v>111</v>
      </c>
      <c r="AU115" s="117">
        <f t="shared" si="45"/>
        <v>18030.897589157423</v>
      </c>
      <c r="AV115" s="117">
        <f t="shared" si="46"/>
        <v>16029.158402861249</v>
      </c>
      <c r="AW115" s="117">
        <f t="shared" si="47"/>
        <v>13699.851050645835</v>
      </c>
      <c r="AX115" s="117">
        <f t="shared" si="48"/>
        <v>11481.571294348023</v>
      </c>
      <c r="AY115" s="117">
        <f t="shared" si="49"/>
        <v>8876.1864734354822</v>
      </c>
    </row>
    <row r="116" spans="46:51" x14ac:dyDescent="0.15">
      <c r="AT116" s="117">
        <v>112</v>
      </c>
      <c r="AU116" s="117">
        <f t="shared" si="45"/>
        <v>19062.203864525385</v>
      </c>
      <c r="AV116" s="117">
        <f t="shared" si="46"/>
        <v>16781.369852369869</v>
      </c>
      <c r="AW116" s="117">
        <f t="shared" si="47"/>
        <v>14200.645138548942</v>
      </c>
      <c r="AX116" s="117">
        <f t="shared" si="48"/>
        <v>11814.501726825172</v>
      </c>
      <c r="AY116" s="117">
        <f t="shared" si="49"/>
        <v>9065.5533801611473</v>
      </c>
    </row>
    <row r="117" spans="46:51" x14ac:dyDescent="0.15">
      <c r="AT117" s="117">
        <v>113</v>
      </c>
      <c r="AU117" s="117">
        <f t="shared" si="45"/>
        <v>20093.510139893348</v>
      </c>
      <c r="AV117" s="117">
        <f t="shared" si="46"/>
        <v>17533.581301878487</v>
      </c>
      <c r="AW117" s="117">
        <f t="shared" si="47"/>
        <v>14701.439226452048</v>
      </c>
      <c r="AX117" s="117">
        <f t="shared" si="48"/>
        <v>12147.432159302323</v>
      </c>
      <c r="AY117" s="117">
        <f t="shared" si="49"/>
        <v>9254.9202868868124</v>
      </c>
    </row>
    <row r="118" spans="46:51" x14ac:dyDescent="0.15">
      <c r="AT118" s="117">
        <v>114</v>
      </c>
      <c r="AU118" s="117">
        <f t="shared" si="45"/>
        <v>21124.816415261314</v>
      </c>
      <c r="AV118" s="117">
        <f t="shared" si="46"/>
        <v>18285.792751387104</v>
      </c>
      <c r="AW118" s="117">
        <f t="shared" si="47"/>
        <v>15202.233314355155</v>
      </c>
      <c r="AX118" s="117">
        <f t="shared" si="48"/>
        <v>12480.362591779472</v>
      </c>
      <c r="AY118" s="117">
        <f t="shared" si="49"/>
        <v>9531.8605502987029</v>
      </c>
    </row>
    <row r="119" spans="46:51" x14ac:dyDescent="0.15">
      <c r="AT119" s="117">
        <v>115</v>
      </c>
      <c r="AU119" s="117">
        <f t="shared" si="45"/>
        <v>22156.12269062928</v>
      </c>
      <c r="AV119" s="117">
        <f t="shared" si="46"/>
        <v>19038.004200895724</v>
      </c>
      <c r="AW119" s="117">
        <f t="shared" si="47"/>
        <v>15703.027402258263</v>
      </c>
      <c r="AX119" s="117">
        <f t="shared" si="48"/>
        <v>13001.32237564748</v>
      </c>
      <c r="AY119" s="117">
        <f t="shared" si="49"/>
        <v>9881.8939859505699</v>
      </c>
    </row>
    <row r="120" spans="46:51" x14ac:dyDescent="0.15">
      <c r="AT120" s="117">
        <v>116</v>
      </c>
      <c r="AU120" s="117">
        <f t="shared" si="45"/>
        <v>23187.428965997242</v>
      </c>
      <c r="AV120" s="117">
        <f t="shared" si="46"/>
        <v>19790.215650404341</v>
      </c>
      <c r="AW120" s="117">
        <f t="shared" si="47"/>
        <v>16377.865298872817</v>
      </c>
      <c r="AX120" s="117">
        <f t="shared" si="48"/>
        <v>13811.565518992804</v>
      </c>
      <c r="AY120" s="117">
        <f t="shared" si="49"/>
        <v>10231.927421602437</v>
      </c>
    </row>
    <row r="121" spans="46:51" x14ac:dyDescent="0.15">
      <c r="AT121" s="117">
        <v>117</v>
      </c>
      <c r="AU121" s="117">
        <f t="shared" si="45"/>
        <v>24218.735241365204</v>
      </c>
      <c r="AV121" s="117">
        <f t="shared" si="46"/>
        <v>20470.717925129127</v>
      </c>
      <c r="AW121" s="117">
        <f t="shared" si="47"/>
        <v>17361.245427897476</v>
      </c>
      <c r="AX121" s="117">
        <f t="shared" si="48"/>
        <v>14621.808662338126</v>
      </c>
      <c r="AY121" s="117">
        <f t="shared" si="49"/>
        <v>10581.960857254304</v>
      </c>
    </row>
    <row r="122" spans="46:51" x14ac:dyDescent="0.15">
      <c r="AT122" s="117">
        <v>118</v>
      </c>
      <c r="AU122" s="117">
        <f t="shared" si="45"/>
        <v>24765.098327248801</v>
      </c>
      <c r="AV122" s="117">
        <f t="shared" si="46"/>
        <v>21056.130039353498</v>
      </c>
      <c r="AW122" s="117">
        <f t="shared" si="47"/>
        <v>18344.625556922132</v>
      </c>
      <c r="AX122" s="117">
        <f t="shared" si="48"/>
        <v>15432.051805683448</v>
      </c>
      <c r="AY122" s="117">
        <f t="shared" si="49"/>
        <v>10931.994292906171</v>
      </c>
    </row>
    <row r="123" spans="46:51" x14ac:dyDescent="0.15">
      <c r="AT123" s="117">
        <v>119</v>
      </c>
      <c r="AU123" s="117">
        <f t="shared" si="45"/>
        <v>24928.492741555441</v>
      </c>
      <c r="AV123" s="117">
        <f t="shared" si="46"/>
        <v>21641.54215357787</v>
      </c>
      <c r="AW123" s="117">
        <f t="shared" si="47"/>
        <v>19328.005685946791</v>
      </c>
      <c r="AX123" s="117">
        <f t="shared" si="48"/>
        <v>16242.294949028772</v>
      </c>
      <c r="AY123" s="117">
        <f t="shared" si="49"/>
        <v>11282.027728558038</v>
      </c>
    </row>
    <row r="124" spans="46:51" x14ac:dyDescent="0.15">
      <c r="AT124" s="117">
        <v>120</v>
      </c>
      <c r="AU124" s="117">
        <f t="shared" si="45"/>
        <v>25091.887155862081</v>
      </c>
      <c r="AV124" s="117">
        <f t="shared" si="46"/>
        <v>22226.954267802241</v>
      </c>
      <c r="AW124" s="117">
        <f t="shared" si="47"/>
        <v>20311.385814971447</v>
      </c>
      <c r="AX124" s="117">
        <f t="shared" si="48"/>
        <v>17052.538092374096</v>
      </c>
      <c r="AY124" s="117">
        <f t="shared" si="49"/>
        <v>11632.061164209903</v>
      </c>
    </row>
    <row r="125" spans="46:51" x14ac:dyDescent="0.15">
      <c r="AT125" s="117">
        <v>121</v>
      </c>
      <c r="AU125" s="117">
        <f t="shared" si="45"/>
        <v>25255.281570168718</v>
      </c>
      <c r="AV125" s="117">
        <f t="shared" si="46"/>
        <v>22812.366382026612</v>
      </c>
      <c r="AW125" s="117">
        <f t="shared" si="47"/>
        <v>21294.765943996106</v>
      </c>
      <c r="AX125" s="117">
        <f t="shared" si="48"/>
        <v>17862.781235719416</v>
      </c>
      <c r="AY125" s="117">
        <f t="shared" si="49"/>
        <v>11982.094599861772</v>
      </c>
    </row>
    <row r="126" spans="46:51" x14ac:dyDescent="0.15">
      <c r="AT126" s="117">
        <v>122</v>
      </c>
      <c r="AU126" s="117">
        <f t="shared" si="45"/>
        <v>25418.675984475358</v>
      </c>
      <c r="AV126" s="117">
        <f t="shared" si="46"/>
        <v>23397.778496250983</v>
      </c>
      <c r="AW126" s="117">
        <f t="shared" si="47"/>
        <v>22278.146073020762</v>
      </c>
      <c r="AX126" s="117">
        <f t="shared" si="48"/>
        <v>18673.02437906474</v>
      </c>
      <c r="AY126" s="117">
        <f t="shared" si="49"/>
        <v>12332.128035513637</v>
      </c>
    </row>
    <row r="127" spans="46:51" x14ac:dyDescent="0.15">
      <c r="AT127" s="117">
        <v>123</v>
      </c>
      <c r="AU127" s="117">
        <f t="shared" si="45"/>
        <v>25582.070398781994</v>
      </c>
      <c r="AV127" s="117">
        <f t="shared" si="46"/>
        <v>23983.190610475351</v>
      </c>
      <c r="AW127" s="117">
        <f t="shared" si="47"/>
        <v>23261.526202045417</v>
      </c>
      <c r="AX127" s="117">
        <f t="shared" si="48"/>
        <v>19483.26752241006</v>
      </c>
      <c r="AY127" s="117">
        <f t="shared" si="49"/>
        <v>12682.161471165504</v>
      </c>
    </row>
    <row r="128" spans="46:51" x14ac:dyDescent="0.15">
      <c r="AT128" s="117">
        <v>124</v>
      </c>
      <c r="AU128" s="117">
        <f t="shared" si="45"/>
        <v>25745.464813088634</v>
      </c>
      <c r="AV128" s="117">
        <f t="shared" si="46"/>
        <v>24568.602724699722</v>
      </c>
      <c r="AW128" s="117">
        <f t="shared" si="47"/>
        <v>24244.906331070077</v>
      </c>
      <c r="AX128" s="117">
        <f t="shared" si="48"/>
        <v>20293.510665755384</v>
      </c>
      <c r="AY128" s="117">
        <f t="shared" si="49"/>
        <v>13032.194906817371</v>
      </c>
    </row>
    <row r="129" spans="46:51" x14ac:dyDescent="0.15">
      <c r="AT129" s="117">
        <v>125</v>
      </c>
      <c r="AU129" s="117">
        <f t="shared" si="45"/>
        <v>25908.859227395275</v>
      </c>
      <c r="AV129" s="117">
        <f t="shared" si="46"/>
        <v>25154.014838924093</v>
      </c>
      <c r="AW129" s="117">
        <f t="shared" si="47"/>
        <v>25228.286460094736</v>
      </c>
      <c r="AX129" s="117">
        <f t="shared" si="48"/>
        <v>21103.753809100708</v>
      </c>
      <c r="AY129" s="117">
        <f t="shared" si="49"/>
        <v>13820.546328178816</v>
      </c>
    </row>
    <row r="130" spans="46:51" x14ac:dyDescent="0.15">
      <c r="AT130" s="117">
        <v>126</v>
      </c>
      <c r="AU130" s="117">
        <f t="shared" si="45"/>
        <v>26072.253641701911</v>
      </c>
      <c r="AV130" s="117">
        <f t="shared" si="46"/>
        <v>25739.426953148464</v>
      </c>
      <c r="AW130" s="117">
        <f t="shared" si="47"/>
        <v>26211.666589119392</v>
      </c>
      <c r="AX130" s="117">
        <f t="shared" si="48"/>
        <v>21648.032420311447</v>
      </c>
      <c r="AY130" s="117">
        <f t="shared" si="49"/>
        <v>14666.553457663254</v>
      </c>
    </row>
    <row r="131" spans="46:51" x14ac:dyDescent="0.15">
      <c r="AT131" s="117">
        <v>127</v>
      </c>
      <c r="AU131" s="117">
        <f t="shared" si="45"/>
        <v>26235.648056008551</v>
      </c>
      <c r="AV131" s="117">
        <f t="shared" si="46"/>
        <v>26324.839067372835</v>
      </c>
      <c r="AW131" s="117">
        <f t="shared" si="47"/>
        <v>26400</v>
      </c>
      <c r="AX131" s="117">
        <f t="shared" si="48"/>
        <v>22128.250881878717</v>
      </c>
      <c r="AY131" s="117">
        <f t="shared" si="49"/>
        <v>15512.560587147691</v>
      </c>
    </row>
    <row r="132" spans="46:51" x14ac:dyDescent="0.15">
      <c r="AT132" s="117">
        <v>128</v>
      </c>
      <c r="AU132" s="117">
        <f t="shared" si="45"/>
        <v>26399.042470315191</v>
      </c>
      <c r="AV132" s="117">
        <f t="shared" si="46"/>
        <v>26400</v>
      </c>
      <c r="AW132" s="117">
        <f t="shared" si="47"/>
        <v>26400</v>
      </c>
      <c r="AX132" s="117">
        <f t="shared" si="48"/>
        <v>22608.469343445984</v>
      </c>
      <c r="AY132" s="117">
        <f t="shared" si="49"/>
        <v>16358.567716632129</v>
      </c>
    </row>
    <row r="133" spans="46:51" x14ac:dyDescent="0.15">
      <c r="AT133" s="117">
        <v>129</v>
      </c>
      <c r="AU133" s="117">
        <f t="shared" si="45"/>
        <v>26400</v>
      </c>
      <c r="AV133" s="117">
        <f t="shared" si="46"/>
        <v>26400</v>
      </c>
      <c r="AW133" s="117">
        <f t="shared" si="47"/>
        <v>26400</v>
      </c>
      <c r="AX133" s="117">
        <f t="shared" si="48"/>
        <v>23088.687805013251</v>
      </c>
      <c r="AY133" s="117">
        <f t="shared" si="49"/>
        <v>17204.574846116568</v>
      </c>
    </row>
    <row r="134" spans="46:51" x14ac:dyDescent="0.15">
      <c r="AT134" s="117">
        <v>130</v>
      </c>
      <c r="AU134" s="117">
        <f t="shared" ref="AU134:AU164" si="59">MIN(IFERROR(求节点($X$5:$X$20,$AL$5:$AL$20,$AT134),0),MAX($AL$5:$AL$20))</f>
        <v>26400</v>
      </c>
      <c r="AV134" s="117">
        <f t="shared" ref="AV134:AV164" si="60">MIN(IFERROR(求节点($X$25:$X$40,$AL$25:$AL$40,$AT134),0),MAX($AL$25:$AL$40))</f>
        <v>26400</v>
      </c>
      <c r="AW134" s="117">
        <f t="shared" ref="AW134:AW164" si="61">MIN(IFERROR(求节点($X$45:$X$60,$AL$45:$AL$60,$AT134),0),MAX($AL$45:$AL$60))</f>
        <v>26400</v>
      </c>
      <c r="AX134" s="117">
        <f t="shared" ref="AX134:AX164" si="62">MIN(IFERROR(求节点($X$65:$X$80,$AL$65:$AL$80,$AT134),0),MAX($AL$65:$AL$80))</f>
        <v>23568.906266580521</v>
      </c>
      <c r="AY134" s="117">
        <f t="shared" ref="AY134:AY164" si="63">MIN(IFERROR(求节点($X$85:$X$100,$AL$85:$AL$100,$AT134),0),MAX($AL$85:$AL$100))</f>
        <v>18050.581975601002</v>
      </c>
    </row>
    <row r="135" spans="46:51" x14ac:dyDescent="0.15">
      <c r="AT135" s="117">
        <v>131</v>
      </c>
      <c r="AU135" s="117">
        <f t="shared" si="59"/>
        <v>26400</v>
      </c>
      <c r="AV135" s="117">
        <f t="shared" si="60"/>
        <v>26400</v>
      </c>
      <c r="AW135" s="117">
        <f t="shared" si="61"/>
        <v>26400</v>
      </c>
      <c r="AX135" s="117">
        <f t="shared" si="62"/>
        <v>24049.124728147788</v>
      </c>
      <c r="AY135" s="117">
        <f t="shared" si="63"/>
        <v>18896.589105085441</v>
      </c>
    </row>
    <row r="136" spans="46:51" x14ac:dyDescent="0.15">
      <c r="AT136" s="117">
        <v>132</v>
      </c>
      <c r="AU136" s="117">
        <f t="shared" si="59"/>
        <v>26400</v>
      </c>
      <c r="AV136" s="117">
        <f t="shared" si="60"/>
        <v>26400</v>
      </c>
      <c r="AW136" s="117">
        <f t="shared" si="61"/>
        <v>26400</v>
      </c>
      <c r="AX136" s="117">
        <f t="shared" si="62"/>
        <v>24529.343189715055</v>
      </c>
      <c r="AY136" s="117">
        <f t="shared" si="63"/>
        <v>19742.596234569879</v>
      </c>
    </row>
    <row r="137" spans="46:51" x14ac:dyDescent="0.15">
      <c r="AT137" s="117">
        <v>133</v>
      </c>
      <c r="AU137" s="117">
        <f t="shared" si="59"/>
        <v>26400</v>
      </c>
      <c r="AV137" s="117">
        <f t="shared" si="60"/>
        <v>26400</v>
      </c>
      <c r="AW137" s="117">
        <f t="shared" si="61"/>
        <v>26400</v>
      </c>
      <c r="AX137" s="117">
        <f t="shared" si="62"/>
        <v>25009.561651282325</v>
      </c>
      <c r="AY137" s="117">
        <f t="shared" si="63"/>
        <v>20588.603364054317</v>
      </c>
    </row>
    <row r="138" spans="46:51" x14ac:dyDescent="0.15">
      <c r="AT138" s="117">
        <v>134</v>
      </c>
      <c r="AU138" s="117">
        <f t="shared" si="59"/>
        <v>26400</v>
      </c>
      <c r="AV138" s="117">
        <f t="shared" si="60"/>
        <v>26400</v>
      </c>
      <c r="AW138" s="117">
        <f t="shared" si="61"/>
        <v>26400</v>
      </c>
      <c r="AX138" s="117">
        <f t="shared" si="62"/>
        <v>25489.780112849592</v>
      </c>
      <c r="AY138" s="117">
        <f t="shared" si="63"/>
        <v>21434.610493538756</v>
      </c>
    </row>
    <row r="139" spans="46:51" x14ac:dyDescent="0.15">
      <c r="AT139" s="117">
        <v>135</v>
      </c>
      <c r="AU139" s="117">
        <f t="shared" si="59"/>
        <v>26400</v>
      </c>
      <c r="AV139" s="117">
        <f t="shared" si="60"/>
        <v>26400</v>
      </c>
      <c r="AW139" s="117">
        <f t="shared" si="61"/>
        <v>26400</v>
      </c>
      <c r="AX139" s="117">
        <f t="shared" si="62"/>
        <v>25969.998574416859</v>
      </c>
      <c r="AY139" s="117">
        <f t="shared" si="63"/>
        <v>22241.164616474307</v>
      </c>
    </row>
    <row r="140" spans="46:51" x14ac:dyDescent="0.15">
      <c r="AT140" s="117">
        <v>136</v>
      </c>
      <c r="AU140" s="117">
        <f t="shared" si="59"/>
        <v>26400</v>
      </c>
      <c r="AV140" s="117">
        <f t="shared" si="60"/>
        <v>26400</v>
      </c>
      <c r="AW140" s="117">
        <f t="shared" si="61"/>
        <v>26400</v>
      </c>
      <c r="AX140" s="117">
        <f t="shared" si="62"/>
        <v>26400</v>
      </c>
      <c r="AY140" s="117">
        <f t="shared" si="63"/>
        <v>22635.940117995051</v>
      </c>
    </row>
    <row r="141" spans="46:51" x14ac:dyDescent="0.15">
      <c r="AT141" s="117">
        <v>137</v>
      </c>
      <c r="AU141" s="117">
        <f t="shared" si="59"/>
        <v>26400</v>
      </c>
      <c r="AV141" s="117">
        <f t="shared" si="60"/>
        <v>26400</v>
      </c>
      <c r="AW141" s="117">
        <f t="shared" si="61"/>
        <v>26400</v>
      </c>
      <c r="AX141" s="117">
        <f t="shared" si="62"/>
        <v>26400</v>
      </c>
      <c r="AY141" s="117">
        <f t="shared" si="63"/>
        <v>23030.715619515791</v>
      </c>
    </row>
    <row r="142" spans="46:51" x14ac:dyDescent="0.15">
      <c r="AT142" s="117">
        <v>138</v>
      </c>
      <c r="AU142" s="117">
        <f t="shared" si="59"/>
        <v>26400</v>
      </c>
      <c r="AV142" s="117">
        <f t="shared" si="60"/>
        <v>26400</v>
      </c>
      <c r="AW142" s="117">
        <f t="shared" si="61"/>
        <v>26400</v>
      </c>
      <c r="AX142" s="117">
        <f t="shared" si="62"/>
        <v>26400</v>
      </c>
      <c r="AY142" s="117">
        <f t="shared" si="63"/>
        <v>23425.491121036532</v>
      </c>
    </row>
    <row r="143" spans="46:51" x14ac:dyDescent="0.15">
      <c r="AT143" s="117">
        <v>139</v>
      </c>
      <c r="AU143" s="117">
        <f t="shared" si="59"/>
        <v>26400</v>
      </c>
      <c r="AV143" s="117">
        <f t="shared" si="60"/>
        <v>26400</v>
      </c>
      <c r="AW143" s="117">
        <f t="shared" si="61"/>
        <v>26400</v>
      </c>
      <c r="AX143" s="117">
        <f t="shared" si="62"/>
        <v>26400</v>
      </c>
      <c r="AY143" s="117">
        <f t="shared" si="63"/>
        <v>23820.266622557276</v>
      </c>
    </row>
    <row r="144" spans="46:51" x14ac:dyDescent="0.15">
      <c r="AT144" s="117">
        <v>140</v>
      </c>
      <c r="AU144" s="117">
        <f t="shared" si="59"/>
        <v>26400</v>
      </c>
      <c r="AV144" s="117">
        <f t="shared" si="60"/>
        <v>26400</v>
      </c>
      <c r="AW144" s="117">
        <f t="shared" si="61"/>
        <v>26400</v>
      </c>
      <c r="AX144" s="117">
        <f t="shared" si="62"/>
        <v>26400</v>
      </c>
      <c r="AY144" s="117">
        <f t="shared" si="63"/>
        <v>24215.042124078016</v>
      </c>
    </row>
    <row r="145" spans="46:51" x14ac:dyDescent="0.15">
      <c r="AT145" s="117">
        <v>141</v>
      </c>
      <c r="AU145" s="117">
        <f t="shared" si="59"/>
        <v>26400</v>
      </c>
      <c r="AV145" s="117">
        <f t="shared" si="60"/>
        <v>26400</v>
      </c>
      <c r="AW145" s="117">
        <f t="shared" si="61"/>
        <v>26400</v>
      </c>
      <c r="AX145" s="117">
        <f t="shared" si="62"/>
        <v>26400</v>
      </c>
      <c r="AY145" s="117">
        <f t="shared" si="63"/>
        <v>24609.81762559876</v>
      </c>
    </row>
    <row r="146" spans="46:51" x14ac:dyDescent="0.15">
      <c r="AT146" s="117">
        <v>142</v>
      </c>
      <c r="AU146" s="117">
        <f t="shared" si="59"/>
        <v>26400</v>
      </c>
      <c r="AV146" s="117">
        <f t="shared" si="60"/>
        <v>26400</v>
      </c>
      <c r="AW146" s="117">
        <f t="shared" si="61"/>
        <v>26400</v>
      </c>
      <c r="AX146" s="117">
        <f t="shared" si="62"/>
        <v>26400</v>
      </c>
      <c r="AY146" s="117">
        <f t="shared" si="63"/>
        <v>25004.5931271195</v>
      </c>
    </row>
    <row r="147" spans="46:51" x14ac:dyDescent="0.15">
      <c r="AT147" s="117">
        <v>143</v>
      </c>
      <c r="AU147" s="117">
        <f t="shared" si="59"/>
        <v>26400</v>
      </c>
      <c r="AV147" s="117">
        <f t="shared" si="60"/>
        <v>26400</v>
      </c>
      <c r="AW147" s="117">
        <f t="shared" si="61"/>
        <v>26400</v>
      </c>
      <c r="AX147" s="117">
        <f t="shared" si="62"/>
        <v>26400</v>
      </c>
      <c r="AY147" s="117">
        <f t="shared" si="63"/>
        <v>25399.368628640244</v>
      </c>
    </row>
    <row r="148" spans="46:51" x14ac:dyDescent="0.15">
      <c r="AT148" s="117">
        <v>144</v>
      </c>
      <c r="AU148" s="117">
        <f t="shared" si="59"/>
        <v>26400</v>
      </c>
      <c r="AV148" s="117">
        <f t="shared" si="60"/>
        <v>26400</v>
      </c>
      <c r="AW148" s="117">
        <f t="shared" si="61"/>
        <v>26400</v>
      </c>
      <c r="AX148" s="117">
        <f t="shared" si="62"/>
        <v>26400</v>
      </c>
      <c r="AY148" s="117">
        <f t="shared" si="63"/>
        <v>25794.144130160985</v>
      </c>
    </row>
    <row r="149" spans="46:51" x14ac:dyDescent="0.15">
      <c r="AT149" s="117">
        <v>145</v>
      </c>
      <c r="AU149" s="117">
        <f t="shared" si="59"/>
        <v>26400</v>
      </c>
      <c r="AV149" s="117">
        <f t="shared" si="60"/>
        <v>26400</v>
      </c>
      <c r="AW149" s="117">
        <f t="shared" si="61"/>
        <v>26400</v>
      </c>
      <c r="AX149" s="117">
        <f t="shared" si="62"/>
        <v>26400</v>
      </c>
      <c r="AY149" s="117">
        <f t="shared" si="63"/>
        <v>26188.919631681725</v>
      </c>
    </row>
    <row r="150" spans="46:51" x14ac:dyDescent="0.15">
      <c r="AT150" s="117">
        <v>146</v>
      </c>
      <c r="AU150" s="117">
        <f t="shared" si="59"/>
        <v>26400</v>
      </c>
      <c r="AV150" s="117">
        <f t="shared" si="60"/>
        <v>26400</v>
      </c>
      <c r="AW150" s="117">
        <f t="shared" si="61"/>
        <v>26400</v>
      </c>
      <c r="AX150" s="117">
        <f t="shared" si="62"/>
        <v>26400</v>
      </c>
      <c r="AY150" s="117">
        <f t="shared" si="63"/>
        <v>26400</v>
      </c>
    </row>
    <row r="151" spans="46:51" x14ac:dyDescent="0.15">
      <c r="AT151" s="117">
        <v>147</v>
      </c>
      <c r="AU151" s="117">
        <f t="shared" si="59"/>
        <v>26400</v>
      </c>
      <c r="AV151" s="117">
        <f t="shared" si="60"/>
        <v>26400</v>
      </c>
      <c r="AW151" s="117">
        <f t="shared" si="61"/>
        <v>26400</v>
      </c>
      <c r="AX151" s="117">
        <f t="shared" si="62"/>
        <v>26400</v>
      </c>
      <c r="AY151" s="117">
        <f t="shared" si="63"/>
        <v>26400</v>
      </c>
    </row>
    <row r="152" spans="46:51" x14ac:dyDescent="0.15">
      <c r="AT152" s="117">
        <v>148</v>
      </c>
      <c r="AU152" s="117">
        <f t="shared" si="59"/>
        <v>26400</v>
      </c>
      <c r="AV152" s="117">
        <f t="shared" si="60"/>
        <v>26400</v>
      </c>
      <c r="AW152" s="117">
        <f t="shared" si="61"/>
        <v>26400</v>
      </c>
      <c r="AX152" s="117">
        <f t="shared" si="62"/>
        <v>26400</v>
      </c>
      <c r="AY152" s="117">
        <f t="shared" si="63"/>
        <v>26400</v>
      </c>
    </row>
    <row r="153" spans="46:51" x14ac:dyDescent="0.15">
      <c r="AT153" s="117">
        <v>149</v>
      </c>
      <c r="AU153" s="117">
        <f t="shared" si="59"/>
        <v>26400</v>
      </c>
      <c r="AV153" s="117">
        <f t="shared" si="60"/>
        <v>26400</v>
      </c>
      <c r="AW153" s="117">
        <f t="shared" si="61"/>
        <v>26400</v>
      </c>
      <c r="AX153" s="117">
        <f t="shared" si="62"/>
        <v>26400</v>
      </c>
      <c r="AY153" s="117">
        <f t="shared" si="63"/>
        <v>26400</v>
      </c>
    </row>
    <row r="154" spans="46:51" x14ac:dyDescent="0.15">
      <c r="AT154" s="117">
        <v>150</v>
      </c>
      <c r="AU154" s="117">
        <f t="shared" si="59"/>
        <v>26400</v>
      </c>
      <c r="AV154" s="117">
        <f t="shared" si="60"/>
        <v>26400</v>
      </c>
      <c r="AW154" s="117">
        <f t="shared" si="61"/>
        <v>26400</v>
      </c>
      <c r="AX154" s="117">
        <f t="shared" si="62"/>
        <v>26400</v>
      </c>
      <c r="AY154" s="117">
        <f t="shared" si="63"/>
        <v>26400</v>
      </c>
    </row>
    <row r="155" spans="46:51" x14ac:dyDescent="0.15">
      <c r="AT155" s="117">
        <v>151</v>
      </c>
      <c r="AU155" s="117">
        <f t="shared" si="59"/>
        <v>26400</v>
      </c>
      <c r="AV155" s="117">
        <f t="shared" si="60"/>
        <v>26400</v>
      </c>
      <c r="AW155" s="117">
        <f t="shared" si="61"/>
        <v>26400</v>
      </c>
      <c r="AX155" s="117">
        <f t="shared" si="62"/>
        <v>26400</v>
      </c>
      <c r="AY155" s="117">
        <f t="shared" si="63"/>
        <v>26400</v>
      </c>
    </row>
    <row r="156" spans="46:51" x14ac:dyDescent="0.15">
      <c r="AT156" s="117">
        <v>152</v>
      </c>
      <c r="AU156" s="117">
        <f t="shared" si="59"/>
        <v>26400</v>
      </c>
      <c r="AV156" s="117">
        <f t="shared" si="60"/>
        <v>26400</v>
      </c>
      <c r="AW156" s="117">
        <f t="shared" si="61"/>
        <v>26400</v>
      </c>
      <c r="AX156" s="117">
        <f t="shared" si="62"/>
        <v>26400</v>
      </c>
      <c r="AY156" s="117">
        <f t="shared" si="63"/>
        <v>26400</v>
      </c>
    </row>
    <row r="157" spans="46:51" x14ac:dyDescent="0.15">
      <c r="AT157" s="117">
        <v>153</v>
      </c>
      <c r="AU157" s="117">
        <f t="shared" si="59"/>
        <v>26400</v>
      </c>
      <c r="AV157" s="117">
        <f t="shared" si="60"/>
        <v>26400</v>
      </c>
      <c r="AW157" s="117">
        <f t="shared" si="61"/>
        <v>26400</v>
      </c>
      <c r="AX157" s="117">
        <f t="shared" si="62"/>
        <v>26400</v>
      </c>
      <c r="AY157" s="117">
        <f t="shared" si="63"/>
        <v>26400</v>
      </c>
    </row>
    <row r="158" spans="46:51" x14ac:dyDescent="0.15">
      <c r="AT158" s="117">
        <v>154</v>
      </c>
      <c r="AU158" s="117">
        <f t="shared" si="59"/>
        <v>26400</v>
      </c>
      <c r="AV158" s="117">
        <f t="shared" si="60"/>
        <v>26400</v>
      </c>
      <c r="AW158" s="117">
        <f t="shared" si="61"/>
        <v>26400</v>
      </c>
      <c r="AX158" s="117">
        <f t="shared" si="62"/>
        <v>26400</v>
      </c>
      <c r="AY158" s="117">
        <f t="shared" si="63"/>
        <v>26400</v>
      </c>
    </row>
    <row r="159" spans="46:51" x14ac:dyDescent="0.15">
      <c r="AT159" s="117">
        <v>155</v>
      </c>
      <c r="AU159" s="117">
        <f t="shared" si="59"/>
        <v>26400</v>
      </c>
      <c r="AV159" s="117">
        <f t="shared" si="60"/>
        <v>26400</v>
      </c>
      <c r="AW159" s="117">
        <f t="shared" si="61"/>
        <v>26400</v>
      </c>
      <c r="AX159" s="117">
        <f t="shared" si="62"/>
        <v>26400</v>
      </c>
      <c r="AY159" s="117">
        <f t="shared" si="63"/>
        <v>26400</v>
      </c>
    </row>
    <row r="160" spans="46:51" x14ac:dyDescent="0.15">
      <c r="AT160" s="117">
        <v>156</v>
      </c>
      <c r="AU160" s="117">
        <f t="shared" si="59"/>
        <v>26400</v>
      </c>
      <c r="AV160" s="117">
        <f t="shared" si="60"/>
        <v>26400</v>
      </c>
      <c r="AW160" s="117">
        <f t="shared" si="61"/>
        <v>26400</v>
      </c>
      <c r="AX160" s="117">
        <f t="shared" si="62"/>
        <v>26400</v>
      </c>
      <c r="AY160" s="117">
        <f t="shared" si="63"/>
        <v>26400</v>
      </c>
    </row>
    <row r="161" spans="46:51" x14ac:dyDescent="0.15">
      <c r="AT161" s="117">
        <v>157</v>
      </c>
      <c r="AU161" s="117">
        <f t="shared" si="59"/>
        <v>26400</v>
      </c>
      <c r="AV161" s="117">
        <f t="shared" si="60"/>
        <v>26400</v>
      </c>
      <c r="AW161" s="117">
        <f t="shared" si="61"/>
        <v>26400</v>
      </c>
      <c r="AX161" s="117">
        <f t="shared" si="62"/>
        <v>26400</v>
      </c>
      <c r="AY161" s="117">
        <f t="shared" si="63"/>
        <v>26400</v>
      </c>
    </row>
    <row r="162" spans="46:51" x14ac:dyDescent="0.15">
      <c r="AT162" s="117">
        <v>158</v>
      </c>
      <c r="AU162" s="117">
        <f t="shared" si="59"/>
        <v>26400</v>
      </c>
      <c r="AV162" s="117">
        <f t="shared" si="60"/>
        <v>26400</v>
      </c>
      <c r="AW162" s="117">
        <f t="shared" si="61"/>
        <v>26400</v>
      </c>
      <c r="AX162" s="117">
        <f t="shared" si="62"/>
        <v>26400</v>
      </c>
      <c r="AY162" s="117">
        <f t="shared" si="63"/>
        <v>26400</v>
      </c>
    </row>
    <row r="163" spans="46:51" x14ac:dyDescent="0.15">
      <c r="AT163" s="117">
        <v>159</v>
      </c>
      <c r="AU163" s="117">
        <f t="shared" si="59"/>
        <v>26400</v>
      </c>
      <c r="AV163" s="117">
        <f t="shared" si="60"/>
        <v>26400</v>
      </c>
      <c r="AW163" s="117">
        <f t="shared" si="61"/>
        <v>26400</v>
      </c>
      <c r="AX163" s="117">
        <f t="shared" si="62"/>
        <v>26400</v>
      </c>
      <c r="AY163" s="117">
        <f t="shared" si="63"/>
        <v>26400</v>
      </c>
    </row>
    <row r="164" spans="46:51" x14ac:dyDescent="0.15">
      <c r="AT164" s="117">
        <v>160</v>
      </c>
      <c r="AU164" s="117">
        <f t="shared" si="59"/>
        <v>26400</v>
      </c>
      <c r="AV164" s="117">
        <f t="shared" si="60"/>
        <v>26400</v>
      </c>
      <c r="AW164" s="117">
        <f t="shared" si="61"/>
        <v>26400</v>
      </c>
      <c r="AX164" s="117">
        <f t="shared" si="62"/>
        <v>26400</v>
      </c>
      <c r="AY164" s="117">
        <f t="shared" si="63"/>
        <v>26400</v>
      </c>
    </row>
  </sheetData>
  <mergeCells count="19">
    <mergeCell ref="AM83:AQ83"/>
    <mergeCell ref="Y83:AC83"/>
    <mergeCell ref="AD3:AH3"/>
    <mergeCell ref="AD23:AH23"/>
    <mergeCell ref="AD43:AH43"/>
    <mergeCell ref="AD63:AH63"/>
    <mergeCell ref="AD83:AH83"/>
    <mergeCell ref="Y3:AC3"/>
    <mergeCell ref="Y23:AC23"/>
    <mergeCell ref="AU3:AY3"/>
    <mergeCell ref="N3:R3"/>
    <mergeCell ref="D3:H3"/>
    <mergeCell ref="Y43:AC43"/>
    <mergeCell ref="Y63:AC63"/>
    <mergeCell ref="D32:H32"/>
    <mergeCell ref="AM3:AQ3"/>
    <mergeCell ref="AM23:AQ23"/>
    <mergeCell ref="AM43:AQ43"/>
    <mergeCell ref="AM63:AQ63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7E9C1-DEF3-4A13-819F-B2B63472E038}">
  <sheetPr codeName="Sheet11"/>
  <dimension ref="C3:Z122"/>
  <sheetViews>
    <sheetView workbookViewId="0">
      <selection activeCell="L22" sqref="K22:Q40"/>
    </sheetView>
  </sheetViews>
  <sheetFormatPr defaultRowHeight="11.25" x14ac:dyDescent="0.15"/>
  <cols>
    <col min="1" max="2" width="9" style="100"/>
    <col min="3" max="3" width="18" style="100" bestFit="1" customWidth="1"/>
    <col min="4" max="10" width="9" style="100"/>
    <col min="11" max="11" width="23.875" style="100" bestFit="1" customWidth="1"/>
    <col min="12" max="19" width="9" style="100"/>
    <col min="20" max="20" width="13.875" style="100" bestFit="1" customWidth="1"/>
    <col min="21" max="21" width="10.5" style="100" bestFit="1" customWidth="1"/>
    <col min="22" max="16384" width="9" style="100"/>
  </cols>
  <sheetData>
    <row r="3" spans="3:26" x14ac:dyDescent="0.15">
      <c r="C3" s="15" t="s">
        <v>66</v>
      </c>
      <c r="D3" s="102" t="s">
        <v>8</v>
      </c>
      <c r="E3" s="102" t="s">
        <v>9</v>
      </c>
      <c r="F3" s="102" t="s">
        <v>10</v>
      </c>
      <c r="G3" s="102" t="s">
        <v>11</v>
      </c>
      <c r="H3" s="102" t="s">
        <v>12</v>
      </c>
      <c r="L3" s="127" t="s">
        <v>284</v>
      </c>
      <c r="M3" s="127"/>
      <c r="N3" s="127"/>
      <c r="O3" s="127"/>
      <c r="P3" s="127"/>
      <c r="Q3" s="127"/>
      <c r="V3" s="127" t="s">
        <v>290</v>
      </c>
      <c r="W3" s="127"/>
      <c r="X3" s="127"/>
      <c r="Y3" s="127"/>
      <c r="Z3" s="127"/>
    </row>
    <row r="4" spans="3:26" x14ac:dyDescent="0.15">
      <c r="C4" s="6" t="s">
        <v>257</v>
      </c>
      <c r="D4" s="102">
        <v>5</v>
      </c>
      <c r="E4" s="102">
        <v>10</v>
      </c>
      <c r="F4" s="102">
        <v>15</v>
      </c>
      <c r="G4" s="102">
        <v>20</v>
      </c>
      <c r="H4" s="102">
        <v>25</v>
      </c>
      <c r="K4" s="100" t="s">
        <v>282</v>
      </c>
      <c r="L4" s="100" t="s">
        <v>273</v>
      </c>
      <c r="M4" s="100" t="s">
        <v>274</v>
      </c>
      <c r="N4" s="100" t="s">
        <v>275</v>
      </c>
      <c r="O4" s="100" t="s">
        <v>276</v>
      </c>
      <c r="P4" s="100" t="s">
        <v>277</v>
      </c>
      <c r="Q4" s="100" t="s">
        <v>278</v>
      </c>
      <c r="T4" s="100" t="s">
        <v>283</v>
      </c>
      <c r="U4" s="100" t="s">
        <v>291</v>
      </c>
      <c r="V4" s="100" t="s">
        <v>285</v>
      </c>
      <c r="W4" s="100" t="s">
        <v>286</v>
      </c>
      <c r="X4" s="100" t="s">
        <v>287</v>
      </c>
      <c r="Y4" s="100" t="s">
        <v>288</v>
      </c>
      <c r="Z4" s="100" t="s">
        <v>289</v>
      </c>
    </row>
    <row r="5" spans="3:26" x14ac:dyDescent="0.15">
      <c r="C5" s="6" t="s">
        <v>258</v>
      </c>
      <c r="D5" s="102">
        <v>15</v>
      </c>
      <c r="E5" s="102">
        <v>30</v>
      </c>
      <c r="F5" s="102">
        <v>45</v>
      </c>
      <c r="G5" s="102">
        <v>60</v>
      </c>
      <c r="H5" s="102">
        <v>75</v>
      </c>
      <c r="K5" s="100">
        <v>1</v>
      </c>
      <c r="L5" s="100">
        <v>1</v>
      </c>
      <c r="M5" s="100">
        <v>2</v>
      </c>
      <c r="N5" s="100">
        <v>4</v>
      </c>
      <c r="O5" s="100">
        <v>6</v>
      </c>
      <c r="P5" s="100">
        <v>8</v>
      </c>
      <c r="Q5" s="100">
        <v>10</v>
      </c>
      <c r="T5" s="100">
        <v>1</v>
      </c>
      <c r="U5" s="100">
        <f>SUMIF($L$5:$Q$20,"&lt;="&amp;$T5/6,$L$25:$Q$40)</f>
        <v>0</v>
      </c>
      <c r="V5" s="100">
        <f>COUNTIFS($L$5:$Q$20,"&lt;="&amp;$T5/6,$L$25:$Q$40,V$4)</f>
        <v>0</v>
      </c>
      <c r="W5" s="103">
        <f t="shared" ref="W5:Z20" si="0">COUNTIFS($L$5:$Q$20,"&lt;="&amp;$T5/6,$L$25:$Q$40,W$4)</f>
        <v>0</v>
      </c>
      <c r="X5" s="103">
        <f t="shared" si="0"/>
        <v>0</v>
      </c>
      <c r="Y5" s="103">
        <f t="shared" si="0"/>
        <v>0</v>
      </c>
      <c r="Z5" s="103">
        <f t="shared" si="0"/>
        <v>0</v>
      </c>
    </row>
    <row r="6" spans="3:26" x14ac:dyDescent="0.15">
      <c r="C6" s="6" t="s">
        <v>259</v>
      </c>
      <c r="D6" s="102">
        <f>D4*D8</f>
        <v>15</v>
      </c>
      <c r="E6" s="102">
        <f t="shared" ref="E6:H6" si="1">E4*E8</f>
        <v>30</v>
      </c>
      <c r="F6" s="102">
        <f t="shared" si="1"/>
        <v>45</v>
      </c>
      <c r="G6" s="102">
        <f t="shared" si="1"/>
        <v>60</v>
      </c>
      <c r="H6" s="102">
        <f t="shared" si="1"/>
        <v>75</v>
      </c>
      <c r="K6" s="100">
        <v>2</v>
      </c>
      <c r="L6" s="100">
        <v>12</v>
      </c>
      <c r="M6" s="100">
        <v>14</v>
      </c>
      <c r="N6" s="100">
        <v>18</v>
      </c>
      <c r="O6" s="100">
        <v>22</v>
      </c>
      <c r="P6" s="100">
        <v>26</v>
      </c>
      <c r="Q6" s="100">
        <v>30</v>
      </c>
      <c r="T6" s="100">
        <v>2</v>
      </c>
      <c r="U6" s="103">
        <f t="shared" ref="U6:U69" si="2">SUMIF($L$5:$Q$20,"&lt;="&amp;$T6/6,$L$25:$Q$40)</f>
        <v>0</v>
      </c>
      <c r="V6" s="103">
        <f t="shared" ref="V6:Z37" si="3">COUNTIFS($L$5:$Q$20,"&lt;="&amp;$T6/6,$L$25:$Q$40,V$4)</f>
        <v>0</v>
      </c>
      <c r="W6" s="103">
        <f t="shared" si="0"/>
        <v>0</v>
      </c>
      <c r="X6" s="103">
        <f t="shared" si="0"/>
        <v>0</v>
      </c>
      <c r="Y6" s="103">
        <f t="shared" si="0"/>
        <v>0</v>
      </c>
      <c r="Z6" s="103">
        <f t="shared" si="0"/>
        <v>0</v>
      </c>
    </row>
    <row r="7" spans="3:26" x14ac:dyDescent="0.15">
      <c r="C7" s="6" t="s">
        <v>260</v>
      </c>
      <c r="D7" s="102">
        <v>30</v>
      </c>
      <c r="E7" s="102">
        <v>60</v>
      </c>
      <c r="F7" s="102">
        <v>90</v>
      </c>
      <c r="G7" s="102">
        <v>120</v>
      </c>
      <c r="H7" s="102">
        <v>150</v>
      </c>
      <c r="K7" s="100">
        <v>3</v>
      </c>
      <c r="L7" s="100">
        <v>32</v>
      </c>
      <c r="M7" s="100">
        <v>34</v>
      </c>
      <c r="N7" s="100">
        <v>38</v>
      </c>
      <c r="O7" s="100">
        <v>42</v>
      </c>
      <c r="P7" s="100">
        <v>46</v>
      </c>
      <c r="Q7" s="100">
        <v>50</v>
      </c>
      <c r="T7" s="103">
        <v>3</v>
      </c>
      <c r="U7" s="103">
        <f t="shared" si="2"/>
        <v>0</v>
      </c>
      <c r="V7" s="103">
        <f t="shared" si="3"/>
        <v>0</v>
      </c>
      <c r="W7" s="103">
        <f t="shared" si="0"/>
        <v>0</v>
      </c>
      <c r="X7" s="103">
        <f t="shared" si="0"/>
        <v>0</v>
      </c>
      <c r="Y7" s="103">
        <f t="shared" si="0"/>
        <v>0</v>
      </c>
      <c r="Z7" s="103">
        <f t="shared" si="0"/>
        <v>0</v>
      </c>
    </row>
    <row r="8" spans="3:26" x14ac:dyDescent="0.15">
      <c r="C8" s="6" t="s">
        <v>261</v>
      </c>
      <c r="D8" s="102">
        <v>3</v>
      </c>
      <c r="E8" s="114">
        <v>3</v>
      </c>
      <c r="F8" s="114">
        <v>3</v>
      </c>
      <c r="G8" s="114">
        <v>3</v>
      </c>
      <c r="H8" s="114">
        <v>3</v>
      </c>
      <c r="K8" s="100">
        <v>4</v>
      </c>
      <c r="L8" s="100">
        <v>55</v>
      </c>
      <c r="M8" s="100">
        <v>60</v>
      </c>
      <c r="N8" s="100">
        <v>70</v>
      </c>
      <c r="O8" s="100">
        <v>80</v>
      </c>
      <c r="P8" s="100">
        <v>90</v>
      </c>
      <c r="Q8" s="100">
        <v>100</v>
      </c>
      <c r="T8" s="103">
        <v>4</v>
      </c>
      <c r="U8" s="103">
        <f t="shared" si="2"/>
        <v>0</v>
      </c>
      <c r="V8" s="103">
        <f t="shared" si="3"/>
        <v>0</v>
      </c>
      <c r="W8" s="103">
        <f t="shared" si="0"/>
        <v>0</v>
      </c>
      <c r="X8" s="103">
        <f t="shared" si="0"/>
        <v>0</v>
      </c>
      <c r="Y8" s="103">
        <f t="shared" si="0"/>
        <v>0</v>
      </c>
      <c r="Z8" s="103">
        <f t="shared" si="0"/>
        <v>0</v>
      </c>
    </row>
    <row r="9" spans="3:26" x14ac:dyDescent="0.15">
      <c r="C9" s="6" t="s">
        <v>267</v>
      </c>
      <c r="D9" s="102">
        <f>(D6+D7)/2</f>
        <v>22.5</v>
      </c>
      <c r="E9" s="102">
        <f>(E6+E7)/2</f>
        <v>45</v>
      </c>
      <c r="F9" s="102">
        <f t="shared" ref="F9:H9" si="4">(F6+F7)/2</f>
        <v>67.5</v>
      </c>
      <c r="G9" s="102">
        <f t="shared" si="4"/>
        <v>90</v>
      </c>
      <c r="H9" s="102">
        <f t="shared" si="4"/>
        <v>112.5</v>
      </c>
      <c r="K9" s="100">
        <v>5</v>
      </c>
      <c r="L9" s="100">
        <v>120</v>
      </c>
      <c r="M9" s="100">
        <v>140</v>
      </c>
      <c r="N9" s="100">
        <v>180</v>
      </c>
      <c r="O9" s="100">
        <v>220</v>
      </c>
      <c r="P9" s="100">
        <v>260</v>
      </c>
      <c r="Q9" s="100">
        <v>300</v>
      </c>
      <c r="T9" s="103">
        <v>5</v>
      </c>
      <c r="U9" s="103">
        <f t="shared" si="2"/>
        <v>0</v>
      </c>
      <c r="V9" s="103">
        <f t="shared" si="3"/>
        <v>0</v>
      </c>
      <c r="W9" s="103">
        <f t="shared" si="0"/>
        <v>0</v>
      </c>
      <c r="X9" s="103">
        <f t="shared" si="0"/>
        <v>0</v>
      </c>
      <c r="Y9" s="103">
        <f t="shared" si="0"/>
        <v>0</v>
      </c>
      <c r="Z9" s="103">
        <f t="shared" si="0"/>
        <v>0</v>
      </c>
    </row>
    <row r="10" spans="3:26" x14ac:dyDescent="0.15">
      <c r="C10" s="6"/>
      <c r="D10" s="102"/>
      <c r="E10" s="102"/>
      <c r="F10" s="102"/>
      <c r="G10" s="102"/>
      <c r="H10" s="102"/>
      <c r="K10" s="100">
        <v>6</v>
      </c>
      <c r="L10" s="100">
        <v>320</v>
      </c>
      <c r="M10" s="100">
        <v>340</v>
      </c>
      <c r="N10" s="100">
        <v>380</v>
      </c>
      <c r="O10" s="100">
        <v>420</v>
      </c>
      <c r="P10" s="100">
        <v>460</v>
      </c>
      <c r="Q10" s="100">
        <v>500</v>
      </c>
      <c r="T10" s="103">
        <v>6</v>
      </c>
      <c r="U10" s="103">
        <f t="shared" si="2"/>
        <v>100</v>
      </c>
      <c r="V10" s="103">
        <f t="shared" si="3"/>
        <v>0</v>
      </c>
      <c r="W10" s="103">
        <f t="shared" si="0"/>
        <v>0</v>
      </c>
      <c r="X10" s="103">
        <f t="shared" si="0"/>
        <v>0</v>
      </c>
      <c r="Y10" s="103">
        <f t="shared" si="0"/>
        <v>0</v>
      </c>
      <c r="Z10" s="103">
        <f t="shared" si="0"/>
        <v>0</v>
      </c>
    </row>
    <row r="11" spans="3:26" x14ac:dyDescent="0.15">
      <c r="C11" s="6"/>
      <c r="D11" s="102"/>
      <c r="E11" s="102"/>
      <c r="F11" s="102"/>
      <c r="G11" s="102"/>
      <c r="H11" s="102"/>
      <c r="K11" s="100">
        <v>7</v>
      </c>
      <c r="L11" s="100">
        <v>550</v>
      </c>
      <c r="M11" s="100">
        <v>600</v>
      </c>
      <c r="N11" s="100">
        <v>700</v>
      </c>
      <c r="O11" s="100">
        <v>800</v>
      </c>
      <c r="P11" s="100">
        <v>900</v>
      </c>
      <c r="Q11" s="100">
        <v>1000</v>
      </c>
      <c r="T11" s="103">
        <v>7</v>
      </c>
      <c r="U11" s="103">
        <f t="shared" si="2"/>
        <v>100</v>
      </c>
      <c r="V11" s="103">
        <f t="shared" si="3"/>
        <v>0</v>
      </c>
      <c r="W11" s="103">
        <f t="shared" si="0"/>
        <v>0</v>
      </c>
      <c r="X11" s="103">
        <f t="shared" si="0"/>
        <v>0</v>
      </c>
      <c r="Y11" s="103">
        <f t="shared" si="0"/>
        <v>0</v>
      </c>
      <c r="Z11" s="103">
        <f t="shared" si="0"/>
        <v>0</v>
      </c>
    </row>
    <row r="12" spans="3:26" x14ac:dyDescent="0.15">
      <c r="C12" s="6"/>
      <c r="D12" s="102"/>
      <c r="E12" s="102"/>
      <c r="F12" s="102"/>
      <c r="G12" s="102"/>
      <c r="H12" s="102"/>
      <c r="K12" s="100">
        <v>8</v>
      </c>
      <c r="L12" s="100">
        <v>1100</v>
      </c>
      <c r="M12" s="100">
        <v>1200</v>
      </c>
      <c r="N12" s="100">
        <v>1400</v>
      </c>
      <c r="O12" s="100">
        <v>1600</v>
      </c>
      <c r="P12" s="100">
        <v>1800</v>
      </c>
      <c r="Q12" s="100">
        <v>2000</v>
      </c>
      <c r="T12" s="103">
        <v>8</v>
      </c>
      <c r="U12" s="103">
        <f t="shared" si="2"/>
        <v>100</v>
      </c>
      <c r="V12" s="103">
        <f t="shared" si="3"/>
        <v>0</v>
      </c>
      <c r="W12" s="103">
        <f t="shared" si="0"/>
        <v>0</v>
      </c>
      <c r="X12" s="103">
        <f t="shared" si="0"/>
        <v>0</v>
      </c>
      <c r="Y12" s="103">
        <f t="shared" si="0"/>
        <v>0</v>
      </c>
      <c r="Z12" s="103">
        <f t="shared" si="0"/>
        <v>0</v>
      </c>
    </row>
    <row r="13" spans="3:26" x14ac:dyDescent="0.15">
      <c r="K13" s="100">
        <v>9</v>
      </c>
      <c r="L13" s="100">
        <v>2100</v>
      </c>
      <c r="M13" s="100">
        <v>2200</v>
      </c>
      <c r="N13" s="100">
        <v>2400</v>
      </c>
      <c r="O13" s="100">
        <v>2600</v>
      </c>
      <c r="P13" s="100">
        <v>2800</v>
      </c>
      <c r="Q13" s="100">
        <v>3000</v>
      </c>
      <c r="T13" s="103">
        <v>9</v>
      </c>
      <c r="U13" s="103">
        <f t="shared" si="2"/>
        <v>100</v>
      </c>
      <c r="V13" s="103">
        <f t="shared" si="3"/>
        <v>0</v>
      </c>
      <c r="W13" s="103">
        <f t="shared" si="0"/>
        <v>0</v>
      </c>
      <c r="X13" s="103">
        <f t="shared" si="0"/>
        <v>0</v>
      </c>
      <c r="Y13" s="103">
        <f t="shared" si="0"/>
        <v>0</v>
      </c>
      <c r="Z13" s="103">
        <f t="shared" si="0"/>
        <v>0</v>
      </c>
    </row>
    <row r="14" spans="3:26" x14ac:dyDescent="0.15">
      <c r="K14" s="100">
        <v>10</v>
      </c>
      <c r="L14" s="100">
        <v>3100</v>
      </c>
      <c r="M14" s="100">
        <v>3200</v>
      </c>
      <c r="N14" s="100">
        <v>3400</v>
      </c>
      <c r="O14" s="100">
        <v>3600</v>
      </c>
      <c r="P14" s="100">
        <v>3800</v>
      </c>
      <c r="Q14" s="100">
        <v>4000</v>
      </c>
      <c r="T14" s="103">
        <v>10</v>
      </c>
      <c r="U14" s="103">
        <f t="shared" si="2"/>
        <v>100</v>
      </c>
      <c r="V14" s="103">
        <f t="shared" si="3"/>
        <v>0</v>
      </c>
      <c r="W14" s="103">
        <f t="shared" si="0"/>
        <v>0</v>
      </c>
      <c r="X14" s="103">
        <f t="shared" si="0"/>
        <v>0</v>
      </c>
      <c r="Y14" s="103">
        <f t="shared" si="0"/>
        <v>0</v>
      </c>
      <c r="Z14" s="103">
        <f t="shared" si="0"/>
        <v>0</v>
      </c>
    </row>
    <row r="15" spans="3:26" x14ac:dyDescent="0.15">
      <c r="C15" s="89" t="s">
        <v>262</v>
      </c>
      <c r="K15" s="100">
        <v>11</v>
      </c>
      <c r="L15" s="100">
        <v>4100</v>
      </c>
      <c r="M15" s="100">
        <v>4200</v>
      </c>
      <c r="N15" s="100">
        <v>4400</v>
      </c>
      <c r="O15" s="100">
        <v>4600</v>
      </c>
      <c r="P15" s="100">
        <v>4800</v>
      </c>
      <c r="Q15" s="100">
        <v>5000</v>
      </c>
      <c r="T15" s="100">
        <v>20</v>
      </c>
      <c r="U15" s="103">
        <f t="shared" si="2"/>
        <v>200</v>
      </c>
      <c r="V15" s="103">
        <f t="shared" si="3"/>
        <v>0</v>
      </c>
      <c r="W15" s="103">
        <f t="shared" si="0"/>
        <v>0</v>
      </c>
      <c r="X15" s="103">
        <f t="shared" si="0"/>
        <v>0</v>
      </c>
      <c r="Y15" s="103">
        <f t="shared" si="0"/>
        <v>0</v>
      </c>
      <c r="Z15" s="103">
        <f t="shared" si="0"/>
        <v>0</v>
      </c>
    </row>
    <row r="16" spans="3:26" x14ac:dyDescent="0.15">
      <c r="C16" s="89" t="s">
        <v>263</v>
      </c>
      <c r="K16" s="100">
        <v>12</v>
      </c>
      <c r="L16" s="100">
        <v>5100</v>
      </c>
      <c r="M16" s="100">
        <v>5200</v>
      </c>
      <c r="N16" s="100">
        <v>5400</v>
      </c>
      <c r="O16" s="100">
        <v>5600</v>
      </c>
      <c r="P16" s="100">
        <v>5800</v>
      </c>
      <c r="Q16" s="100">
        <v>6000</v>
      </c>
      <c r="T16" s="100">
        <v>30</v>
      </c>
      <c r="U16" s="103">
        <f t="shared" si="2"/>
        <v>300</v>
      </c>
      <c r="V16" s="103">
        <f t="shared" si="3"/>
        <v>0</v>
      </c>
      <c r="W16" s="103">
        <f t="shared" si="0"/>
        <v>0</v>
      </c>
      <c r="X16" s="103">
        <f t="shared" si="0"/>
        <v>0</v>
      </c>
      <c r="Y16" s="103">
        <f t="shared" si="0"/>
        <v>0</v>
      </c>
      <c r="Z16" s="103">
        <f t="shared" si="0"/>
        <v>0</v>
      </c>
    </row>
    <row r="17" spans="3:26" x14ac:dyDescent="0.15">
      <c r="C17" s="89" t="s">
        <v>264</v>
      </c>
      <c r="K17" s="100">
        <v>13</v>
      </c>
      <c r="L17" s="100">
        <v>6100</v>
      </c>
      <c r="M17" s="100">
        <v>6200</v>
      </c>
      <c r="N17" s="100">
        <v>6400</v>
      </c>
      <c r="O17" s="100">
        <v>6600</v>
      </c>
      <c r="P17" s="100">
        <v>6800</v>
      </c>
      <c r="Q17" s="100">
        <v>7000</v>
      </c>
      <c r="T17" s="103">
        <v>40</v>
      </c>
      <c r="U17" s="103">
        <f t="shared" si="2"/>
        <v>400</v>
      </c>
      <c r="V17" s="103">
        <f t="shared" si="3"/>
        <v>0</v>
      </c>
      <c r="W17" s="103">
        <f t="shared" si="0"/>
        <v>0</v>
      </c>
      <c r="X17" s="103">
        <f t="shared" si="0"/>
        <v>0</v>
      </c>
      <c r="Y17" s="103">
        <f t="shared" si="0"/>
        <v>0</v>
      </c>
      <c r="Z17" s="103">
        <f t="shared" si="0"/>
        <v>0</v>
      </c>
    </row>
    <row r="18" spans="3:26" x14ac:dyDescent="0.15">
      <c r="C18" s="89" t="s">
        <v>265</v>
      </c>
      <c r="K18" s="100">
        <v>14</v>
      </c>
      <c r="L18" s="100">
        <v>7100</v>
      </c>
      <c r="M18" s="100">
        <v>7200</v>
      </c>
      <c r="N18" s="100">
        <v>7400</v>
      </c>
      <c r="O18" s="100">
        <v>7600</v>
      </c>
      <c r="P18" s="100">
        <v>7800</v>
      </c>
      <c r="Q18" s="100">
        <v>8000</v>
      </c>
      <c r="T18" s="103">
        <v>50</v>
      </c>
      <c r="U18" s="103">
        <f t="shared" si="2"/>
        <v>500</v>
      </c>
      <c r="V18" s="103">
        <f t="shared" si="3"/>
        <v>0</v>
      </c>
      <c r="W18" s="103">
        <f t="shared" si="0"/>
        <v>0</v>
      </c>
      <c r="X18" s="103">
        <f t="shared" si="0"/>
        <v>0</v>
      </c>
      <c r="Y18" s="103">
        <f t="shared" si="0"/>
        <v>0</v>
      </c>
      <c r="Z18" s="103">
        <f t="shared" si="0"/>
        <v>0</v>
      </c>
    </row>
    <row r="19" spans="3:26" x14ac:dyDescent="0.15">
      <c r="C19" s="89" t="s">
        <v>266</v>
      </c>
      <c r="K19" s="100">
        <v>15</v>
      </c>
      <c r="L19" s="100">
        <v>8100</v>
      </c>
      <c r="M19" s="100">
        <v>8200</v>
      </c>
      <c r="N19" s="100">
        <v>8400</v>
      </c>
      <c r="O19" s="100">
        <v>8600</v>
      </c>
      <c r="P19" s="100">
        <v>8800</v>
      </c>
      <c r="Q19" s="100">
        <v>9000</v>
      </c>
      <c r="T19" s="103">
        <v>60</v>
      </c>
      <c r="U19" s="103">
        <f t="shared" si="2"/>
        <v>600</v>
      </c>
      <c r="V19" s="103">
        <f t="shared" si="3"/>
        <v>0</v>
      </c>
      <c r="W19" s="103">
        <f t="shared" si="0"/>
        <v>0</v>
      </c>
      <c r="X19" s="103">
        <f t="shared" si="0"/>
        <v>0</v>
      </c>
      <c r="Y19" s="103">
        <f t="shared" si="0"/>
        <v>0</v>
      </c>
      <c r="Z19" s="103">
        <f t="shared" si="0"/>
        <v>0</v>
      </c>
    </row>
    <row r="20" spans="3:26" x14ac:dyDescent="0.15">
      <c r="C20" s="89"/>
      <c r="K20" s="100">
        <v>16</v>
      </c>
      <c r="L20" s="100">
        <v>9100</v>
      </c>
      <c r="M20" s="100">
        <v>9200</v>
      </c>
      <c r="N20" s="100">
        <v>9400</v>
      </c>
      <c r="O20" s="100">
        <v>9600</v>
      </c>
      <c r="P20" s="100">
        <v>9800</v>
      </c>
      <c r="Q20" s="100">
        <v>10000</v>
      </c>
      <c r="T20" s="103">
        <v>70</v>
      </c>
      <c r="U20" s="103">
        <f t="shared" si="2"/>
        <v>600</v>
      </c>
      <c r="V20" s="103">
        <f t="shared" si="3"/>
        <v>0</v>
      </c>
      <c r="W20" s="103">
        <f t="shared" si="0"/>
        <v>0</v>
      </c>
      <c r="X20" s="103">
        <f t="shared" si="0"/>
        <v>0</v>
      </c>
      <c r="Y20" s="103">
        <f t="shared" si="0"/>
        <v>0</v>
      </c>
      <c r="Z20" s="103">
        <f t="shared" si="0"/>
        <v>0</v>
      </c>
    </row>
    <row r="21" spans="3:26" x14ac:dyDescent="0.15">
      <c r="C21" s="89"/>
      <c r="T21" s="103">
        <v>80</v>
      </c>
      <c r="U21" s="103">
        <f t="shared" si="2"/>
        <v>700</v>
      </c>
      <c r="V21" s="103">
        <f t="shared" si="3"/>
        <v>0</v>
      </c>
      <c r="W21" s="103">
        <f t="shared" si="3"/>
        <v>0</v>
      </c>
      <c r="X21" s="103">
        <f t="shared" si="3"/>
        <v>0</v>
      </c>
      <c r="Y21" s="103">
        <f t="shared" si="3"/>
        <v>0</v>
      </c>
      <c r="Z21" s="103">
        <f t="shared" si="3"/>
        <v>0</v>
      </c>
    </row>
    <row r="22" spans="3:26" x14ac:dyDescent="0.15">
      <c r="C22" s="6" t="s">
        <v>185</v>
      </c>
      <c r="D22" s="102" t="s">
        <v>8</v>
      </c>
      <c r="E22" s="102" t="s">
        <v>9</v>
      </c>
      <c r="F22" s="102" t="s">
        <v>10</v>
      </c>
      <c r="G22" s="102" t="s">
        <v>11</v>
      </c>
      <c r="H22" s="102" t="s">
        <v>12</v>
      </c>
      <c r="L22" s="127" t="s">
        <v>279</v>
      </c>
      <c r="M22" s="127"/>
      <c r="N22" s="127"/>
      <c r="O22" s="127"/>
      <c r="P22" s="127"/>
      <c r="Q22" s="127"/>
      <c r="T22" s="103">
        <v>90</v>
      </c>
      <c r="U22" s="103">
        <f t="shared" si="2"/>
        <v>800</v>
      </c>
      <c r="V22" s="103">
        <f t="shared" si="3"/>
        <v>0</v>
      </c>
      <c r="W22" s="103">
        <f t="shared" si="3"/>
        <v>0</v>
      </c>
      <c r="X22" s="103">
        <f t="shared" si="3"/>
        <v>0</v>
      </c>
      <c r="Y22" s="103">
        <f t="shared" si="3"/>
        <v>0</v>
      </c>
      <c r="Z22" s="103">
        <f t="shared" si="3"/>
        <v>0</v>
      </c>
    </row>
    <row r="23" spans="3:26" x14ac:dyDescent="0.15">
      <c r="C23" s="6" t="s">
        <v>188</v>
      </c>
      <c r="D23" s="102">
        <f>寻访!D27</f>
        <v>0</v>
      </c>
      <c r="E23" s="102">
        <v>3</v>
      </c>
      <c r="F23" s="102">
        <v>3</v>
      </c>
      <c r="G23" s="102">
        <v>4</v>
      </c>
      <c r="H23" s="102">
        <v>5</v>
      </c>
      <c r="L23" s="100" t="s">
        <v>280</v>
      </c>
      <c r="M23" s="116" t="s">
        <v>280</v>
      </c>
      <c r="N23" s="116" t="s">
        <v>280</v>
      </c>
      <c r="O23" s="116" t="s">
        <v>280</v>
      </c>
      <c r="P23" s="116" t="s">
        <v>280</v>
      </c>
      <c r="Q23" s="116" t="s">
        <v>280</v>
      </c>
      <c r="T23" s="103">
        <v>100</v>
      </c>
      <c r="U23" s="103">
        <f t="shared" si="2"/>
        <v>800</v>
      </c>
      <c r="V23" s="103">
        <f t="shared" si="3"/>
        <v>0</v>
      </c>
      <c r="W23" s="103">
        <f t="shared" si="3"/>
        <v>0</v>
      </c>
      <c r="X23" s="103">
        <f t="shared" si="3"/>
        <v>0</v>
      </c>
      <c r="Y23" s="103">
        <f t="shared" si="3"/>
        <v>0</v>
      </c>
      <c r="Z23" s="103">
        <f t="shared" si="3"/>
        <v>0</v>
      </c>
    </row>
    <row r="24" spans="3:26" x14ac:dyDescent="0.15">
      <c r="C24" s="6" t="s">
        <v>306</v>
      </c>
      <c r="D24" s="102">
        <v>15</v>
      </c>
      <c r="E24" s="102">
        <v>15</v>
      </c>
      <c r="F24" s="102">
        <v>25</v>
      </c>
      <c r="G24" s="102">
        <v>30</v>
      </c>
      <c r="H24" s="102">
        <v>40</v>
      </c>
      <c r="K24" s="100" t="s">
        <v>281</v>
      </c>
      <c r="L24" s="100" t="s">
        <v>273</v>
      </c>
      <c r="M24" s="100" t="s">
        <v>274</v>
      </c>
      <c r="N24" s="100" t="s">
        <v>275</v>
      </c>
      <c r="O24" s="100" t="s">
        <v>276</v>
      </c>
      <c r="P24" s="100" t="s">
        <v>277</v>
      </c>
      <c r="Q24" s="100" t="s">
        <v>278</v>
      </c>
      <c r="T24" s="100">
        <v>200</v>
      </c>
      <c r="U24" s="103">
        <f t="shared" si="2"/>
        <v>1400</v>
      </c>
      <c r="V24" s="103">
        <f t="shared" si="3"/>
        <v>0</v>
      </c>
      <c r="W24" s="103">
        <f t="shared" si="3"/>
        <v>0</v>
      </c>
      <c r="X24" s="103">
        <f t="shared" si="3"/>
        <v>0</v>
      </c>
      <c r="Y24" s="103">
        <f t="shared" si="3"/>
        <v>0</v>
      </c>
      <c r="Z24" s="103">
        <f t="shared" si="3"/>
        <v>0</v>
      </c>
    </row>
    <row r="25" spans="3:26" x14ac:dyDescent="0.15">
      <c r="C25" s="6"/>
      <c r="D25" s="102"/>
      <c r="E25" s="102"/>
      <c r="F25" s="102"/>
      <c r="G25" s="102"/>
      <c r="H25" s="102"/>
      <c r="K25" s="100">
        <v>1</v>
      </c>
      <c r="L25" s="100">
        <v>100</v>
      </c>
      <c r="M25" s="116">
        <v>100</v>
      </c>
      <c r="N25" s="116">
        <v>100</v>
      </c>
      <c r="O25" s="116">
        <v>100</v>
      </c>
      <c r="P25" s="116">
        <v>100</v>
      </c>
      <c r="Q25" s="116">
        <v>100</v>
      </c>
      <c r="T25" s="100">
        <v>300</v>
      </c>
      <c r="U25" s="103">
        <f t="shared" si="2"/>
        <v>2400</v>
      </c>
      <c r="V25" s="103">
        <f t="shared" si="3"/>
        <v>0</v>
      </c>
      <c r="W25" s="103">
        <f t="shared" si="3"/>
        <v>0</v>
      </c>
      <c r="X25" s="103">
        <f t="shared" si="3"/>
        <v>0</v>
      </c>
      <c r="Y25" s="103">
        <f t="shared" si="3"/>
        <v>0</v>
      </c>
      <c r="Z25" s="103">
        <f t="shared" si="3"/>
        <v>0</v>
      </c>
    </row>
    <row r="26" spans="3:26" x14ac:dyDescent="0.15">
      <c r="C26" s="6" t="s">
        <v>268</v>
      </c>
      <c r="D26" s="102">
        <f>D24*D23</f>
        <v>0</v>
      </c>
      <c r="E26" s="114">
        <f t="shared" ref="E26:H26" si="5">E24*E23</f>
        <v>45</v>
      </c>
      <c r="F26" s="114">
        <f>F24*F23</f>
        <v>75</v>
      </c>
      <c r="G26" s="114">
        <f t="shared" si="5"/>
        <v>120</v>
      </c>
      <c r="H26" s="114">
        <f t="shared" si="5"/>
        <v>200</v>
      </c>
      <c r="K26" s="100">
        <v>2</v>
      </c>
      <c r="L26" s="116">
        <v>100</v>
      </c>
      <c r="M26" s="116">
        <v>100</v>
      </c>
      <c r="N26" s="116">
        <v>100</v>
      </c>
      <c r="O26" s="116">
        <v>100</v>
      </c>
      <c r="P26" s="116">
        <v>100</v>
      </c>
      <c r="Q26" s="116">
        <v>100</v>
      </c>
      <c r="T26" s="103">
        <v>400</v>
      </c>
      <c r="U26" s="103">
        <f t="shared" si="2"/>
        <v>2800</v>
      </c>
      <c r="V26" s="103">
        <f t="shared" si="3"/>
        <v>0</v>
      </c>
      <c r="W26" s="103">
        <f t="shared" si="3"/>
        <v>0</v>
      </c>
      <c r="X26" s="103">
        <f t="shared" si="3"/>
        <v>0</v>
      </c>
      <c r="Y26" s="103">
        <f t="shared" si="3"/>
        <v>0</v>
      </c>
      <c r="Z26" s="103">
        <f t="shared" si="3"/>
        <v>0</v>
      </c>
    </row>
    <row r="27" spans="3:26" x14ac:dyDescent="0.15">
      <c r="C27" s="6" t="s">
        <v>269</v>
      </c>
      <c r="D27" s="107">
        <f>D26/D9</f>
        <v>0</v>
      </c>
      <c r="E27" s="107">
        <f t="shared" ref="E27:H27" si="6">E26/E9</f>
        <v>1</v>
      </c>
      <c r="F27" s="107">
        <f t="shared" si="6"/>
        <v>1.1111111111111112</v>
      </c>
      <c r="G27" s="107">
        <f t="shared" si="6"/>
        <v>1.3333333333333333</v>
      </c>
      <c r="H27" s="107">
        <f t="shared" si="6"/>
        <v>1.7777777777777777</v>
      </c>
      <c r="K27" s="100">
        <v>3</v>
      </c>
      <c r="L27" s="100">
        <v>200</v>
      </c>
      <c r="M27" s="116">
        <v>200</v>
      </c>
      <c r="N27" s="116">
        <v>200</v>
      </c>
      <c r="O27" s="116">
        <v>200</v>
      </c>
      <c r="P27" s="116">
        <v>200</v>
      </c>
      <c r="Q27" s="116">
        <v>200</v>
      </c>
      <c r="T27" s="103">
        <v>500</v>
      </c>
      <c r="U27" s="103">
        <f t="shared" si="2"/>
        <v>3200</v>
      </c>
      <c r="V27" s="103">
        <f t="shared" si="3"/>
        <v>0</v>
      </c>
      <c r="W27" s="103">
        <f t="shared" si="3"/>
        <v>0</v>
      </c>
      <c r="X27" s="103">
        <f t="shared" si="3"/>
        <v>0</v>
      </c>
      <c r="Y27" s="103">
        <f t="shared" si="3"/>
        <v>0</v>
      </c>
      <c r="Z27" s="103">
        <f t="shared" si="3"/>
        <v>0</v>
      </c>
    </row>
    <row r="28" spans="3:26" x14ac:dyDescent="0.15">
      <c r="C28" s="6"/>
      <c r="D28" s="102"/>
      <c r="E28" s="102"/>
      <c r="F28" s="102"/>
      <c r="G28" s="102"/>
      <c r="H28" s="102"/>
      <c r="K28" s="100">
        <v>4</v>
      </c>
      <c r="L28" s="116">
        <v>200</v>
      </c>
      <c r="M28" s="116">
        <v>200</v>
      </c>
      <c r="N28" s="116">
        <v>200</v>
      </c>
      <c r="O28" s="116">
        <v>200</v>
      </c>
      <c r="P28" s="116">
        <v>200</v>
      </c>
      <c r="Q28" s="116">
        <v>200</v>
      </c>
      <c r="T28" s="103">
        <v>600</v>
      </c>
      <c r="U28" s="103">
        <f t="shared" si="2"/>
        <v>3600</v>
      </c>
      <c r="V28" s="103">
        <f t="shared" si="3"/>
        <v>0</v>
      </c>
      <c r="W28" s="103">
        <f t="shared" si="3"/>
        <v>0</v>
      </c>
      <c r="X28" s="103">
        <f t="shared" si="3"/>
        <v>0</v>
      </c>
      <c r="Y28" s="103">
        <f t="shared" si="3"/>
        <v>0</v>
      </c>
      <c r="Z28" s="103">
        <f t="shared" si="3"/>
        <v>0</v>
      </c>
    </row>
    <row r="29" spans="3:26" x14ac:dyDescent="0.15">
      <c r="C29" s="89"/>
      <c r="K29" s="100">
        <v>5</v>
      </c>
      <c r="L29" s="116">
        <v>200</v>
      </c>
      <c r="M29" s="116">
        <v>200</v>
      </c>
      <c r="N29" s="116">
        <v>200</v>
      </c>
      <c r="O29" s="116">
        <v>200</v>
      </c>
      <c r="P29" s="116">
        <v>200</v>
      </c>
      <c r="Q29" s="116">
        <v>200</v>
      </c>
      <c r="T29" s="103">
        <v>700</v>
      </c>
      <c r="U29" s="103">
        <f t="shared" si="2"/>
        <v>3600</v>
      </c>
      <c r="V29" s="103">
        <f t="shared" si="3"/>
        <v>0</v>
      </c>
      <c r="W29" s="103">
        <f t="shared" si="3"/>
        <v>0</v>
      </c>
      <c r="X29" s="103">
        <f t="shared" si="3"/>
        <v>0</v>
      </c>
      <c r="Y29" s="103">
        <f t="shared" si="3"/>
        <v>0</v>
      </c>
      <c r="Z29" s="103">
        <f t="shared" si="3"/>
        <v>0</v>
      </c>
    </row>
    <row r="30" spans="3:26" x14ac:dyDescent="0.15">
      <c r="C30" s="89"/>
      <c r="K30" s="100">
        <v>6</v>
      </c>
      <c r="L30" s="116">
        <v>200</v>
      </c>
      <c r="M30" s="116">
        <v>200</v>
      </c>
      <c r="N30" s="116">
        <v>200</v>
      </c>
      <c r="O30" s="116">
        <v>200</v>
      </c>
      <c r="P30" s="116">
        <v>200</v>
      </c>
      <c r="Q30" s="116">
        <v>200</v>
      </c>
      <c r="T30" s="103">
        <v>800</v>
      </c>
      <c r="U30" s="103">
        <f t="shared" si="2"/>
        <v>3800</v>
      </c>
      <c r="V30" s="103">
        <f t="shared" si="3"/>
        <v>0</v>
      </c>
      <c r="W30" s="103">
        <f t="shared" si="3"/>
        <v>0</v>
      </c>
      <c r="X30" s="103">
        <f t="shared" si="3"/>
        <v>0</v>
      </c>
      <c r="Y30" s="103">
        <f t="shared" si="3"/>
        <v>0</v>
      </c>
      <c r="Z30" s="103">
        <f t="shared" si="3"/>
        <v>0</v>
      </c>
    </row>
    <row r="31" spans="3:26" x14ac:dyDescent="0.15">
      <c r="C31" s="89"/>
      <c r="K31" s="100">
        <v>7</v>
      </c>
      <c r="L31" s="100">
        <v>300</v>
      </c>
      <c r="M31" s="116">
        <v>300</v>
      </c>
      <c r="N31" s="116">
        <v>300</v>
      </c>
      <c r="O31" s="116">
        <v>300</v>
      </c>
      <c r="P31" s="116">
        <v>300</v>
      </c>
      <c r="Q31" s="116">
        <v>300</v>
      </c>
      <c r="T31" s="103">
        <v>900</v>
      </c>
      <c r="U31" s="103">
        <f t="shared" si="2"/>
        <v>4000</v>
      </c>
      <c r="V31" s="103">
        <f t="shared" si="3"/>
        <v>0</v>
      </c>
      <c r="W31" s="103">
        <f t="shared" si="3"/>
        <v>0</v>
      </c>
      <c r="X31" s="103">
        <f t="shared" si="3"/>
        <v>0</v>
      </c>
      <c r="Y31" s="103">
        <f t="shared" si="3"/>
        <v>0</v>
      </c>
      <c r="Z31" s="103">
        <f t="shared" si="3"/>
        <v>0</v>
      </c>
    </row>
    <row r="32" spans="3:26" x14ac:dyDescent="0.15">
      <c r="K32" s="100">
        <v>8</v>
      </c>
      <c r="L32" s="116">
        <v>300</v>
      </c>
      <c r="M32" s="116">
        <v>300</v>
      </c>
      <c r="N32" s="116">
        <v>300</v>
      </c>
      <c r="O32" s="116">
        <v>300</v>
      </c>
      <c r="P32" s="116">
        <v>300</v>
      </c>
      <c r="Q32" s="116">
        <v>300</v>
      </c>
      <c r="T32" s="103">
        <v>1000</v>
      </c>
      <c r="U32" s="103">
        <f t="shared" si="2"/>
        <v>4000</v>
      </c>
      <c r="V32" s="103">
        <f t="shared" si="3"/>
        <v>0</v>
      </c>
      <c r="W32" s="103">
        <f t="shared" si="3"/>
        <v>0</v>
      </c>
      <c r="X32" s="103">
        <f t="shared" si="3"/>
        <v>0</v>
      </c>
      <c r="Y32" s="103">
        <f t="shared" si="3"/>
        <v>0</v>
      </c>
      <c r="Z32" s="103">
        <f t="shared" si="3"/>
        <v>0</v>
      </c>
    </row>
    <row r="33" spans="11:26" x14ac:dyDescent="0.15">
      <c r="K33" s="100">
        <v>9</v>
      </c>
      <c r="L33" s="116">
        <v>300</v>
      </c>
      <c r="M33" s="116">
        <v>300</v>
      </c>
      <c r="N33" s="116">
        <v>300</v>
      </c>
      <c r="O33" s="116">
        <v>300</v>
      </c>
      <c r="P33" s="116">
        <v>300</v>
      </c>
      <c r="Q33" s="116">
        <v>300</v>
      </c>
      <c r="T33" s="103">
        <v>1100</v>
      </c>
      <c r="U33" s="103">
        <f t="shared" si="2"/>
        <v>4200</v>
      </c>
      <c r="V33" s="103">
        <f t="shared" si="3"/>
        <v>0</v>
      </c>
      <c r="W33" s="103">
        <f t="shared" si="3"/>
        <v>0</v>
      </c>
      <c r="X33" s="103">
        <f t="shared" si="3"/>
        <v>0</v>
      </c>
      <c r="Y33" s="103">
        <f t="shared" si="3"/>
        <v>0</v>
      </c>
      <c r="Z33" s="103">
        <f t="shared" si="3"/>
        <v>0</v>
      </c>
    </row>
    <row r="34" spans="11:26" x14ac:dyDescent="0.15">
      <c r="K34" s="100">
        <v>10</v>
      </c>
      <c r="L34" s="116">
        <v>300</v>
      </c>
      <c r="M34" s="116">
        <v>300</v>
      </c>
      <c r="N34" s="116">
        <v>300</v>
      </c>
      <c r="O34" s="116">
        <v>300</v>
      </c>
      <c r="P34" s="116">
        <v>300</v>
      </c>
      <c r="Q34" s="116">
        <v>300</v>
      </c>
      <c r="T34" s="103">
        <v>1200</v>
      </c>
      <c r="U34" s="103">
        <f t="shared" si="2"/>
        <v>4200</v>
      </c>
      <c r="V34" s="103">
        <f t="shared" si="3"/>
        <v>0</v>
      </c>
      <c r="W34" s="103">
        <f t="shared" si="3"/>
        <v>0</v>
      </c>
      <c r="X34" s="103">
        <f t="shared" si="3"/>
        <v>0</v>
      </c>
      <c r="Y34" s="103">
        <f t="shared" si="3"/>
        <v>0</v>
      </c>
      <c r="Z34" s="103">
        <f t="shared" si="3"/>
        <v>0</v>
      </c>
    </row>
    <row r="35" spans="11:26" x14ac:dyDescent="0.15">
      <c r="K35" s="100">
        <v>11</v>
      </c>
      <c r="L35" s="116">
        <v>300</v>
      </c>
      <c r="M35" s="116">
        <v>300</v>
      </c>
      <c r="N35" s="116">
        <v>300</v>
      </c>
      <c r="O35" s="116">
        <v>300</v>
      </c>
      <c r="P35" s="116">
        <v>300</v>
      </c>
      <c r="Q35" s="116">
        <v>300</v>
      </c>
      <c r="T35" s="103">
        <v>1300</v>
      </c>
      <c r="U35" s="103">
        <f t="shared" si="2"/>
        <v>4200</v>
      </c>
      <c r="V35" s="103">
        <f t="shared" si="3"/>
        <v>0</v>
      </c>
      <c r="W35" s="103">
        <f t="shared" si="3"/>
        <v>0</v>
      </c>
      <c r="X35" s="103">
        <f t="shared" si="3"/>
        <v>0</v>
      </c>
      <c r="Y35" s="103">
        <f t="shared" si="3"/>
        <v>0</v>
      </c>
      <c r="Z35" s="103">
        <f t="shared" si="3"/>
        <v>0</v>
      </c>
    </row>
    <row r="36" spans="11:26" x14ac:dyDescent="0.15">
      <c r="K36" s="100">
        <v>12</v>
      </c>
      <c r="L36" s="116">
        <v>300</v>
      </c>
      <c r="M36" s="116">
        <v>300</v>
      </c>
      <c r="N36" s="116">
        <v>300</v>
      </c>
      <c r="O36" s="116">
        <v>300</v>
      </c>
      <c r="P36" s="116">
        <v>300</v>
      </c>
      <c r="Q36" s="116">
        <v>300</v>
      </c>
      <c r="T36" s="103">
        <v>1400</v>
      </c>
      <c r="U36" s="103">
        <f t="shared" si="2"/>
        <v>4400</v>
      </c>
      <c r="V36" s="103">
        <f t="shared" si="3"/>
        <v>0</v>
      </c>
      <c r="W36" s="103">
        <f t="shared" si="3"/>
        <v>0</v>
      </c>
      <c r="X36" s="103">
        <f t="shared" si="3"/>
        <v>0</v>
      </c>
      <c r="Y36" s="103">
        <f t="shared" si="3"/>
        <v>0</v>
      </c>
      <c r="Z36" s="103">
        <f t="shared" si="3"/>
        <v>0</v>
      </c>
    </row>
    <row r="37" spans="11:26" x14ac:dyDescent="0.15">
      <c r="K37" s="100">
        <v>13</v>
      </c>
      <c r="L37" s="100">
        <v>400</v>
      </c>
      <c r="M37" s="116">
        <v>400</v>
      </c>
      <c r="N37" s="116">
        <v>400</v>
      </c>
      <c r="O37" s="116">
        <v>400</v>
      </c>
      <c r="P37" s="116">
        <v>400</v>
      </c>
      <c r="Q37" s="116">
        <v>400</v>
      </c>
      <c r="T37" s="103">
        <v>1500</v>
      </c>
      <c r="U37" s="103">
        <f t="shared" si="2"/>
        <v>4400</v>
      </c>
      <c r="V37" s="103">
        <f t="shared" si="3"/>
        <v>0</v>
      </c>
      <c r="W37" s="103">
        <f t="shared" si="3"/>
        <v>0</v>
      </c>
      <c r="X37" s="103">
        <f t="shared" si="3"/>
        <v>0</v>
      </c>
      <c r="Y37" s="103">
        <f t="shared" si="3"/>
        <v>0</v>
      </c>
      <c r="Z37" s="103">
        <f t="shared" si="3"/>
        <v>0</v>
      </c>
    </row>
    <row r="38" spans="11:26" x14ac:dyDescent="0.15">
      <c r="K38" s="100">
        <v>14</v>
      </c>
      <c r="L38" s="116">
        <v>400</v>
      </c>
      <c r="M38" s="116">
        <v>400</v>
      </c>
      <c r="N38" s="116">
        <v>400</v>
      </c>
      <c r="O38" s="116">
        <v>400</v>
      </c>
      <c r="P38" s="116">
        <v>400</v>
      </c>
      <c r="Q38" s="116">
        <v>400</v>
      </c>
      <c r="T38" s="103">
        <v>1600</v>
      </c>
      <c r="U38" s="103">
        <f t="shared" si="2"/>
        <v>4600</v>
      </c>
      <c r="V38" s="103">
        <f t="shared" ref="V38:Z69" si="7">COUNTIFS($L$5:$Q$20,"&lt;="&amp;$T38/6,$L$25:$Q$40,V$4)</f>
        <v>0</v>
      </c>
      <c r="W38" s="103">
        <f t="shared" si="7"/>
        <v>0</v>
      </c>
      <c r="X38" s="103">
        <f t="shared" si="7"/>
        <v>0</v>
      </c>
      <c r="Y38" s="103">
        <f t="shared" si="7"/>
        <v>0</v>
      </c>
      <c r="Z38" s="103">
        <f t="shared" si="7"/>
        <v>0</v>
      </c>
    </row>
    <row r="39" spans="11:26" x14ac:dyDescent="0.15">
      <c r="K39" s="100">
        <v>15</v>
      </c>
      <c r="L39" s="116">
        <v>400</v>
      </c>
      <c r="M39" s="116">
        <v>400</v>
      </c>
      <c r="N39" s="116">
        <v>400</v>
      </c>
      <c r="O39" s="116">
        <v>400</v>
      </c>
      <c r="P39" s="116">
        <v>400</v>
      </c>
      <c r="Q39" s="116">
        <v>400</v>
      </c>
      <c r="T39" s="103">
        <v>1700</v>
      </c>
      <c r="U39" s="103">
        <f t="shared" si="2"/>
        <v>4600</v>
      </c>
      <c r="V39" s="103">
        <f t="shared" si="7"/>
        <v>0</v>
      </c>
      <c r="W39" s="103">
        <f t="shared" si="7"/>
        <v>0</v>
      </c>
      <c r="X39" s="103">
        <f t="shared" si="7"/>
        <v>0</v>
      </c>
      <c r="Y39" s="103">
        <f t="shared" si="7"/>
        <v>0</v>
      </c>
      <c r="Z39" s="103">
        <f t="shared" si="7"/>
        <v>0</v>
      </c>
    </row>
    <row r="40" spans="11:26" x14ac:dyDescent="0.15">
      <c r="K40" s="100">
        <v>16</v>
      </c>
      <c r="L40" s="116">
        <v>400</v>
      </c>
      <c r="M40" s="116">
        <v>400</v>
      </c>
      <c r="N40" s="116">
        <v>400</v>
      </c>
      <c r="O40" s="116">
        <v>400</v>
      </c>
      <c r="P40" s="116">
        <v>400</v>
      </c>
      <c r="Q40" s="116">
        <v>400</v>
      </c>
      <c r="T40" s="103">
        <v>1800</v>
      </c>
      <c r="U40" s="103">
        <f t="shared" si="2"/>
        <v>4800</v>
      </c>
      <c r="V40" s="103">
        <f t="shared" si="7"/>
        <v>0</v>
      </c>
      <c r="W40" s="103">
        <f t="shared" si="7"/>
        <v>0</v>
      </c>
      <c r="X40" s="103">
        <f t="shared" si="7"/>
        <v>0</v>
      </c>
      <c r="Y40" s="103">
        <f t="shared" si="7"/>
        <v>0</v>
      </c>
      <c r="Z40" s="103">
        <f t="shared" si="7"/>
        <v>0</v>
      </c>
    </row>
    <row r="41" spans="11:26" x14ac:dyDescent="0.15">
      <c r="T41" s="103">
        <v>1900</v>
      </c>
      <c r="U41" s="103">
        <f t="shared" si="2"/>
        <v>4800</v>
      </c>
      <c r="V41" s="103">
        <f t="shared" si="7"/>
        <v>0</v>
      </c>
      <c r="W41" s="103">
        <f t="shared" si="7"/>
        <v>0</v>
      </c>
      <c r="X41" s="103">
        <f t="shared" si="7"/>
        <v>0</v>
      </c>
      <c r="Y41" s="103">
        <f t="shared" si="7"/>
        <v>0</v>
      </c>
      <c r="Z41" s="103">
        <f t="shared" si="7"/>
        <v>0</v>
      </c>
    </row>
    <row r="42" spans="11:26" x14ac:dyDescent="0.15">
      <c r="T42" s="103">
        <v>2000</v>
      </c>
      <c r="U42" s="103">
        <f t="shared" si="2"/>
        <v>5000</v>
      </c>
      <c r="V42" s="103">
        <f t="shared" si="7"/>
        <v>0</v>
      </c>
      <c r="W42" s="103">
        <f t="shared" si="7"/>
        <v>0</v>
      </c>
      <c r="X42" s="103">
        <f t="shared" si="7"/>
        <v>0</v>
      </c>
      <c r="Y42" s="103">
        <f t="shared" si="7"/>
        <v>0</v>
      </c>
      <c r="Z42" s="103">
        <f t="shared" si="7"/>
        <v>0</v>
      </c>
    </row>
    <row r="43" spans="11:26" x14ac:dyDescent="0.15">
      <c r="T43" s="103">
        <v>3000</v>
      </c>
      <c r="U43" s="103">
        <f t="shared" si="2"/>
        <v>6000</v>
      </c>
      <c r="V43" s="103">
        <f t="shared" si="7"/>
        <v>0</v>
      </c>
      <c r="W43" s="103">
        <f t="shared" si="7"/>
        <v>0</v>
      </c>
      <c r="X43" s="103">
        <f t="shared" si="7"/>
        <v>0</v>
      </c>
      <c r="Y43" s="103">
        <f t="shared" si="7"/>
        <v>0</v>
      </c>
      <c r="Z43" s="103">
        <f t="shared" si="7"/>
        <v>0</v>
      </c>
    </row>
    <row r="44" spans="11:26" x14ac:dyDescent="0.15">
      <c r="T44" s="103">
        <v>4000</v>
      </c>
      <c r="U44" s="103">
        <f t="shared" si="2"/>
        <v>6600</v>
      </c>
      <c r="V44" s="103">
        <f t="shared" si="7"/>
        <v>0</v>
      </c>
      <c r="W44" s="103">
        <f t="shared" si="7"/>
        <v>0</v>
      </c>
      <c r="X44" s="103">
        <f t="shared" si="7"/>
        <v>0</v>
      </c>
      <c r="Y44" s="103">
        <f t="shared" si="7"/>
        <v>0</v>
      </c>
      <c r="Z44" s="103">
        <f t="shared" si="7"/>
        <v>0</v>
      </c>
    </row>
    <row r="45" spans="11:26" x14ac:dyDescent="0.15">
      <c r="T45" s="103">
        <v>5000</v>
      </c>
      <c r="U45" s="103">
        <f t="shared" si="2"/>
        <v>7200</v>
      </c>
      <c r="V45" s="103">
        <f t="shared" si="7"/>
        <v>0</v>
      </c>
      <c r="W45" s="103">
        <f t="shared" si="7"/>
        <v>0</v>
      </c>
      <c r="X45" s="103">
        <f t="shared" si="7"/>
        <v>0</v>
      </c>
      <c r="Y45" s="103">
        <f t="shared" si="7"/>
        <v>0</v>
      </c>
      <c r="Z45" s="103">
        <f t="shared" si="7"/>
        <v>0</v>
      </c>
    </row>
    <row r="46" spans="11:26" x14ac:dyDescent="0.15">
      <c r="T46" s="103">
        <v>6000</v>
      </c>
      <c r="U46" s="103">
        <f t="shared" si="2"/>
        <v>7800</v>
      </c>
      <c r="V46" s="103">
        <f t="shared" si="7"/>
        <v>0</v>
      </c>
      <c r="W46" s="103">
        <f t="shared" si="7"/>
        <v>0</v>
      </c>
      <c r="X46" s="103">
        <f t="shared" si="7"/>
        <v>0</v>
      </c>
      <c r="Y46" s="103">
        <f t="shared" si="7"/>
        <v>0</v>
      </c>
      <c r="Z46" s="103">
        <f t="shared" si="7"/>
        <v>0</v>
      </c>
    </row>
    <row r="47" spans="11:26" x14ac:dyDescent="0.15">
      <c r="T47" s="103">
        <v>7000</v>
      </c>
      <c r="U47" s="103">
        <f t="shared" si="2"/>
        <v>8100</v>
      </c>
      <c r="V47" s="103">
        <f t="shared" si="7"/>
        <v>0</v>
      </c>
      <c r="W47" s="103">
        <f t="shared" si="7"/>
        <v>0</v>
      </c>
      <c r="X47" s="103">
        <f t="shared" si="7"/>
        <v>0</v>
      </c>
      <c r="Y47" s="103">
        <f t="shared" si="7"/>
        <v>0</v>
      </c>
      <c r="Z47" s="103">
        <f t="shared" si="7"/>
        <v>0</v>
      </c>
    </row>
    <row r="48" spans="11:26" x14ac:dyDescent="0.15">
      <c r="T48" s="103">
        <v>8000</v>
      </c>
      <c r="U48" s="103">
        <f t="shared" si="2"/>
        <v>8400</v>
      </c>
      <c r="V48" s="103">
        <f t="shared" si="7"/>
        <v>0</v>
      </c>
      <c r="W48" s="103">
        <f t="shared" si="7"/>
        <v>0</v>
      </c>
      <c r="X48" s="103">
        <f t="shared" si="7"/>
        <v>0</v>
      </c>
      <c r="Y48" s="103">
        <f t="shared" si="7"/>
        <v>0</v>
      </c>
      <c r="Z48" s="103">
        <f t="shared" si="7"/>
        <v>0</v>
      </c>
    </row>
    <row r="49" spans="20:26" x14ac:dyDescent="0.15">
      <c r="T49" s="103">
        <v>9000</v>
      </c>
      <c r="U49" s="103">
        <f t="shared" si="2"/>
        <v>8700</v>
      </c>
      <c r="V49" s="103">
        <f t="shared" si="7"/>
        <v>0</v>
      </c>
      <c r="W49" s="103">
        <f t="shared" si="7"/>
        <v>0</v>
      </c>
      <c r="X49" s="103">
        <f t="shared" si="7"/>
        <v>0</v>
      </c>
      <c r="Y49" s="103">
        <f t="shared" si="7"/>
        <v>0</v>
      </c>
      <c r="Z49" s="103">
        <f t="shared" si="7"/>
        <v>0</v>
      </c>
    </row>
    <row r="50" spans="20:26" x14ac:dyDescent="0.15">
      <c r="T50" s="103">
        <v>10000</v>
      </c>
      <c r="U50" s="103">
        <f t="shared" si="2"/>
        <v>9000</v>
      </c>
      <c r="V50" s="103">
        <f t="shared" si="7"/>
        <v>0</v>
      </c>
      <c r="W50" s="103">
        <f t="shared" si="7"/>
        <v>0</v>
      </c>
      <c r="X50" s="103">
        <f t="shared" si="7"/>
        <v>0</v>
      </c>
      <c r="Y50" s="103">
        <f t="shared" si="7"/>
        <v>0</v>
      </c>
      <c r="Z50" s="103">
        <f t="shared" si="7"/>
        <v>0</v>
      </c>
    </row>
    <row r="51" spans="20:26" x14ac:dyDescent="0.15">
      <c r="T51" s="103">
        <v>11000</v>
      </c>
      <c r="U51" s="103">
        <f t="shared" si="2"/>
        <v>9300</v>
      </c>
      <c r="V51" s="103">
        <f t="shared" si="7"/>
        <v>0</v>
      </c>
      <c r="W51" s="103">
        <f t="shared" si="7"/>
        <v>0</v>
      </c>
      <c r="X51" s="103">
        <f t="shared" si="7"/>
        <v>0</v>
      </c>
      <c r="Y51" s="103">
        <f t="shared" si="7"/>
        <v>0</v>
      </c>
      <c r="Z51" s="103">
        <f t="shared" si="7"/>
        <v>0</v>
      </c>
    </row>
    <row r="52" spans="20:26" x14ac:dyDescent="0.15">
      <c r="T52" s="103">
        <v>12000</v>
      </c>
      <c r="U52" s="103">
        <f t="shared" si="2"/>
        <v>9600</v>
      </c>
      <c r="V52" s="103">
        <f t="shared" si="7"/>
        <v>0</v>
      </c>
      <c r="W52" s="103">
        <f t="shared" si="7"/>
        <v>0</v>
      </c>
      <c r="X52" s="103">
        <f t="shared" si="7"/>
        <v>0</v>
      </c>
      <c r="Y52" s="103">
        <f t="shared" si="7"/>
        <v>0</v>
      </c>
      <c r="Z52" s="103">
        <f t="shared" si="7"/>
        <v>0</v>
      </c>
    </row>
    <row r="53" spans="20:26" x14ac:dyDescent="0.15">
      <c r="T53" s="103">
        <v>13000</v>
      </c>
      <c r="U53" s="103">
        <f t="shared" si="2"/>
        <v>9900</v>
      </c>
      <c r="V53" s="103">
        <f t="shared" si="7"/>
        <v>0</v>
      </c>
      <c r="W53" s="103">
        <f t="shared" si="7"/>
        <v>0</v>
      </c>
      <c r="X53" s="103">
        <f t="shared" si="7"/>
        <v>0</v>
      </c>
      <c r="Y53" s="103">
        <f t="shared" si="7"/>
        <v>0</v>
      </c>
      <c r="Z53" s="103">
        <f t="shared" si="7"/>
        <v>0</v>
      </c>
    </row>
    <row r="54" spans="20:26" x14ac:dyDescent="0.15">
      <c r="T54" s="103">
        <v>14000</v>
      </c>
      <c r="U54" s="103">
        <f t="shared" si="2"/>
        <v>10200</v>
      </c>
      <c r="V54" s="103">
        <f t="shared" si="7"/>
        <v>0</v>
      </c>
      <c r="W54" s="103">
        <f t="shared" si="7"/>
        <v>0</v>
      </c>
      <c r="X54" s="103">
        <f t="shared" si="7"/>
        <v>0</v>
      </c>
      <c r="Y54" s="103">
        <f t="shared" si="7"/>
        <v>0</v>
      </c>
      <c r="Z54" s="103">
        <f t="shared" si="7"/>
        <v>0</v>
      </c>
    </row>
    <row r="55" spans="20:26" x14ac:dyDescent="0.15">
      <c r="T55" s="103">
        <v>15000</v>
      </c>
      <c r="U55" s="103">
        <f t="shared" si="2"/>
        <v>10500</v>
      </c>
      <c r="V55" s="103">
        <f t="shared" si="7"/>
        <v>0</v>
      </c>
      <c r="W55" s="103">
        <f t="shared" si="7"/>
        <v>0</v>
      </c>
      <c r="X55" s="103">
        <f t="shared" si="7"/>
        <v>0</v>
      </c>
      <c r="Y55" s="103">
        <f t="shared" si="7"/>
        <v>0</v>
      </c>
      <c r="Z55" s="103">
        <f t="shared" si="7"/>
        <v>0</v>
      </c>
    </row>
    <row r="56" spans="20:26" x14ac:dyDescent="0.15">
      <c r="T56" s="103">
        <v>16000</v>
      </c>
      <c r="U56" s="103">
        <f t="shared" si="2"/>
        <v>10800</v>
      </c>
      <c r="V56" s="103">
        <f t="shared" si="7"/>
        <v>0</v>
      </c>
      <c r="W56" s="103">
        <f t="shared" si="7"/>
        <v>0</v>
      </c>
      <c r="X56" s="103">
        <f t="shared" si="7"/>
        <v>0</v>
      </c>
      <c r="Y56" s="103">
        <f t="shared" si="7"/>
        <v>0</v>
      </c>
      <c r="Z56" s="103">
        <f t="shared" si="7"/>
        <v>0</v>
      </c>
    </row>
    <row r="57" spans="20:26" x14ac:dyDescent="0.15">
      <c r="T57" s="103">
        <v>17000</v>
      </c>
      <c r="U57" s="103">
        <f t="shared" si="2"/>
        <v>11100</v>
      </c>
      <c r="V57" s="103">
        <f t="shared" si="7"/>
        <v>0</v>
      </c>
      <c r="W57" s="103">
        <f t="shared" si="7"/>
        <v>0</v>
      </c>
      <c r="X57" s="103">
        <f t="shared" si="7"/>
        <v>0</v>
      </c>
      <c r="Y57" s="103">
        <f t="shared" si="7"/>
        <v>0</v>
      </c>
      <c r="Z57" s="103">
        <f t="shared" si="7"/>
        <v>0</v>
      </c>
    </row>
    <row r="58" spans="20:26" x14ac:dyDescent="0.15">
      <c r="T58" s="103">
        <v>18000</v>
      </c>
      <c r="U58" s="103">
        <f t="shared" si="2"/>
        <v>11400</v>
      </c>
      <c r="V58" s="103">
        <f t="shared" si="7"/>
        <v>0</v>
      </c>
      <c r="W58" s="103">
        <f t="shared" si="7"/>
        <v>0</v>
      </c>
      <c r="X58" s="103">
        <f t="shared" si="7"/>
        <v>0</v>
      </c>
      <c r="Y58" s="103">
        <f t="shared" si="7"/>
        <v>0</v>
      </c>
      <c r="Z58" s="103">
        <f t="shared" si="7"/>
        <v>0</v>
      </c>
    </row>
    <row r="59" spans="20:26" x14ac:dyDescent="0.15">
      <c r="T59" s="103">
        <v>19000</v>
      </c>
      <c r="U59" s="103">
        <f t="shared" si="2"/>
        <v>11700</v>
      </c>
      <c r="V59" s="103">
        <f t="shared" si="7"/>
        <v>0</v>
      </c>
      <c r="W59" s="103">
        <f t="shared" si="7"/>
        <v>0</v>
      </c>
      <c r="X59" s="103">
        <f t="shared" si="7"/>
        <v>0</v>
      </c>
      <c r="Y59" s="103">
        <f t="shared" si="7"/>
        <v>0</v>
      </c>
      <c r="Z59" s="103">
        <f t="shared" si="7"/>
        <v>0</v>
      </c>
    </row>
    <row r="60" spans="20:26" x14ac:dyDescent="0.15">
      <c r="T60" s="103">
        <v>20000</v>
      </c>
      <c r="U60" s="103">
        <f t="shared" si="2"/>
        <v>12000</v>
      </c>
      <c r="V60" s="103">
        <f t="shared" si="7"/>
        <v>0</v>
      </c>
      <c r="W60" s="103">
        <f t="shared" si="7"/>
        <v>0</v>
      </c>
      <c r="X60" s="103">
        <f t="shared" si="7"/>
        <v>0</v>
      </c>
      <c r="Y60" s="103">
        <f t="shared" si="7"/>
        <v>0</v>
      </c>
      <c r="Z60" s="103">
        <f t="shared" si="7"/>
        <v>0</v>
      </c>
    </row>
    <row r="61" spans="20:26" x14ac:dyDescent="0.15">
      <c r="T61" s="103">
        <v>21000</v>
      </c>
      <c r="U61" s="103">
        <f t="shared" si="2"/>
        <v>12300</v>
      </c>
      <c r="V61" s="103">
        <f t="shared" si="7"/>
        <v>0</v>
      </c>
      <c r="W61" s="103">
        <f t="shared" si="7"/>
        <v>0</v>
      </c>
      <c r="X61" s="103">
        <f t="shared" si="7"/>
        <v>0</v>
      </c>
      <c r="Y61" s="103">
        <f t="shared" si="7"/>
        <v>0</v>
      </c>
      <c r="Z61" s="103">
        <f t="shared" si="7"/>
        <v>0</v>
      </c>
    </row>
    <row r="62" spans="20:26" x14ac:dyDescent="0.15">
      <c r="T62" s="103">
        <v>22000</v>
      </c>
      <c r="U62" s="103">
        <f t="shared" si="2"/>
        <v>12600</v>
      </c>
      <c r="V62" s="103">
        <f t="shared" si="7"/>
        <v>0</v>
      </c>
      <c r="W62" s="103">
        <f t="shared" si="7"/>
        <v>0</v>
      </c>
      <c r="X62" s="103">
        <f t="shared" si="7"/>
        <v>0</v>
      </c>
      <c r="Y62" s="103">
        <f t="shared" si="7"/>
        <v>0</v>
      </c>
      <c r="Z62" s="103">
        <f t="shared" si="7"/>
        <v>0</v>
      </c>
    </row>
    <row r="63" spans="20:26" x14ac:dyDescent="0.15">
      <c r="T63" s="103">
        <v>23000</v>
      </c>
      <c r="U63" s="103">
        <f t="shared" si="2"/>
        <v>12900</v>
      </c>
      <c r="V63" s="103">
        <f t="shared" si="7"/>
        <v>0</v>
      </c>
      <c r="W63" s="103">
        <f t="shared" si="7"/>
        <v>0</v>
      </c>
      <c r="X63" s="103">
        <f t="shared" si="7"/>
        <v>0</v>
      </c>
      <c r="Y63" s="103">
        <f t="shared" si="7"/>
        <v>0</v>
      </c>
      <c r="Z63" s="103">
        <f t="shared" si="7"/>
        <v>0</v>
      </c>
    </row>
    <row r="64" spans="20:26" x14ac:dyDescent="0.15">
      <c r="T64" s="103">
        <v>24000</v>
      </c>
      <c r="U64" s="103">
        <f t="shared" si="2"/>
        <v>13200</v>
      </c>
      <c r="V64" s="103">
        <f t="shared" si="7"/>
        <v>0</v>
      </c>
      <c r="W64" s="103">
        <f t="shared" si="7"/>
        <v>0</v>
      </c>
      <c r="X64" s="103">
        <f t="shared" si="7"/>
        <v>0</v>
      </c>
      <c r="Y64" s="103">
        <f t="shared" si="7"/>
        <v>0</v>
      </c>
      <c r="Z64" s="103">
        <f t="shared" si="7"/>
        <v>0</v>
      </c>
    </row>
    <row r="65" spans="20:26" x14ac:dyDescent="0.15">
      <c r="T65" s="103">
        <v>25000</v>
      </c>
      <c r="U65" s="103">
        <f t="shared" si="2"/>
        <v>13500</v>
      </c>
      <c r="V65" s="103">
        <f t="shared" si="7"/>
        <v>0</v>
      </c>
      <c r="W65" s="103">
        <f t="shared" si="7"/>
        <v>0</v>
      </c>
      <c r="X65" s="103">
        <f t="shared" si="7"/>
        <v>0</v>
      </c>
      <c r="Y65" s="103">
        <f t="shared" si="7"/>
        <v>0</v>
      </c>
      <c r="Z65" s="103">
        <f t="shared" si="7"/>
        <v>0</v>
      </c>
    </row>
    <row r="66" spans="20:26" x14ac:dyDescent="0.15">
      <c r="T66" s="103">
        <v>26000</v>
      </c>
      <c r="U66" s="103">
        <f t="shared" si="2"/>
        <v>13800</v>
      </c>
      <c r="V66" s="103">
        <f t="shared" si="7"/>
        <v>0</v>
      </c>
      <c r="W66" s="103">
        <f t="shared" si="7"/>
        <v>0</v>
      </c>
      <c r="X66" s="103">
        <f t="shared" si="7"/>
        <v>0</v>
      </c>
      <c r="Y66" s="103">
        <f t="shared" si="7"/>
        <v>0</v>
      </c>
      <c r="Z66" s="103">
        <f t="shared" si="7"/>
        <v>0</v>
      </c>
    </row>
    <row r="67" spans="20:26" x14ac:dyDescent="0.15">
      <c r="T67" s="103">
        <v>27000</v>
      </c>
      <c r="U67" s="103">
        <f t="shared" si="2"/>
        <v>14100</v>
      </c>
      <c r="V67" s="103">
        <f t="shared" si="7"/>
        <v>0</v>
      </c>
      <c r="W67" s="103">
        <f t="shared" si="7"/>
        <v>0</v>
      </c>
      <c r="X67" s="103">
        <f t="shared" si="7"/>
        <v>0</v>
      </c>
      <c r="Y67" s="103">
        <f t="shared" si="7"/>
        <v>0</v>
      </c>
      <c r="Z67" s="103">
        <f t="shared" si="7"/>
        <v>0</v>
      </c>
    </row>
    <row r="68" spans="20:26" x14ac:dyDescent="0.15">
      <c r="T68" s="103">
        <v>28000</v>
      </c>
      <c r="U68" s="103">
        <f t="shared" si="2"/>
        <v>14400</v>
      </c>
      <c r="V68" s="103">
        <f t="shared" si="7"/>
        <v>0</v>
      </c>
      <c r="W68" s="103">
        <f t="shared" si="7"/>
        <v>0</v>
      </c>
      <c r="X68" s="103">
        <f t="shared" si="7"/>
        <v>0</v>
      </c>
      <c r="Y68" s="103">
        <f t="shared" si="7"/>
        <v>0</v>
      </c>
      <c r="Z68" s="103">
        <f t="shared" si="7"/>
        <v>0</v>
      </c>
    </row>
    <row r="69" spans="20:26" x14ac:dyDescent="0.15">
      <c r="T69" s="103">
        <v>29000</v>
      </c>
      <c r="U69" s="103">
        <f t="shared" si="2"/>
        <v>14700</v>
      </c>
      <c r="V69" s="103">
        <f t="shared" si="7"/>
        <v>0</v>
      </c>
      <c r="W69" s="103">
        <f t="shared" si="7"/>
        <v>0</v>
      </c>
      <c r="X69" s="103">
        <f t="shared" si="7"/>
        <v>0</v>
      </c>
      <c r="Y69" s="103">
        <f t="shared" si="7"/>
        <v>0</v>
      </c>
      <c r="Z69" s="103">
        <f t="shared" si="7"/>
        <v>0</v>
      </c>
    </row>
    <row r="70" spans="20:26" x14ac:dyDescent="0.15">
      <c r="T70" s="103">
        <v>30000</v>
      </c>
      <c r="U70" s="103">
        <f t="shared" ref="U70:U113" si="8">SUMIF($L$5:$Q$20,"&lt;="&amp;$T70/6,$L$25:$Q$40)</f>
        <v>15000</v>
      </c>
      <c r="V70" s="103">
        <f t="shared" ref="V70:Z101" si="9">COUNTIFS($L$5:$Q$20,"&lt;="&amp;$T70/6,$L$25:$Q$40,V$4)</f>
        <v>0</v>
      </c>
      <c r="W70" s="103">
        <f t="shared" si="9"/>
        <v>0</v>
      </c>
      <c r="X70" s="103">
        <f t="shared" si="9"/>
        <v>0</v>
      </c>
      <c r="Y70" s="103">
        <f t="shared" si="9"/>
        <v>0</v>
      </c>
      <c r="Z70" s="103">
        <f t="shared" si="9"/>
        <v>0</v>
      </c>
    </row>
    <row r="71" spans="20:26" x14ac:dyDescent="0.15">
      <c r="T71" s="103">
        <v>31000</v>
      </c>
      <c r="U71" s="103">
        <f t="shared" si="8"/>
        <v>15300</v>
      </c>
      <c r="V71" s="103">
        <f t="shared" si="9"/>
        <v>0</v>
      </c>
      <c r="W71" s="103">
        <f t="shared" si="9"/>
        <v>0</v>
      </c>
      <c r="X71" s="103">
        <f t="shared" si="9"/>
        <v>0</v>
      </c>
      <c r="Y71" s="103">
        <f t="shared" si="9"/>
        <v>0</v>
      </c>
      <c r="Z71" s="103">
        <f t="shared" si="9"/>
        <v>0</v>
      </c>
    </row>
    <row r="72" spans="20:26" x14ac:dyDescent="0.15">
      <c r="T72" s="103">
        <v>32000</v>
      </c>
      <c r="U72" s="103">
        <f t="shared" si="8"/>
        <v>15600</v>
      </c>
      <c r="V72" s="103">
        <f t="shared" si="9"/>
        <v>0</v>
      </c>
      <c r="W72" s="103">
        <f t="shared" si="9"/>
        <v>0</v>
      </c>
      <c r="X72" s="103">
        <f t="shared" si="9"/>
        <v>0</v>
      </c>
      <c r="Y72" s="103">
        <f t="shared" si="9"/>
        <v>0</v>
      </c>
      <c r="Z72" s="103">
        <f t="shared" si="9"/>
        <v>0</v>
      </c>
    </row>
    <row r="73" spans="20:26" x14ac:dyDescent="0.15">
      <c r="T73" s="103">
        <v>33000</v>
      </c>
      <c r="U73" s="103">
        <f t="shared" si="8"/>
        <v>15900</v>
      </c>
      <c r="V73" s="103">
        <f t="shared" si="9"/>
        <v>0</v>
      </c>
      <c r="W73" s="103">
        <f t="shared" si="9"/>
        <v>0</v>
      </c>
      <c r="X73" s="103">
        <f t="shared" si="9"/>
        <v>0</v>
      </c>
      <c r="Y73" s="103">
        <f t="shared" si="9"/>
        <v>0</v>
      </c>
      <c r="Z73" s="103">
        <f t="shared" si="9"/>
        <v>0</v>
      </c>
    </row>
    <row r="74" spans="20:26" x14ac:dyDescent="0.15">
      <c r="T74" s="103">
        <v>34000</v>
      </c>
      <c r="U74" s="103">
        <f t="shared" si="8"/>
        <v>16200</v>
      </c>
      <c r="V74" s="103">
        <f t="shared" si="9"/>
        <v>0</v>
      </c>
      <c r="W74" s="103">
        <f t="shared" si="9"/>
        <v>0</v>
      </c>
      <c r="X74" s="103">
        <f t="shared" si="9"/>
        <v>0</v>
      </c>
      <c r="Y74" s="103">
        <f t="shared" si="9"/>
        <v>0</v>
      </c>
      <c r="Z74" s="103">
        <f t="shared" si="9"/>
        <v>0</v>
      </c>
    </row>
    <row r="75" spans="20:26" x14ac:dyDescent="0.15">
      <c r="T75" s="103">
        <v>35000</v>
      </c>
      <c r="U75" s="103">
        <f t="shared" si="8"/>
        <v>16500</v>
      </c>
      <c r="V75" s="103">
        <f t="shared" si="9"/>
        <v>0</v>
      </c>
      <c r="W75" s="103">
        <f t="shared" si="9"/>
        <v>0</v>
      </c>
      <c r="X75" s="103">
        <f t="shared" si="9"/>
        <v>0</v>
      </c>
      <c r="Y75" s="103">
        <f t="shared" si="9"/>
        <v>0</v>
      </c>
      <c r="Z75" s="103">
        <f t="shared" si="9"/>
        <v>0</v>
      </c>
    </row>
    <row r="76" spans="20:26" x14ac:dyDescent="0.15">
      <c r="T76" s="103">
        <v>36000</v>
      </c>
      <c r="U76" s="103">
        <f t="shared" si="8"/>
        <v>16800</v>
      </c>
      <c r="V76" s="103">
        <f t="shared" si="9"/>
        <v>0</v>
      </c>
      <c r="W76" s="103">
        <f t="shared" si="9"/>
        <v>0</v>
      </c>
      <c r="X76" s="103">
        <f t="shared" si="9"/>
        <v>0</v>
      </c>
      <c r="Y76" s="103">
        <f t="shared" si="9"/>
        <v>0</v>
      </c>
      <c r="Z76" s="103">
        <f t="shared" si="9"/>
        <v>0</v>
      </c>
    </row>
    <row r="77" spans="20:26" x14ac:dyDescent="0.15">
      <c r="T77" s="103">
        <v>37000</v>
      </c>
      <c r="U77" s="103">
        <f t="shared" si="8"/>
        <v>17200</v>
      </c>
      <c r="V77" s="103">
        <f t="shared" si="9"/>
        <v>0</v>
      </c>
      <c r="W77" s="103">
        <f t="shared" si="9"/>
        <v>0</v>
      </c>
      <c r="X77" s="103">
        <f t="shared" si="9"/>
        <v>0</v>
      </c>
      <c r="Y77" s="103">
        <f t="shared" si="9"/>
        <v>0</v>
      </c>
      <c r="Z77" s="103">
        <f t="shared" si="9"/>
        <v>0</v>
      </c>
    </row>
    <row r="78" spans="20:26" x14ac:dyDescent="0.15">
      <c r="T78" s="103">
        <v>38000</v>
      </c>
      <c r="U78" s="103">
        <f t="shared" si="8"/>
        <v>17600</v>
      </c>
      <c r="V78" s="103">
        <f t="shared" si="9"/>
        <v>0</v>
      </c>
      <c r="W78" s="103">
        <f t="shared" si="9"/>
        <v>0</v>
      </c>
      <c r="X78" s="103">
        <f t="shared" si="9"/>
        <v>0</v>
      </c>
      <c r="Y78" s="103">
        <f t="shared" si="9"/>
        <v>0</v>
      </c>
      <c r="Z78" s="103">
        <f t="shared" si="9"/>
        <v>0</v>
      </c>
    </row>
    <row r="79" spans="20:26" x14ac:dyDescent="0.15">
      <c r="T79" s="103">
        <v>39000</v>
      </c>
      <c r="U79" s="103">
        <f t="shared" si="8"/>
        <v>18000</v>
      </c>
      <c r="V79" s="103">
        <f t="shared" si="9"/>
        <v>0</v>
      </c>
      <c r="W79" s="103">
        <f t="shared" si="9"/>
        <v>0</v>
      </c>
      <c r="X79" s="103">
        <f t="shared" si="9"/>
        <v>0</v>
      </c>
      <c r="Y79" s="103">
        <f t="shared" si="9"/>
        <v>0</v>
      </c>
      <c r="Z79" s="103">
        <f t="shared" si="9"/>
        <v>0</v>
      </c>
    </row>
    <row r="80" spans="20:26" x14ac:dyDescent="0.15">
      <c r="T80" s="103">
        <v>40000</v>
      </c>
      <c r="U80" s="103">
        <f t="shared" si="8"/>
        <v>18400</v>
      </c>
      <c r="V80" s="103">
        <f t="shared" si="9"/>
        <v>0</v>
      </c>
      <c r="W80" s="103">
        <f t="shared" si="9"/>
        <v>0</v>
      </c>
      <c r="X80" s="103">
        <f t="shared" si="9"/>
        <v>0</v>
      </c>
      <c r="Y80" s="103">
        <f t="shared" si="9"/>
        <v>0</v>
      </c>
      <c r="Z80" s="103">
        <f t="shared" si="9"/>
        <v>0</v>
      </c>
    </row>
    <row r="81" spans="20:26" x14ac:dyDescent="0.15">
      <c r="T81" s="103">
        <v>41000</v>
      </c>
      <c r="U81" s="103">
        <f t="shared" si="8"/>
        <v>18800</v>
      </c>
      <c r="V81" s="103">
        <f t="shared" si="9"/>
        <v>0</v>
      </c>
      <c r="W81" s="103">
        <f t="shared" si="9"/>
        <v>0</v>
      </c>
      <c r="X81" s="103">
        <f t="shared" si="9"/>
        <v>0</v>
      </c>
      <c r="Y81" s="103">
        <f t="shared" si="9"/>
        <v>0</v>
      </c>
      <c r="Z81" s="103">
        <f t="shared" si="9"/>
        <v>0</v>
      </c>
    </row>
    <row r="82" spans="20:26" x14ac:dyDescent="0.15">
      <c r="T82" s="103">
        <v>42000</v>
      </c>
      <c r="U82" s="103">
        <f t="shared" si="8"/>
        <v>19200</v>
      </c>
      <c r="V82" s="103">
        <f t="shared" si="9"/>
        <v>0</v>
      </c>
      <c r="W82" s="103">
        <f t="shared" si="9"/>
        <v>0</v>
      </c>
      <c r="X82" s="103">
        <f t="shared" si="9"/>
        <v>0</v>
      </c>
      <c r="Y82" s="103">
        <f t="shared" si="9"/>
        <v>0</v>
      </c>
      <c r="Z82" s="103">
        <f t="shared" si="9"/>
        <v>0</v>
      </c>
    </row>
    <row r="83" spans="20:26" x14ac:dyDescent="0.15">
      <c r="T83" s="103">
        <v>43000</v>
      </c>
      <c r="U83" s="103">
        <f t="shared" si="8"/>
        <v>19600</v>
      </c>
      <c r="V83" s="103">
        <f t="shared" si="9"/>
        <v>0</v>
      </c>
      <c r="W83" s="103">
        <f t="shared" si="9"/>
        <v>0</v>
      </c>
      <c r="X83" s="103">
        <f t="shared" si="9"/>
        <v>0</v>
      </c>
      <c r="Y83" s="103">
        <f t="shared" si="9"/>
        <v>0</v>
      </c>
      <c r="Z83" s="103">
        <f t="shared" si="9"/>
        <v>0</v>
      </c>
    </row>
    <row r="84" spans="20:26" x14ac:dyDescent="0.15">
      <c r="T84" s="103">
        <v>44000</v>
      </c>
      <c r="U84" s="103">
        <f t="shared" si="8"/>
        <v>20000</v>
      </c>
      <c r="V84" s="103">
        <f t="shared" si="9"/>
        <v>0</v>
      </c>
      <c r="W84" s="103">
        <f t="shared" si="9"/>
        <v>0</v>
      </c>
      <c r="X84" s="103">
        <f t="shared" si="9"/>
        <v>0</v>
      </c>
      <c r="Y84" s="103">
        <f t="shared" si="9"/>
        <v>0</v>
      </c>
      <c r="Z84" s="103">
        <f t="shared" si="9"/>
        <v>0</v>
      </c>
    </row>
    <row r="85" spans="20:26" x14ac:dyDescent="0.15">
      <c r="T85" s="103">
        <v>45000</v>
      </c>
      <c r="U85" s="103">
        <f t="shared" si="8"/>
        <v>20400</v>
      </c>
      <c r="V85" s="103">
        <f t="shared" si="9"/>
        <v>0</v>
      </c>
      <c r="W85" s="103">
        <f t="shared" si="9"/>
        <v>0</v>
      </c>
      <c r="X85" s="103">
        <f t="shared" si="9"/>
        <v>0</v>
      </c>
      <c r="Y85" s="103">
        <f t="shared" si="9"/>
        <v>0</v>
      </c>
      <c r="Z85" s="103">
        <f t="shared" si="9"/>
        <v>0</v>
      </c>
    </row>
    <row r="86" spans="20:26" x14ac:dyDescent="0.15">
      <c r="T86" s="103">
        <v>46000</v>
      </c>
      <c r="U86" s="103">
        <f t="shared" si="8"/>
        <v>20800</v>
      </c>
      <c r="V86" s="103">
        <f t="shared" si="9"/>
        <v>0</v>
      </c>
      <c r="W86" s="103">
        <f t="shared" si="9"/>
        <v>0</v>
      </c>
      <c r="X86" s="103">
        <f t="shared" si="9"/>
        <v>0</v>
      </c>
      <c r="Y86" s="103">
        <f t="shared" si="9"/>
        <v>0</v>
      </c>
      <c r="Z86" s="103">
        <f t="shared" si="9"/>
        <v>0</v>
      </c>
    </row>
    <row r="87" spans="20:26" x14ac:dyDescent="0.15">
      <c r="T87" s="103">
        <v>47000</v>
      </c>
      <c r="U87" s="103">
        <f t="shared" si="8"/>
        <v>21200</v>
      </c>
      <c r="V87" s="103">
        <f t="shared" si="9"/>
        <v>0</v>
      </c>
      <c r="W87" s="103">
        <f t="shared" si="9"/>
        <v>0</v>
      </c>
      <c r="X87" s="103">
        <f t="shared" si="9"/>
        <v>0</v>
      </c>
      <c r="Y87" s="103">
        <f t="shared" si="9"/>
        <v>0</v>
      </c>
      <c r="Z87" s="103">
        <f t="shared" si="9"/>
        <v>0</v>
      </c>
    </row>
    <row r="88" spans="20:26" x14ac:dyDescent="0.15">
      <c r="T88" s="103">
        <v>48000</v>
      </c>
      <c r="U88" s="103">
        <f t="shared" si="8"/>
        <v>21600</v>
      </c>
      <c r="V88" s="103">
        <f t="shared" si="9"/>
        <v>0</v>
      </c>
      <c r="W88" s="103">
        <f t="shared" si="9"/>
        <v>0</v>
      </c>
      <c r="X88" s="103">
        <f t="shared" si="9"/>
        <v>0</v>
      </c>
      <c r="Y88" s="103">
        <f t="shared" si="9"/>
        <v>0</v>
      </c>
      <c r="Z88" s="103">
        <f t="shared" si="9"/>
        <v>0</v>
      </c>
    </row>
    <row r="89" spans="20:26" x14ac:dyDescent="0.15">
      <c r="T89" s="103">
        <v>49000</v>
      </c>
      <c r="U89" s="103">
        <f t="shared" si="8"/>
        <v>22000</v>
      </c>
      <c r="V89" s="103">
        <f t="shared" si="9"/>
        <v>0</v>
      </c>
      <c r="W89" s="103">
        <f t="shared" si="9"/>
        <v>0</v>
      </c>
      <c r="X89" s="103">
        <f t="shared" si="9"/>
        <v>0</v>
      </c>
      <c r="Y89" s="103">
        <f t="shared" si="9"/>
        <v>0</v>
      </c>
      <c r="Z89" s="103">
        <f t="shared" si="9"/>
        <v>0</v>
      </c>
    </row>
    <row r="90" spans="20:26" x14ac:dyDescent="0.15">
      <c r="T90" s="103">
        <v>50000</v>
      </c>
      <c r="U90" s="103">
        <f t="shared" si="8"/>
        <v>22400</v>
      </c>
      <c r="V90" s="103">
        <f t="shared" si="9"/>
        <v>0</v>
      </c>
      <c r="W90" s="103">
        <f t="shared" si="9"/>
        <v>0</v>
      </c>
      <c r="X90" s="103">
        <f t="shared" si="9"/>
        <v>0</v>
      </c>
      <c r="Y90" s="103">
        <f t="shared" si="9"/>
        <v>0</v>
      </c>
      <c r="Z90" s="103">
        <f t="shared" si="9"/>
        <v>0</v>
      </c>
    </row>
    <row r="91" spans="20:26" x14ac:dyDescent="0.15">
      <c r="T91" s="103">
        <v>51000</v>
      </c>
      <c r="U91" s="103">
        <f t="shared" si="8"/>
        <v>22800</v>
      </c>
      <c r="V91" s="103">
        <f t="shared" si="9"/>
        <v>0</v>
      </c>
      <c r="W91" s="103">
        <f t="shared" si="9"/>
        <v>0</v>
      </c>
      <c r="X91" s="103">
        <f t="shared" si="9"/>
        <v>0</v>
      </c>
      <c r="Y91" s="103">
        <f t="shared" si="9"/>
        <v>0</v>
      </c>
      <c r="Z91" s="103">
        <f t="shared" si="9"/>
        <v>0</v>
      </c>
    </row>
    <row r="92" spans="20:26" x14ac:dyDescent="0.15">
      <c r="T92" s="103">
        <v>52000</v>
      </c>
      <c r="U92" s="103">
        <f t="shared" si="8"/>
        <v>23200</v>
      </c>
      <c r="V92" s="103">
        <f t="shared" si="9"/>
        <v>0</v>
      </c>
      <c r="W92" s="103">
        <f t="shared" si="9"/>
        <v>0</v>
      </c>
      <c r="X92" s="103">
        <f t="shared" si="9"/>
        <v>0</v>
      </c>
      <c r="Y92" s="103">
        <f t="shared" si="9"/>
        <v>0</v>
      </c>
      <c r="Z92" s="103">
        <f t="shared" si="9"/>
        <v>0</v>
      </c>
    </row>
    <row r="93" spans="20:26" x14ac:dyDescent="0.15">
      <c r="T93" s="103">
        <v>53000</v>
      </c>
      <c r="U93" s="103">
        <f t="shared" si="8"/>
        <v>23600</v>
      </c>
      <c r="V93" s="103">
        <f t="shared" si="9"/>
        <v>0</v>
      </c>
      <c r="W93" s="103">
        <f t="shared" si="9"/>
        <v>0</v>
      </c>
      <c r="X93" s="103">
        <f t="shared" si="9"/>
        <v>0</v>
      </c>
      <c r="Y93" s="103">
        <f t="shared" si="9"/>
        <v>0</v>
      </c>
      <c r="Z93" s="103">
        <f t="shared" si="9"/>
        <v>0</v>
      </c>
    </row>
    <row r="94" spans="20:26" x14ac:dyDescent="0.15">
      <c r="T94" s="103">
        <v>54000</v>
      </c>
      <c r="U94" s="103">
        <f t="shared" si="8"/>
        <v>24000</v>
      </c>
      <c r="V94" s="103">
        <f t="shared" si="9"/>
        <v>0</v>
      </c>
      <c r="W94" s="103">
        <f t="shared" si="9"/>
        <v>0</v>
      </c>
      <c r="X94" s="103">
        <f t="shared" si="9"/>
        <v>0</v>
      </c>
      <c r="Y94" s="103">
        <f t="shared" si="9"/>
        <v>0</v>
      </c>
      <c r="Z94" s="103">
        <f t="shared" si="9"/>
        <v>0</v>
      </c>
    </row>
    <row r="95" spans="20:26" x14ac:dyDescent="0.15">
      <c r="T95" s="103">
        <v>55000</v>
      </c>
      <c r="U95" s="103">
        <f t="shared" si="8"/>
        <v>24400</v>
      </c>
      <c r="V95" s="103">
        <f t="shared" si="9"/>
        <v>0</v>
      </c>
      <c r="W95" s="103">
        <f t="shared" si="9"/>
        <v>0</v>
      </c>
      <c r="X95" s="103">
        <f t="shared" si="9"/>
        <v>0</v>
      </c>
      <c r="Y95" s="103">
        <f t="shared" si="9"/>
        <v>0</v>
      </c>
      <c r="Z95" s="103">
        <f t="shared" si="9"/>
        <v>0</v>
      </c>
    </row>
    <row r="96" spans="20:26" x14ac:dyDescent="0.15">
      <c r="T96" s="103">
        <v>56000</v>
      </c>
      <c r="U96" s="103">
        <f t="shared" si="8"/>
        <v>24800</v>
      </c>
      <c r="V96" s="103">
        <f t="shared" si="9"/>
        <v>0</v>
      </c>
      <c r="W96" s="103">
        <f t="shared" si="9"/>
        <v>0</v>
      </c>
      <c r="X96" s="103">
        <f t="shared" si="9"/>
        <v>0</v>
      </c>
      <c r="Y96" s="103">
        <f t="shared" si="9"/>
        <v>0</v>
      </c>
      <c r="Z96" s="103">
        <f t="shared" si="9"/>
        <v>0</v>
      </c>
    </row>
    <row r="97" spans="20:26" x14ac:dyDescent="0.15">
      <c r="T97" s="103">
        <v>57000</v>
      </c>
      <c r="U97" s="103">
        <f t="shared" si="8"/>
        <v>25200</v>
      </c>
      <c r="V97" s="103">
        <f t="shared" si="9"/>
        <v>0</v>
      </c>
      <c r="W97" s="103">
        <f t="shared" si="9"/>
        <v>0</v>
      </c>
      <c r="X97" s="103">
        <f t="shared" si="9"/>
        <v>0</v>
      </c>
      <c r="Y97" s="103">
        <f t="shared" si="9"/>
        <v>0</v>
      </c>
      <c r="Z97" s="103">
        <f t="shared" si="9"/>
        <v>0</v>
      </c>
    </row>
    <row r="98" spans="20:26" x14ac:dyDescent="0.15">
      <c r="T98" s="103">
        <v>58000</v>
      </c>
      <c r="U98" s="103">
        <f t="shared" si="8"/>
        <v>25600</v>
      </c>
      <c r="V98" s="103">
        <f t="shared" si="9"/>
        <v>0</v>
      </c>
      <c r="W98" s="103">
        <f t="shared" si="9"/>
        <v>0</v>
      </c>
      <c r="X98" s="103">
        <f t="shared" si="9"/>
        <v>0</v>
      </c>
      <c r="Y98" s="103">
        <f t="shared" si="9"/>
        <v>0</v>
      </c>
      <c r="Z98" s="103">
        <f t="shared" si="9"/>
        <v>0</v>
      </c>
    </row>
    <row r="99" spans="20:26" x14ac:dyDescent="0.15">
      <c r="T99" s="103">
        <v>59000</v>
      </c>
      <c r="U99" s="103">
        <f t="shared" si="8"/>
        <v>26000</v>
      </c>
      <c r="V99" s="103">
        <f t="shared" si="9"/>
        <v>0</v>
      </c>
      <c r="W99" s="103">
        <f t="shared" si="9"/>
        <v>0</v>
      </c>
      <c r="X99" s="103">
        <f t="shared" si="9"/>
        <v>0</v>
      </c>
      <c r="Y99" s="103">
        <f t="shared" si="9"/>
        <v>0</v>
      </c>
      <c r="Z99" s="103">
        <f t="shared" si="9"/>
        <v>0</v>
      </c>
    </row>
    <row r="100" spans="20:26" x14ac:dyDescent="0.15">
      <c r="T100" s="103">
        <v>60000</v>
      </c>
      <c r="U100" s="103">
        <f t="shared" si="8"/>
        <v>26400</v>
      </c>
      <c r="V100" s="103">
        <f t="shared" si="9"/>
        <v>0</v>
      </c>
      <c r="W100" s="103">
        <f t="shared" si="9"/>
        <v>0</v>
      </c>
      <c r="X100" s="103">
        <f t="shared" si="9"/>
        <v>0</v>
      </c>
      <c r="Y100" s="103">
        <f t="shared" si="9"/>
        <v>0</v>
      </c>
      <c r="Z100" s="103">
        <f t="shared" si="9"/>
        <v>0</v>
      </c>
    </row>
    <row r="101" spans="20:26" x14ac:dyDescent="0.15">
      <c r="T101" s="103">
        <v>70000</v>
      </c>
      <c r="U101" s="103">
        <f t="shared" si="8"/>
        <v>26400</v>
      </c>
      <c r="V101" s="103">
        <f t="shared" si="9"/>
        <v>0</v>
      </c>
      <c r="W101" s="103">
        <f t="shared" si="9"/>
        <v>0</v>
      </c>
      <c r="X101" s="103">
        <f t="shared" si="9"/>
        <v>0</v>
      </c>
      <c r="Y101" s="103">
        <f t="shared" si="9"/>
        <v>0</v>
      </c>
      <c r="Z101" s="103">
        <f t="shared" si="9"/>
        <v>0</v>
      </c>
    </row>
    <row r="102" spans="20:26" x14ac:dyDescent="0.15">
      <c r="T102" s="103">
        <v>80000</v>
      </c>
      <c r="U102" s="103">
        <f t="shared" si="8"/>
        <v>26400</v>
      </c>
      <c r="V102" s="103">
        <f t="shared" ref="V102:Z113" si="10">COUNTIFS($L$5:$Q$20,"&lt;="&amp;$T102/6,$L$25:$Q$40,V$4)</f>
        <v>0</v>
      </c>
      <c r="W102" s="103">
        <f t="shared" si="10"/>
        <v>0</v>
      </c>
      <c r="X102" s="103">
        <f t="shared" si="10"/>
        <v>0</v>
      </c>
      <c r="Y102" s="103">
        <f t="shared" si="10"/>
        <v>0</v>
      </c>
      <c r="Z102" s="103">
        <f t="shared" si="10"/>
        <v>0</v>
      </c>
    </row>
    <row r="103" spans="20:26" x14ac:dyDescent="0.15">
      <c r="T103" s="103">
        <v>90000</v>
      </c>
      <c r="U103" s="103">
        <f t="shared" si="8"/>
        <v>26400</v>
      </c>
      <c r="V103" s="103">
        <f t="shared" si="10"/>
        <v>0</v>
      </c>
      <c r="W103" s="103">
        <f t="shared" si="10"/>
        <v>0</v>
      </c>
      <c r="X103" s="103">
        <f t="shared" si="10"/>
        <v>0</v>
      </c>
      <c r="Y103" s="103">
        <f t="shared" si="10"/>
        <v>0</v>
      </c>
      <c r="Z103" s="103">
        <f t="shared" si="10"/>
        <v>0</v>
      </c>
    </row>
    <row r="104" spans="20:26" x14ac:dyDescent="0.15">
      <c r="T104" s="103">
        <v>100000</v>
      </c>
      <c r="U104" s="103">
        <f t="shared" si="8"/>
        <v>26400</v>
      </c>
      <c r="V104" s="103">
        <f t="shared" si="10"/>
        <v>0</v>
      </c>
      <c r="W104" s="103">
        <f t="shared" si="10"/>
        <v>0</v>
      </c>
      <c r="X104" s="103">
        <f t="shared" si="10"/>
        <v>0</v>
      </c>
      <c r="Y104" s="103">
        <f t="shared" si="10"/>
        <v>0</v>
      </c>
      <c r="Z104" s="103">
        <f t="shared" si="10"/>
        <v>0</v>
      </c>
    </row>
    <row r="105" spans="20:26" x14ac:dyDescent="0.15">
      <c r="T105" s="103">
        <v>200000</v>
      </c>
      <c r="U105" s="103">
        <f t="shared" si="8"/>
        <v>26400</v>
      </c>
      <c r="V105" s="103">
        <f t="shared" si="10"/>
        <v>0</v>
      </c>
      <c r="W105" s="103">
        <f t="shared" si="10"/>
        <v>0</v>
      </c>
      <c r="X105" s="103">
        <f t="shared" si="10"/>
        <v>0</v>
      </c>
      <c r="Y105" s="103">
        <f t="shared" si="10"/>
        <v>0</v>
      </c>
      <c r="Z105" s="103">
        <f t="shared" si="10"/>
        <v>0</v>
      </c>
    </row>
    <row r="106" spans="20:26" x14ac:dyDescent="0.15">
      <c r="T106" s="103">
        <v>300000</v>
      </c>
      <c r="U106" s="103">
        <f t="shared" si="8"/>
        <v>26400</v>
      </c>
      <c r="V106" s="103">
        <f t="shared" si="10"/>
        <v>0</v>
      </c>
      <c r="W106" s="103">
        <f t="shared" si="10"/>
        <v>0</v>
      </c>
      <c r="X106" s="103">
        <f t="shared" si="10"/>
        <v>0</v>
      </c>
      <c r="Y106" s="103">
        <f t="shared" si="10"/>
        <v>0</v>
      </c>
      <c r="Z106" s="103">
        <f t="shared" si="10"/>
        <v>0</v>
      </c>
    </row>
    <row r="107" spans="20:26" x14ac:dyDescent="0.15">
      <c r="T107" s="103">
        <v>400000</v>
      </c>
      <c r="U107" s="103">
        <f t="shared" si="8"/>
        <v>26400</v>
      </c>
      <c r="V107" s="103">
        <f t="shared" si="10"/>
        <v>0</v>
      </c>
      <c r="W107" s="103">
        <f t="shared" si="10"/>
        <v>0</v>
      </c>
      <c r="X107" s="103">
        <f t="shared" si="10"/>
        <v>0</v>
      </c>
      <c r="Y107" s="103">
        <f t="shared" si="10"/>
        <v>0</v>
      </c>
      <c r="Z107" s="103">
        <f t="shared" si="10"/>
        <v>0</v>
      </c>
    </row>
    <row r="108" spans="20:26" x14ac:dyDescent="0.15">
      <c r="T108" s="103">
        <v>500000</v>
      </c>
      <c r="U108" s="103">
        <f t="shared" si="8"/>
        <v>26400</v>
      </c>
      <c r="V108" s="103">
        <f t="shared" si="10"/>
        <v>0</v>
      </c>
      <c r="W108" s="103">
        <f t="shared" si="10"/>
        <v>0</v>
      </c>
      <c r="X108" s="103">
        <f t="shared" si="10"/>
        <v>0</v>
      </c>
      <c r="Y108" s="103">
        <f t="shared" si="10"/>
        <v>0</v>
      </c>
      <c r="Z108" s="103">
        <f t="shared" si="10"/>
        <v>0</v>
      </c>
    </row>
    <row r="109" spans="20:26" x14ac:dyDescent="0.15">
      <c r="T109" s="103">
        <v>600000</v>
      </c>
      <c r="U109" s="103">
        <f t="shared" si="8"/>
        <v>26400</v>
      </c>
      <c r="V109" s="103">
        <f t="shared" si="10"/>
        <v>0</v>
      </c>
      <c r="W109" s="103">
        <f t="shared" si="10"/>
        <v>0</v>
      </c>
      <c r="X109" s="103">
        <f t="shared" si="10"/>
        <v>0</v>
      </c>
      <c r="Y109" s="103">
        <f t="shared" si="10"/>
        <v>0</v>
      </c>
      <c r="Z109" s="103">
        <f t="shared" si="10"/>
        <v>0</v>
      </c>
    </row>
    <row r="110" spans="20:26" x14ac:dyDescent="0.15">
      <c r="T110" s="103">
        <v>700000</v>
      </c>
      <c r="U110" s="103">
        <f t="shared" si="8"/>
        <v>26400</v>
      </c>
      <c r="V110" s="103">
        <f t="shared" si="10"/>
        <v>0</v>
      </c>
      <c r="W110" s="103">
        <f t="shared" si="10"/>
        <v>0</v>
      </c>
      <c r="X110" s="103">
        <f t="shared" si="10"/>
        <v>0</v>
      </c>
      <c r="Y110" s="103">
        <f t="shared" si="10"/>
        <v>0</v>
      </c>
      <c r="Z110" s="103">
        <f t="shared" si="10"/>
        <v>0</v>
      </c>
    </row>
    <row r="111" spans="20:26" x14ac:dyDescent="0.15">
      <c r="T111" s="103">
        <v>800000</v>
      </c>
      <c r="U111" s="103">
        <f t="shared" si="8"/>
        <v>26400</v>
      </c>
      <c r="V111" s="103">
        <f t="shared" si="10"/>
        <v>0</v>
      </c>
      <c r="W111" s="103">
        <f t="shared" si="10"/>
        <v>0</v>
      </c>
      <c r="X111" s="103">
        <f t="shared" si="10"/>
        <v>0</v>
      </c>
      <c r="Y111" s="103">
        <f t="shared" si="10"/>
        <v>0</v>
      </c>
      <c r="Z111" s="103">
        <f t="shared" si="10"/>
        <v>0</v>
      </c>
    </row>
    <row r="112" spans="20:26" x14ac:dyDescent="0.15">
      <c r="T112" s="103">
        <v>900000</v>
      </c>
      <c r="U112" s="103">
        <f t="shared" si="8"/>
        <v>26400</v>
      </c>
      <c r="V112" s="103">
        <f t="shared" si="10"/>
        <v>0</v>
      </c>
      <c r="W112" s="103">
        <f t="shared" si="10"/>
        <v>0</v>
      </c>
      <c r="X112" s="103">
        <f t="shared" si="10"/>
        <v>0</v>
      </c>
      <c r="Y112" s="103">
        <f t="shared" si="10"/>
        <v>0</v>
      </c>
      <c r="Z112" s="103">
        <f t="shared" si="10"/>
        <v>0</v>
      </c>
    </row>
    <row r="113" spans="20:26" x14ac:dyDescent="0.15">
      <c r="T113" s="103">
        <v>1000000</v>
      </c>
      <c r="U113" s="103">
        <f t="shared" si="8"/>
        <v>26400</v>
      </c>
      <c r="V113" s="103">
        <f t="shared" si="10"/>
        <v>0</v>
      </c>
      <c r="W113" s="103">
        <f t="shared" si="10"/>
        <v>0</v>
      </c>
      <c r="X113" s="103">
        <f t="shared" si="10"/>
        <v>0</v>
      </c>
      <c r="Y113" s="103">
        <f t="shared" si="10"/>
        <v>0</v>
      </c>
      <c r="Z113" s="103">
        <f t="shared" si="10"/>
        <v>0</v>
      </c>
    </row>
    <row r="114" spans="20:26" x14ac:dyDescent="0.15">
      <c r="T114" s="103"/>
      <c r="U114" s="103"/>
      <c r="V114" s="103"/>
      <c r="W114" s="103"/>
      <c r="X114" s="103"/>
      <c r="Y114" s="103"/>
      <c r="Z114" s="103"/>
    </row>
    <row r="115" spans="20:26" x14ac:dyDescent="0.15">
      <c r="T115" s="103"/>
      <c r="U115" s="103"/>
      <c r="V115" s="103"/>
      <c r="W115" s="103"/>
      <c r="X115" s="103"/>
      <c r="Y115" s="103"/>
      <c r="Z115" s="103"/>
    </row>
    <row r="116" spans="20:26" x14ac:dyDescent="0.15">
      <c r="T116" s="103"/>
      <c r="U116" s="103"/>
      <c r="V116" s="103"/>
      <c r="W116" s="103"/>
      <c r="X116" s="103"/>
      <c r="Y116" s="103"/>
      <c r="Z116" s="103"/>
    </row>
    <row r="117" spans="20:26" x14ac:dyDescent="0.15">
      <c r="T117" s="103"/>
      <c r="U117" s="103"/>
      <c r="V117" s="103"/>
      <c r="W117" s="103"/>
      <c r="X117" s="103"/>
      <c r="Y117" s="103"/>
      <c r="Z117" s="103"/>
    </row>
    <row r="118" spans="20:26" x14ac:dyDescent="0.15">
      <c r="T118" s="103"/>
      <c r="U118" s="103"/>
      <c r="V118" s="103"/>
      <c r="W118" s="103"/>
      <c r="X118" s="103"/>
      <c r="Y118" s="103"/>
      <c r="Z118" s="103"/>
    </row>
    <row r="119" spans="20:26" x14ac:dyDescent="0.15">
      <c r="T119" s="103"/>
      <c r="U119" s="103"/>
      <c r="V119" s="103"/>
      <c r="W119" s="103"/>
      <c r="X119" s="103"/>
      <c r="Y119" s="103"/>
      <c r="Z119" s="103"/>
    </row>
    <row r="120" spans="20:26" x14ac:dyDescent="0.15">
      <c r="T120" s="103"/>
      <c r="U120" s="103"/>
      <c r="V120" s="103"/>
      <c r="W120" s="103"/>
      <c r="X120" s="103"/>
      <c r="Y120" s="103"/>
      <c r="Z120" s="103"/>
    </row>
    <row r="121" spans="20:26" x14ac:dyDescent="0.15">
      <c r="T121" s="103"/>
    </row>
    <row r="122" spans="20:26" x14ac:dyDescent="0.15">
      <c r="T122" s="103"/>
    </row>
  </sheetData>
  <mergeCells count="3">
    <mergeCell ref="L22:Q22"/>
    <mergeCell ref="L3:Q3"/>
    <mergeCell ref="V3:Z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5B6A1-AC7A-487C-952F-0FBEA5E75FFB}">
  <sheetPr codeName="Sheet12"/>
  <dimension ref="C3:X100"/>
  <sheetViews>
    <sheetView workbookViewId="0">
      <selection activeCell="I7" sqref="I7"/>
    </sheetView>
  </sheetViews>
  <sheetFormatPr defaultRowHeight="11.25" x14ac:dyDescent="0.15"/>
  <cols>
    <col min="1" max="9" width="9" style="70"/>
    <col min="10" max="11" width="10.5" style="70" bestFit="1" customWidth="1"/>
    <col min="12" max="13" width="9" style="70"/>
    <col min="14" max="15" width="10.5" style="86" bestFit="1" customWidth="1"/>
    <col min="16" max="16" width="8.25" style="82" bestFit="1" customWidth="1"/>
    <col min="17" max="17" width="10.5" style="82" bestFit="1" customWidth="1"/>
    <col min="18" max="18" width="10.5" style="70" bestFit="1" customWidth="1"/>
    <col min="19" max="16384" width="9" style="70"/>
  </cols>
  <sheetData>
    <row r="3" spans="3:24" x14ac:dyDescent="0.15">
      <c r="N3" s="83" t="s">
        <v>0</v>
      </c>
      <c r="O3" s="83"/>
      <c r="P3" s="81"/>
      <c r="Q3" s="81"/>
      <c r="T3" s="127" t="s">
        <v>207</v>
      </c>
      <c r="U3" s="127"/>
      <c r="V3" s="127"/>
      <c r="W3" s="127"/>
      <c r="X3" s="127"/>
    </row>
    <row r="4" spans="3:24" x14ac:dyDescent="0.15">
      <c r="N4" s="83" t="s">
        <v>21</v>
      </c>
      <c r="O4" s="83" t="s">
        <v>121</v>
      </c>
      <c r="P4" s="81" t="s">
        <v>122</v>
      </c>
      <c r="Q4" s="81" t="s">
        <v>103</v>
      </c>
      <c r="R4" s="70" t="s">
        <v>204</v>
      </c>
      <c r="S4" s="70" t="s">
        <v>205</v>
      </c>
      <c r="T4" s="83" t="s">
        <v>104</v>
      </c>
      <c r="U4" s="83" t="s">
        <v>105</v>
      </c>
      <c r="V4" s="83" t="s">
        <v>106</v>
      </c>
      <c r="W4" s="83" t="s">
        <v>107</v>
      </c>
      <c r="X4" s="83" t="s">
        <v>108</v>
      </c>
    </row>
    <row r="5" spans="3:24" x14ac:dyDescent="0.15">
      <c r="E5" s="127" t="s">
        <v>201</v>
      </c>
      <c r="F5" s="127"/>
      <c r="G5" s="127"/>
      <c r="H5" s="127"/>
      <c r="I5" s="127"/>
      <c r="N5" s="83">
        <v>1</v>
      </c>
      <c r="O5" s="60">
        <f>基础信息!D10</f>
        <v>16</v>
      </c>
      <c r="P5" s="61">
        <f>基础信息!E10</f>
        <v>2.5387719203926467</v>
      </c>
      <c r="Q5" s="61">
        <f>基础信息!F10</f>
        <v>18.226342304552581</v>
      </c>
      <c r="R5" s="80">
        <v>0.05</v>
      </c>
      <c r="S5" s="70">
        <f>MIN(求节点(其他调用!$B$4:$B$163,其他调用!$C$4:$C$163,Q5)*R5,P5/INDEX($D$7:$D$8,MATCH(P5,$C$7:$C$8,1))*INDEX($K$7:$K$8,MATCH(P5,$C$7:$C$8,1)))</f>
        <v>1381.3435896138001</v>
      </c>
      <c r="T5" s="91">
        <f>$S5/INDEX($K$7:$K$8,MATCH($P5,$C$7:$C$8,1))*INDEX(E$7:E$8,MATCH($P5,$C$7:$C$8,1))</f>
        <v>0</v>
      </c>
      <c r="U5" s="91">
        <f t="shared" ref="U5:X5" si="0">$S5/INDEX($K$7:$K$8,MATCH($P5,$C$7:$C$8,1))*INDEX(F$7:F$8,MATCH($P5,$C$7:$C$8,1))</f>
        <v>0</v>
      </c>
      <c r="V5" s="91">
        <f t="shared" si="0"/>
        <v>6.2788344982445454E-2</v>
      </c>
      <c r="W5" s="91">
        <f t="shared" si="0"/>
        <v>6.2788344982445454E-2</v>
      </c>
      <c r="X5" s="91">
        <f t="shared" si="0"/>
        <v>0</v>
      </c>
    </row>
    <row r="6" spans="3:24" x14ac:dyDescent="0.15">
      <c r="C6" s="70" t="s">
        <v>199</v>
      </c>
      <c r="D6" s="70" t="s">
        <v>200</v>
      </c>
      <c r="E6" s="70" t="s">
        <v>104</v>
      </c>
      <c r="F6" s="70" t="s">
        <v>105</v>
      </c>
      <c r="G6" s="70" t="s">
        <v>106</v>
      </c>
      <c r="H6" s="70" t="s">
        <v>107</v>
      </c>
      <c r="I6" s="70" t="s">
        <v>108</v>
      </c>
      <c r="J6" s="70" t="s">
        <v>202</v>
      </c>
      <c r="K6" s="70" t="s">
        <v>203</v>
      </c>
      <c r="N6" s="83">
        <v>2</v>
      </c>
      <c r="O6" s="60">
        <f>基础信息!D11</f>
        <v>19.5</v>
      </c>
      <c r="P6" s="61">
        <f>基础信息!E11</f>
        <v>4.8228975321654577</v>
      </c>
      <c r="Q6" s="61">
        <f>基础信息!F11</f>
        <v>25.408961498441148</v>
      </c>
      <c r="R6" s="80">
        <v>0.05</v>
      </c>
      <c r="S6" s="97">
        <f>MIN(求节点(其他调用!$B$4:$B$163,其他调用!$C$4:$C$163,Q6)*R6,P6/INDEX($D$7:$D$8,MATCH(P6,$C$7:$C$8,1))*INDEX($K$7:$K$8,MATCH(P6,$C$7:$C$8,1)))</f>
        <v>2355.4843979052921</v>
      </c>
      <c r="T6" s="83">
        <f>($S6-$S5)/INDEX($K$7:$K$8,MATCH($P6,$C$7:$C$8,1))*INDEX(E$7:E$8,MATCH($P6,$C$7:$C$8,1))+T5</f>
        <v>0</v>
      </c>
      <c r="U6" s="83">
        <f t="shared" ref="U6:X6" si="1">($S6-$S5)/INDEX($K$7:$K$8,MATCH($P6,$C$7:$C$8,1))*INDEX(F$7:F$8,MATCH($P6,$C$7:$C$8,1))+U5</f>
        <v>0</v>
      </c>
      <c r="V6" s="83">
        <f t="shared" si="1"/>
        <v>0.10706747263205874</v>
      </c>
      <c r="W6" s="83">
        <f t="shared" si="1"/>
        <v>0.10706747263205874</v>
      </c>
      <c r="X6" s="83">
        <f t="shared" si="1"/>
        <v>0</v>
      </c>
    </row>
    <row r="7" spans="3:24" x14ac:dyDescent="0.15">
      <c r="C7" s="70">
        <v>0</v>
      </c>
      <c r="D7" s="70">
        <v>7</v>
      </c>
      <c r="G7" s="70">
        <v>7</v>
      </c>
      <c r="H7" s="70">
        <v>7</v>
      </c>
      <c r="J7" s="80">
        <v>0.5</v>
      </c>
      <c r="K7" s="70">
        <f>SUMPRODUCT(E7:I7,门客升级!$D$9:$H$9)/J7</f>
        <v>154000</v>
      </c>
      <c r="N7" s="83">
        <v>3</v>
      </c>
      <c r="O7" s="60">
        <f>基础信息!D12</f>
        <v>23.5</v>
      </c>
      <c r="P7" s="61">
        <f>基础信息!E12</f>
        <v>9.6550138771594227</v>
      </c>
      <c r="Q7" s="61">
        <f>基础信息!F12</f>
        <v>34.130602806306101</v>
      </c>
      <c r="R7" s="80">
        <v>0.05</v>
      </c>
      <c r="S7" s="97">
        <f>MIN(求节点(其他调用!$B$4:$B$163,其他调用!$C$4:$C$163,Q7)*R7,P7/INDEX($D$7:$D$8,MATCH(P7,$C$7:$C$8,1))*INDEX($K$7:$K$8,MATCH(P7,$C$7:$C$8,1)))</f>
        <v>4039.2529607642741</v>
      </c>
      <c r="T7" s="83">
        <f t="shared" ref="T7:T20" si="2">($S7-$S6)/INDEX($K$7:$K$8,MATCH($P7,$C$7:$C$8,1))*INDEX(E$7:E$8,MATCH($P7,$C$7:$C$8,1))+T6</f>
        <v>0</v>
      </c>
      <c r="U7" s="83">
        <f t="shared" ref="U7:U20" si="3">($S7-$S6)/INDEX($K$7:$K$8,MATCH($P7,$C$7:$C$8,1))*INDEX(F$7:F$8,MATCH($P7,$C$7:$C$8,1))+U6</f>
        <v>0</v>
      </c>
      <c r="V7" s="83">
        <f t="shared" ref="V7:V20" si="4">($S7-$S6)/INDEX($K$7:$K$8,MATCH($P7,$C$7:$C$8,1))*INDEX(G$7:G$8,MATCH($P7,$C$7:$C$8,1))+V6</f>
        <v>0.18360240730746702</v>
      </c>
      <c r="W7" s="83">
        <f t="shared" ref="W7:W20" si="5">($S7-$S6)/INDEX($K$7:$K$8,MATCH($P7,$C$7:$C$8,1))*INDEX(H$7:H$8,MATCH($P7,$C$7:$C$8,1))+W6</f>
        <v>0.18360240730746702</v>
      </c>
      <c r="X7" s="83">
        <f t="shared" ref="X7:X20" si="6">($S7-$S6)/INDEX($K$7:$K$8,MATCH($P7,$C$7:$C$8,1))*INDEX(I$7:I$8,MATCH($P7,$C$7:$C$8,1))+X6</f>
        <v>0</v>
      </c>
    </row>
    <row r="8" spans="3:24" x14ac:dyDescent="0.15">
      <c r="C8" s="70">
        <v>60</v>
      </c>
      <c r="D8" s="70">
        <v>7</v>
      </c>
      <c r="G8" s="70">
        <v>7</v>
      </c>
      <c r="H8" s="70">
        <v>7</v>
      </c>
      <c r="I8" s="70">
        <v>1</v>
      </c>
      <c r="J8" s="80">
        <v>0.5</v>
      </c>
      <c r="K8" s="83">
        <f>SUMPRODUCT(E8:I8,门客升级!$D$9:$H$9)/J8</f>
        <v>234000</v>
      </c>
      <c r="N8" s="83">
        <v>4</v>
      </c>
      <c r="O8" s="60">
        <f>基础信息!D13</f>
        <v>27.5</v>
      </c>
      <c r="P8" s="61">
        <f>基础信息!E13</f>
        <v>18.870223137985384</v>
      </c>
      <c r="Q8" s="61">
        <f>基础信息!F13</f>
        <v>43.121594697945582</v>
      </c>
      <c r="R8" s="80">
        <v>0.05</v>
      </c>
      <c r="S8" s="97">
        <f>MIN(求节点(其他调用!$B$4:$B$163,其他调用!$C$4:$C$163,Q8)*R8,P8/INDEX($D$7:$D$8,MATCH(P8,$C$7:$C$8,1))*INDEX($K$7:$K$8,MATCH(P8,$C$7:$C$8,1)))</f>
        <v>6660.6680339249524</v>
      </c>
      <c r="T8" s="83">
        <f t="shared" si="2"/>
        <v>0</v>
      </c>
      <c r="U8" s="83">
        <f t="shared" si="3"/>
        <v>0</v>
      </c>
      <c r="V8" s="83">
        <f t="shared" si="4"/>
        <v>0.30275763790567967</v>
      </c>
      <c r="W8" s="83">
        <f t="shared" si="5"/>
        <v>0.30275763790567967</v>
      </c>
      <c r="X8" s="83">
        <f t="shared" si="6"/>
        <v>0</v>
      </c>
    </row>
    <row r="9" spans="3:24" x14ac:dyDescent="0.15">
      <c r="N9" s="83">
        <v>5</v>
      </c>
      <c r="O9" s="60">
        <f>基础信息!D14</f>
        <v>31.5</v>
      </c>
      <c r="P9" s="61">
        <f>基础信息!E14</f>
        <v>36.28923876358067</v>
      </c>
      <c r="Q9" s="61">
        <f>基础信息!F14</f>
        <v>52.20122679843417</v>
      </c>
      <c r="R9" s="80">
        <v>0.05</v>
      </c>
      <c r="S9" s="97">
        <f>MIN(求节点(其他调用!$B$4:$B$163,其他调用!$C$4:$C$163,Q9)*R9,P9/INDEX($D$7:$D$8,MATCH(P9,$C$7:$C$8,1))*INDEX($K$7:$K$8,MATCH(P9,$C$7:$C$8,1)))</f>
        <v>11690.569165982781</v>
      </c>
      <c r="T9" s="83">
        <f t="shared" si="2"/>
        <v>0</v>
      </c>
      <c r="U9" s="83">
        <f t="shared" si="3"/>
        <v>0</v>
      </c>
      <c r="V9" s="83">
        <f t="shared" si="4"/>
        <v>0.53138950754467185</v>
      </c>
      <c r="W9" s="83">
        <f t="shared" si="5"/>
        <v>0.53138950754467185</v>
      </c>
      <c r="X9" s="83">
        <f t="shared" si="6"/>
        <v>0</v>
      </c>
    </row>
    <row r="10" spans="3:24" x14ac:dyDescent="0.15">
      <c r="N10" s="83">
        <v>6</v>
      </c>
      <c r="O10" s="60">
        <f>基础信息!D15</f>
        <v>35.5</v>
      </c>
      <c r="P10" s="61">
        <f>基础信息!E15</f>
        <v>68.623430833504159</v>
      </c>
      <c r="Q10" s="61">
        <f>基础信息!F15</f>
        <v>61.20919943756077</v>
      </c>
      <c r="R10" s="80">
        <v>0.05</v>
      </c>
      <c r="S10" s="97">
        <f>MIN(求节点(其他调用!$B$4:$B$163,其他调用!$C$4:$C$163,Q10)*R10,P10/INDEX($D$7:$D$8,MATCH(P10,$C$7:$C$8,1))*INDEX($K$7:$K$8,MATCH(P10,$C$7:$C$8,1)))</f>
        <v>21273.202408619727</v>
      </c>
      <c r="T10" s="83">
        <f t="shared" si="2"/>
        <v>0</v>
      </c>
      <c r="U10" s="83">
        <f t="shared" si="3"/>
        <v>0</v>
      </c>
      <c r="V10" s="83">
        <f t="shared" si="4"/>
        <v>0.8180494763415036</v>
      </c>
      <c r="W10" s="83">
        <f t="shared" si="5"/>
        <v>0.8180494763415036</v>
      </c>
      <c r="X10" s="83">
        <f t="shared" si="6"/>
        <v>4.0951424113833103E-2</v>
      </c>
    </row>
    <row r="11" spans="3:24" x14ac:dyDescent="0.15">
      <c r="N11" s="83">
        <v>7</v>
      </c>
      <c r="O11" s="60">
        <f>基础信息!D16</f>
        <v>39.5</v>
      </c>
      <c r="P11" s="61">
        <f>基础信息!E16</f>
        <v>124.62134549299002</v>
      </c>
      <c r="Q11" s="61">
        <f>基础信息!F16</f>
        <v>69.722501590522299</v>
      </c>
      <c r="R11" s="80">
        <v>0.05</v>
      </c>
      <c r="S11" s="97">
        <f>MIN(求节点(其他调用!$B$4:$B$163,其他调用!$C$4:$C$163,Q11)*R11,P11/INDEX($D$7:$D$8,MATCH(P11,$C$7:$C$8,1))*INDEX($K$7:$K$8,MATCH(P11,$C$7:$C$8,1)))</f>
        <v>35109.553548184762</v>
      </c>
      <c r="T11" s="83">
        <f t="shared" si="2"/>
        <v>0</v>
      </c>
      <c r="U11" s="83">
        <f t="shared" si="3"/>
        <v>0</v>
      </c>
      <c r="V11" s="83">
        <f t="shared" si="4"/>
        <v>1.2319574164139619</v>
      </c>
      <c r="W11" s="83">
        <f t="shared" si="5"/>
        <v>1.2319574164139619</v>
      </c>
      <c r="X11" s="83">
        <f t="shared" si="6"/>
        <v>0.10008112983847001</v>
      </c>
    </row>
    <row r="12" spans="3:24" x14ac:dyDescent="0.15">
      <c r="N12" s="83">
        <v>8</v>
      </c>
      <c r="O12" s="60">
        <f>基础信息!D17</f>
        <v>43.5</v>
      </c>
      <c r="P12" s="61">
        <f>基础信息!E17</f>
        <v>225.68304366827394</v>
      </c>
      <c r="Q12" s="61">
        <f>基础信息!F17</f>
        <v>78.238948396428512</v>
      </c>
      <c r="R12" s="80">
        <v>0.05</v>
      </c>
      <c r="S12" s="97">
        <f>MIN(求节点(其他调用!$B$4:$B$163,其他调用!$C$4:$C$163,Q12)*R12,P12/INDEX($D$7:$D$8,MATCH(P12,$C$7:$C$8,1))*INDEX($K$7:$K$8,MATCH(P12,$C$7:$C$8,1)))</f>
        <v>55987.36482470957</v>
      </c>
      <c r="T12" s="83">
        <f t="shared" si="2"/>
        <v>0</v>
      </c>
      <c r="U12" s="83">
        <f>($S12-$S11)/INDEX($K$7:$K$8,MATCH($P12,$C$7:$C$8,1))*INDEX(F$7:F$8,MATCH($P12,$C$7:$C$8,1))+U11</f>
        <v>0</v>
      </c>
      <c r="V12" s="83">
        <f t="shared" si="4"/>
        <v>1.8565073263954734</v>
      </c>
      <c r="W12" s="83">
        <f t="shared" si="5"/>
        <v>1.8565073263954734</v>
      </c>
      <c r="X12" s="83">
        <f t="shared" si="6"/>
        <v>0.1893025455501145</v>
      </c>
    </row>
    <row r="13" spans="3:24" x14ac:dyDescent="0.15">
      <c r="N13" s="83">
        <v>9</v>
      </c>
      <c r="O13" s="60">
        <f>基础信息!D18</f>
        <v>47.5</v>
      </c>
      <c r="P13" s="61">
        <f>基础信息!E18</f>
        <v>407.83539826846607</v>
      </c>
      <c r="Q13" s="61">
        <f>基础信息!F18</f>
        <v>86.747293257864058</v>
      </c>
      <c r="R13" s="80">
        <v>0.05</v>
      </c>
      <c r="S13" s="97">
        <f>MIN(求节点(其他调用!$B$4:$B$163,其他调用!$C$4:$C$163,Q13)*R13,P13/INDEX($D$7:$D$8,MATCH(P13,$C$7:$C$8,1))*INDEX($K$7:$K$8,MATCH(P13,$C$7:$C$8,1)))</f>
        <v>90548.455916587511</v>
      </c>
      <c r="T13" s="83">
        <f t="shared" si="2"/>
        <v>0</v>
      </c>
      <c r="U13" s="83">
        <f t="shared" si="3"/>
        <v>0</v>
      </c>
      <c r="V13" s="83">
        <f t="shared" si="4"/>
        <v>2.8903861197422493</v>
      </c>
      <c r="W13" s="83">
        <f t="shared" si="5"/>
        <v>2.8903861197422493</v>
      </c>
      <c r="X13" s="83">
        <f t="shared" si="6"/>
        <v>0.33699951602822537</v>
      </c>
    </row>
    <row r="14" spans="3:24" x14ac:dyDescent="0.15">
      <c r="N14" s="83">
        <v>10</v>
      </c>
      <c r="O14" s="60">
        <f>基础信息!D19</f>
        <v>52</v>
      </c>
      <c r="P14" s="61">
        <f>基础信息!E19</f>
        <v>789.85301886939453</v>
      </c>
      <c r="Q14" s="61">
        <f>基础信息!F19</f>
        <v>96.265821375882837</v>
      </c>
      <c r="R14" s="80">
        <v>0.05</v>
      </c>
      <c r="S14" s="97">
        <f>MIN(求节点(其他调用!$B$4:$B$163,其他调用!$C$4:$C$163,Q14)*R14,P14/INDEX($D$7:$D$8,MATCH(P14,$C$7:$C$8,1))*INDEX($K$7:$K$8,MATCH(P14,$C$7:$C$8,1)))</f>
        <v>157121.77440348614</v>
      </c>
      <c r="T14" s="83">
        <f t="shared" si="2"/>
        <v>0</v>
      </c>
      <c r="U14" s="83">
        <f t="shared" si="3"/>
        <v>0</v>
      </c>
      <c r="V14" s="83">
        <f t="shared" si="4"/>
        <v>4.8818956471281059</v>
      </c>
      <c r="W14" s="83">
        <f t="shared" si="5"/>
        <v>4.8818956471281059</v>
      </c>
      <c r="X14" s="83">
        <f t="shared" si="6"/>
        <v>0.62150087708334767</v>
      </c>
    </row>
    <row r="15" spans="3:24" x14ac:dyDescent="0.15">
      <c r="N15" s="83">
        <v>11</v>
      </c>
      <c r="O15" s="60">
        <f>基础信息!D20</f>
        <v>57</v>
      </c>
      <c r="P15" s="61">
        <f>基础信息!E20</f>
        <v>1647.8248427703616</v>
      </c>
      <c r="Q15" s="61">
        <f>基础信息!F20</f>
        <v>106.86832874572353</v>
      </c>
      <c r="R15" s="80">
        <v>0.05</v>
      </c>
      <c r="S15" s="97">
        <f>MIN(求节点(其他调用!$B$4:$B$163,其他调用!$C$4:$C$163,Q15)*R15,P15/INDEX($D$7:$D$8,MATCH(P15,$C$7:$C$8,1))*INDEX($K$7:$K$8,MATCH(P15,$C$7:$C$8,1)))</f>
        <v>295216.46346549026</v>
      </c>
      <c r="T15" s="83">
        <f t="shared" si="2"/>
        <v>0</v>
      </c>
      <c r="U15" s="83">
        <f t="shared" si="3"/>
        <v>0</v>
      </c>
      <c r="V15" s="83">
        <f t="shared" si="4"/>
        <v>9.0129333541111336</v>
      </c>
      <c r="W15" s="83">
        <f t="shared" si="5"/>
        <v>9.0129333541111336</v>
      </c>
      <c r="X15" s="83">
        <f t="shared" si="6"/>
        <v>1.2116491209380662</v>
      </c>
    </row>
    <row r="16" spans="3:24" x14ac:dyDescent="0.15">
      <c r="N16" s="83">
        <v>12</v>
      </c>
      <c r="O16" s="60">
        <f>基础信息!D21</f>
        <v>62</v>
      </c>
      <c r="P16" s="61">
        <f>基础信息!E21</f>
        <v>3431.3522956038646</v>
      </c>
      <c r="Q16" s="61">
        <f>基础信息!F21</f>
        <v>117.44125295293078</v>
      </c>
      <c r="R16" s="80">
        <v>0.05</v>
      </c>
      <c r="S16" s="97">
        <f>MIN(求节点(其他调用!$B$4:$B$163,其他调用!$C$4:$C$163,Q16)*R16,P16/INDEX($D$7:$D$8,MATCH(P16,$C$7:$C$8,1))*INDEX($K$7:$K$8,MATCH(P16,$C$7:$C$8,1)))</f>
        <v>565607.22225380468</v>
      </c>
      <c r="T16" s="83">
        <f t="shared" si="2"/>
        <v>0</v>
      </c>
      <c r="U16" s="83">
        <f t="shared" si="3"/>
        <v>0</v>
      </c>
      <c r="V16" s="83">
        <f t="shared" si="4"/>
        <v>17.101545796496609</v>
      </c>
      <c r="W16" s="83">
        <f t="shared" si="5"/>
        <v>17.101545796496609</v>
      </c>
      <c r="X16" s="83">
        <f t="shared" si="6"/>
        <v>2.3671651841359909</v>
      </c>
    </row>
    <row r="17" spans="14:24" x14ac:dyDescent="0.15">
      <c r="N17" s="83">
        <v>13</v>
      </c>
      <c r="O17" s="60">
        <f>基础信息!D22</f>
        <v>67</v>
      </c>
      <c r="P17" s="61">
        <f>基础信息!E22</f>
        <v>7133.5498113340191</v>
      </c>
      <c r="Q17" s="61">
        <f>基础信息!F22</f>
        <v>128.00586023511804</v>
      </c>
      <c r="R17" s="80">
        <v>0.05</v>
      </c>
      <c r="S17" s="97">
        <f>MIN(求节点(其他调用!$B$4:$B$163,其他调用!$C$4:$C$163,Q17)*R17,P17/INDEX($D$7:$D$8,MATCH(P17,$C$7:$C$8,1))*INDEX($K$7:$K$8,MATCH(P17,$C$7:$C$8,1)))</f>
        <v>1101587.7378217387</v>
      </c>
      <c r="T17" s="83">
        <f t="shared" si="2"/>
        <v>0</v>
      </c>
      <c r="U17" s="83">
        <f t="shared" si="3"/>
        <v>0</v>
      </c>
      <c r="V17" s="83">
        <f t="shared" si="4"/>
        <v>33.135150963058734</v>
      </c>
      <c r="W17" s="83">
        <f t="shared" si="5"/>
        <v>33.135150963058734</v>
      </c>
      <c r="X17" s="83">
        <f t="shared" si="6"/>
        <v>4.6576802079305804</v>
      </c>
    </row>
    <row r="18" spans="14:24" x14ac:dyDescent="0.15">
      <c r="N18" s="83">
        <v>14</v>
      </c>
      <c r="O18" s="60">
        <f>基础信息!D23</f>
        <v>72</v>
      </c>
      <c r="P18" s="61">
        <f>基础信息!E23</f>
        <v>14808.205062920617</v>
      </c>
      <c r="Q18" s="61">
        <f>基础信息!F23</f>
        <v>138.53345528648683</v>
      </c>
      <c r="R18" s="80">
        <v>0.05</v>
      </c>
      <c r="S18" s="97">
        <f>MIN(求节点(其他调用!$B$4:$B$163,其他调用!$C$4:$C$163,Q18)*R18,P18/INDEX($D$7:$D$8,MATCH(P18,$C$7:$C$8,1))*INDEX($K$7:$K$8,MATCH(P18,$C$7:$C$8,1)))</f>
        <v>2174031.3798376122</v>
      </c>
      <c r="T18" s="83">
        <f t="shared" si="2"/>
        <v>0</v>
      </c>
      <c r="U18" s="83">
        <f t="shared" si="3"/>
        <v>0</v>
      </c>
      <c r="V18" s="83">
        <f t="shared" si="4"/>
        <v>65.216798373789999</v>
      </c>
      <c r="W18" s="83">
        <f t="shared" si="5"/>
        <v>65.216798373789999</v>
      </c>
      <c r="X18" s="83">
        <f t="shared" si="6"/>
        <v>9.2407726951779026</v>
      </c>
    </row>
    <row r="19" spans="14:24" x14ac:dyDescent="0.15">
      <c r="N19" s="83">
        <v>15</v>
      </c>
      <c r="O19" s="60">
        <f>基础信息!D24</f>
        <v>77</v>
      </c>
      <c r="P19" s="61">
        <f>基础信息!E24</f>
        <v>30698.011006346387</v>
      </c>
      <c r="Q19" s="61">
        <f>基础信息!F24</f>
        <v>149.05713970651243</v>
      </c>
      <c r="R19" s="80">
        <v>0.05</v>
      </c>
      <c r="S19" s="97">
        <f>MIN(求节点(其他调用!$B$4:$B$163,其他调用!$C$4:$C$163,Q19)*R19,P19/INDEX($D$7:$D$8,MATCH(P19,$C$7:$C$8,1))*INDEX($K$7:$K$8,MATCH(P19,$C$7:$C$8,1)))</f>
        <v>4335570.7283129422</v>
      </c>
      <c r="T19" s="83">
        <f t="shared" si="2"/>
        <v>0</v>
      </c>
      <c r="U19" s="83">
        <f t="shared" si="3"/>
        <v>0</v>
      </c>
      <c r="V19" s="83">
        <f t="shared" si="4"/>
        <v>129.87823187518876</v>
      </c>
      <c r="W19" s="83">
        <f t="shared" si="5"/>
        <v>129.87823187518876</v>
      </c>
      <c r="X19" s="83">
        <f t="shared" si="6"/>
        <v>18.478120338234866</v>
      </c>
    </row>
    <row r="20" spans="14:24" x14ac:dyDescent="0.15">
      <c r="N20" s="83">
        <v>16</v>
      </c>
      <c r="O20" s="60">
        <f>基础信息!D25</f>
        <v>80</v>
      </c>
      <c r="P20" s="61">
        <f>基础信息!E25</f>
        <v>47512.875</v>
      </c>
      <c r="Q20" s="61">
        <f>基础信息!F25</f>
        <v>155.35264798579232</v>
      </c>
      <c r="R20" s="80">
        <v>0.05</v>
      </c>
      <c r="S20" s="97">
        <f>MIN(求节点(其他调用!$B$4:$B$163,其他调用!$C$4:$C$163,Q20)*R20,P20/INDEX($D$7:$D$8,MATCH(P20,$C$7:$C$8,1))*INDEX($K$7:$K$8,MATCH(P20,$C$7:$C$8,1)))</f>
        <v>6593343.7545514898</v>
      </c>
      <c r="T20" s="83">
        <f t="shared" si="2"/>
        <v>0</v>
      </c>
      <c r="U20" s="83">
        <f t="shared" si="3"/>
        <v>0</v>
      </c>
      <c r="V20" s="83">
        <f t="shared" si="4"/>
        <v>197.41845060882054</v>
      </c>
      <c r="W20" s="83">
        <f t="shared" si="5"/>
        <v>197.41845060882054</v>
      </c>
      <c r="X20" s="83">
        <f t="shared" si="6"/>
        <v>28.126723014467977</v>
      </c>
    </row>
    <row r="21" spans="14:24" x14ac:dyDescent="0.15">
      <c r="N21" s="83"/>
      <c r="O21" s="83"/>
      <c r="P21" s="81"/>
      <c r="Q21" s="81"/>
    </row>
    <row r="22" spans="14:24" x14ac:dyDescent="0.15">
      <c r="N22" s="83"/>
      <c r="O22" s="83"/>
      <c r="P22" s="81"/>
      <c r="Q22" s="81"/>
    </row>
    <row r="23" spans="14:24" x14ac:dyDescent="0.15">
      <c r="N23" s="83" t="s">
        <v>1</v>
      </c>
      <c r="O23" s="83"/>
      <c r="P23" s="81"/>
      <c r="Q23" s="81"/>
      <c r="T23" s="127" t="s">
        <v>207</v>
      </c>
      <c r="U23" s="127"/>
      <c r="V23" s="127"/>
      <c r="W23" s="127"/>
      <c r="X23" s="127"/>
    </row>
    <row r="24" spans="14:24" x14ac:dyDescent="0.15">
      <c r="N24" s="83" t="s">
        <v>21</v>
      </c>
      <c r="O24" s="83" t="s">
        <v>121</v>
      </c>
      <c r="P24" s="81" t="s">
        <v>122</v>
      </c>
      <c r="Q24" s="81" t="s">
        <v>103</v>
      </c>
      <c r="R24" s="83" t="s">
        <v>204</v>
      </c>
      <c r="S24" s="83" t="s">
        <v>205</v>
      </c>
      <c r="T24" s="83" t="s">
        <v>104</v>
      </c>
      <c r="U24" s="83" t="s">
        <v>105</v>
      </c>
      <c r="V24" s="83" t="s">
        <v>106</v>
      </c>
      <c r="W24" s="83" t="s">
        <v>107</v>
      </c>
      <c r="X24" s="83" t="s">
        <v>108</v>
      </c>
    </row>
    <row r="25" spans="14:24" x14ac:dyDescent="0.15">
      <c r="N25" s="83">
        <v>1</v>
      </c>
      <c r="O25" s="60">
        <f>基础信息!D30</f>
        <v>16</v>
      </c>
      <c r="P25" s="61">
        <f>基础信息!E30</f>
        <v>2.0310175363141174</v>
      </c>
      <c r="Q25" s="61">
        <f>基础信息!F30</f>
        <v>17.420973982667814</v>
      </c>
      <c r="R25" s="80">
        <v>0.1</v>
      </c>
      <c r="S25" s="97">
        <f>MIN(求节点(其他调用!$B$4:$B$163,其他调用!$D$4:$D$163,Q25)*R25,P25/INDEX($D$7:$D$8,MATCH(P25,$C$7:$C$8,1))*INDEX($K$7:$K$8,MATCH(P25,$C$7:$C$8,1)))</f>
        <v>3120.5042837644432</v>
      </c>
      <c r="T25" s="91">
        <f>$S25/INDEX($K$7:$K$8,MATCH($P25,$C$7:$C$8,1))*INDEX(E$7:E$8,MATCH($P25,$C$7:$C$8,1))</f>
        <v>0</v>
      </c>
      <c r="U25" s="91">
        <f t="shared" ref="U25" si="7">$S25/INDEX($K$7:$K$8,MATCH($P25,$C$7:$C$8,1))*INDEX(F$7:F$8,MATCH($P25,$C$7:$C$8,1))</f>
        <v>0</v>
      </c>
      <c r="V25" s="91">
        <f t="shared" ref="V25" si="8">$S25/INDEX($K$7:$K$8,MATCH($P25,$C$7:$C$8,1))*INDEX(G$7:G$8,MATCH($P25,$C$7:$C$8,1))</f>
        <v>0.14184110380747469</v>
      </c>
      <c r="W25" s="91">
        <f t="shared" ref="W25" si="9">$S25/INDEX($K$7:$K$8,MATCH($P25,$C$7:$C$8,1))*INDEX(H$7:H$8,MATCH($P25,$C$7:$C$8,1))</f>
        <v>0.14184110380747469</v>
      </c>
      <c r="X25" s="91">
        <f t="shared" ref="X25" si="10">$S25/INDEX($K$7:$K$8,MATCH($P25,$C$7:$C$8,1))*INDEX(I$7:I$8,MATCH($P25,$C$7:$C$8,1))</f>
        <v>0</v>
      </c>
    </row>
    <row r="26" spans="14:24" x14ac:dyDescent="0.15">
      <c r="N26" s="83">
        <v>2</v>
      </c>
      <c r="O26" s="60">
        <f>基础信息!D31</f>
        <v>19.5</v>
      </c>
      <c r="P26" s="61">
        <f>基础信息!E31</f>
        <v>3.8583180257323662</v>
      </c>
      <c r="Q26" s="61">
        <f>基础信息!F31</f>
        <v>24.411235857114818</v>
      </c>
      <c r="R26" s="80">
        <v>0.1</v>
      </c>
      <c r="S26" s="97">
        <f>MIN(求节点(其他调用!$B$4:$B$163,其他调用!$D$4:$D$163,Q26)*R26,P26/INDEX($D$7:$D$8,MATCH(P26,$C$7:$C$8,1))*INDEX($K$7:$K$8,MATCH(P26,$C$7:$C$8,1)))</f>
        <v>5185.8338003257704</v>
      </c>
      <c r="T26" s="83">
        <f>($S26-$S25)/INDEX($K$7:$K$8,MATCH($P26,$C$7:$C$8,1))*INDEX(E$7:E$8,MATCH($P26,$C$7:$C$8,1))+T25</f>
        <v>0</v>
      </c>
      <c r="U26" s="83">
        <f t="shared" ref="U26:U40" si="11">($S26-$S25)/INDEX($K$7:$K$8,MATCH($P26,$C$7:$C$8,1))*INDEX(F$7:F$8,MATCH($P26,$C$7:$C$8,1))+U25</f>
        <v>0</v>
      </c>
      <c r="V26" s="83">
        <f t="shared" ref="V26:V40" si="12">($S26-$S25)/INDEX($K$7:$K$8,MATCH($P26,$C$7:$C$8,1))*INDEX(G$7:G$8,MATCH($P26,$C$7:$C$8,1))+V25</f>
        <v>0.23571971819662593</v>
      </c>
      <c r="W26" s="83">
        <f t="shared" ref="W26:W40" si="13">($S26-$S25)/INDEX($K$7:$K$8,MATCH($P26,$C$7:$C$8,1))*INDEX(H$7:H$8,MATCH($P26,$C$7:$C$8,1))+W25</f>
        <v>0.23571971819662593</v>
      </c>
      <c r="X26" s="83">
        <f t="shared" ref="X26:X40" si="14">($S26-$S25)/INDEX($K$7:$K$8,MATCH($P26,$C$7:$C$8,1))*INDEX(I$7:I$8,MATCH($P26,$C$7:$C$8,1))+X25</f>
        <v>0</v>
      </c>
    </row>
    <row r="27" spans="14:24" x14ac:dyDescent="0.15">
      <c r="N27" s="83">
        <v>3</v>
      </c>
      <c r="O27" s="60">
        <f>基础信息!D32</f>
        <v>23.5</v>
      </c>
      <c r="P27" s="61">
        <f>基础信息!E32</f>
        <v>7.7240111017275384</v>
      </c>
      <c r="Q27" s="61">
        <f>基础信息!F32</f>
        <v>33.019343244153319</v>
      </c>
      <c r="R27" s="80">
        <v>0.1</v>
      </c>
      <c r="S27" s="97">
        <f>MIN(求节点(其他调用!$B$4:$B$163,其他调用!$D$4:$D$163,Q27)*R27,P27/INDEX($D$7:$D$8,MATCH(P27,$C$7:$C$8,1))*INDEX($K$7:$K$8,MATCH(P27,$C$7:$C$8,1)))</f>
        <v>9320.1921027081044</v>
      </c>
      <c r="T27" s="83">
        <f t="shared" ref="T27:T40" si="15">($S27-$S26)/INDEX($K$7:$K$8,MATCH($P27,$C$7:$C$8,1))*INDEX(E$7:E$8,MATCH($P27,$C$7:$C$8,1))+T26</f>
        <v>0</v>
      </c>
      <c r="U27" s="83">
        <f t="shared" si="11"/>
        <v>0</v>
      </c>
      <c r="V27" s="83">
        <f t="shared" si="12"/>
        <v>0.42364509557764107</v>
      </c>
      <c r="W27" s="83">
        <f t="shared" si="13"/>
        <v>0.42364509557764107</v>
      </c>
      <c r="X27" s="83">
        <f t="shared" si="14"/>
        <v>0</v>
      </c>
    </row>
    <row r="28" spans="14:24" x14ac:dyDescent="0.15">
      <c r="N28" s="83">
        <v>4</v>
      </c>
      <c r="O28" s="60">
        <f>基础信息!D33</f>
        <v>27.5</v>
      </c>
      <c r="P28" s="61">
        <f>基础信息!E33</f>
        <v>15.096178510388308</v>
      </c>
      <c r="Q28" s="61">
        <f>基础信息!F33</f>
        <v>41.92278306907852</v>
      </c>
      <c r="R28" s="80">
        <v>0.1</v>
      </c>
      <c r="S28" s="97">
        <f>MIN(求节点(其他调用!$B$4:$B$163,其他调用!$D$4:$D$163,Q28)*R28,P28/INDEX($D$7:$D$8,MATCH(P28,$C$7:$C$8,1))*INDEX($K$7:$K$8,MATCH(P28,$C$7:$C$8,1)))</f>
        <v>15236.251511983397</v>
      </c>
      <c r="T28" s="83">
        <f t="shared" si="15"/>
        <v>0</v>
      </c>
      <c r="U28" s="83">
        <f t="shared" si="11"/>
        <v>0</v>
      </c>
      <c r="V28" s="83">
        <f t="shared" si="12"/>
        <v>0.69255688690833628</v>
      </c>
      <c r="W28" s="83">
        <f t="shared" si="13"/>
        <v>0.69255688690833628</v>
      </c>
      <c r="X28" s="83">
        <f t="shared" si="14"/>
        <v>0</v>
      </c>
    </row>
    <row r="29" spans="14:24" x14ac:dyDescent="0.15">
      <c r="N29" s="83">
        <v>5</v>
      </c>
      <c r="O29" s="60">
        <f>基础信息!D34</f>
        <v>31.5</v>
      </c>
      <c r="P29" s="61">
        <f>基础信息!E34</f>
        <v>29.031391010864539</v>
      </c>
      <c r="Q29" s="61">
        <f>基础信息!F34</f>
        <v>51.047922371312225</v>
      </c>
      <c r="R29" s="80">
        <v>0.1</v>
      </c>
      <c r="S29" s="97">
        <f>MIN(求节点(其他调用!$B$4:$B$163,其他调用!$D$4:$D$163,Q29)*R29,P29/INDEX($D$7:$D$8,MATCH(P29,$C$7:$C$8,1))*INDEX($K$7:$K$8,MATCH(P29,$C$7:$C$8,1)))</f>
        <v>26153.859165789177</v>
      </c>
      <c r="T29" s="83">
        <f t="shared" si="15"/>
        <v>0</v>
      </c>
      <c r="U29" s="83">
        <f t="shared" si="11"/>
        <v>0</v>
      </c>
      <c r="V29" s="83">
        <f t="shared" si="12"/>
        <v>1.1888117802631444</v>
      </c>
      <c r="W29" s="83">
        <f t="shared" si="13"/>
        <v>1.1888117802631444</v>
      </c>
      <c r="X29" s="83">
        <f t="shared" si="14"/>
        <v>0</v>
      </c>
    </row>
    <row r="30" spans="14:24" x14ac:dyDescent="0.15">
      <c r="N30" s="83">
        <v>6</v>
      </c>
      <c r="O30" s="60">
        <f>基础信息!D35</f>
        <v>35.5</v>
      </c>
      <c r="P30" s="61">
        <f>基础信息!E35</f>
        <v>54.898744666803331</v>
      </c>
      <c r="Q30" s="61">
        <f>基础信息!F35</f>
        <v>60.077170204921828</v>
      </c>
      <c r="R30" s="80">
        <v>0.1</v>
      </c>
      <c r="S30" s="97">
        <f>MIN(求节点(其他调用!$B$4:$B$163,其他调用!$D$4:$D$163,Q30)*R30,P30/INDEX($D$7:$D$8,MATCH(P30,$C$7:$C$8,1))*INDEX($K$7:$K$8,MATCH(P30,$C$7:$C$8,1)))</f>
        <v>47327.581509311967</v>
      </c>
      <c r="T30" s="83">
        <f t="shared" si="15"/>
        <v>0</v>
      </c>
      <c r="U30" s="83">
        <f t="shared" si="11"/>
        <v>0</v>
      </c>
      <c r="V30" s="83">
        <f t="shared" si="12"/>
        <v>2.1512537049687257</v>
      </c>
      <c r="W30" s="83">
        <f t="shared" si="13"/>
        <v>2.1512537049687257</v>
      </c>
      <c r="X30" s="83">
        <f t="shared" si="14"/>
        <v>0</v>
      </c>
    </row>
    <row r="31" spans="14:24" x14ac:dyDescent="0.15">
      <c r="N31" s="83">
        <v>7</v>
      </c>
      <c r="O31" s="60">
        <f>基础信息!D36</f>
        <v>39.5</v>
      </c>
      <c r="P31" s="61">
        <f>基础信息!E36</f>
        <v>99.697076394392013</v>
      </c>
      <c r="Q31" s="61">
        <f>基础信息!F36</f>
        <v>68.578677703814634</v>
      </c>
      <c r="R31" s="80">
        <v>0.1</v>
      </c>
      <c r="S31" s="97">
        <f>MIN(求节点(其他调用!$B$4:$B$163,其他调用!$D$4:$D$163,Q31)*R31,P31/INDEX($D$7:$D$8,MATCH(P31,$C$7:$C$8,1))*INDEX($K$7:$K$8,MATCH(P31,$C$7:$C$8,1)))</f>
        <v>82361.792892645855</v>
      </c>
      <c r="T31" s="83">
        <f t="shared" si="15"/>
        <v>0</v>
      </c>
      <c r="U31" s="83">
        <f t="shared" si="11"/>
        <v>0</v>
      </c>
      <c r="V31" s="83">
        <f t="shared" si="12"/>
        <v>3.1992856694274314</v>
      </c>
      <c r="W31" s="83">
        <f t="shared" si="13"/>
        <v>3.1992856694274314</v>
      </c>
      <c r="X31" s="83">
        <f t="shared" si="14"/>
        <v>0.14971885206552943</v>
      </c>
    </row>
    <row r="32" spans="14:24" x14ac:dyDescent="0.15">
      <c r="N32" s="83">
        <v>8</v>
      </c>
      <c r="O32" s="60">
        <f>基础信息!D37</f>
        <v>43.5</v>
      </c>
      <c r="P32" s="61">
        <f>基础信息!E37</f>
        <v>180.54643493461919</v>
      </c>
      <c r="Q32" s="61">
        <f>基础信息!F37</f>
        <v>77.110082613456697</v>
      </c>
      <c r="R32" s="80">
        <v>0.1</v>
      </c>
      <c r="S32" s="97">
        <f>MIN(求节点(其他调用!$B$4:$B$163,其他调用!$D$4:$D$163,Q32)*R32,P32/INDEX($D$7:$D$8,MATCH(P32,$C$7:$C$8,1))*INDEX($K$7:$K$8,MATCH(P32,$C$7:$C$8,1)))</f>
        <v>134416.89695674193</v>
      </c>
      <c r="T32" s="83">
        <f t="shared" si="15"/>
        <v>0</v>
      </c>
      <c r="U32" s="83">
        <f t="shared" si="11"/>
        <v>0</v>
      </c>
      <c r="V32" s="83">
        <f t="shared" si="12"/>
        <v>4.7564896371568013</v>
      </c>
      <c r="W32" s="83">
        <f t="shared" si="13"/>
        <v>4.7564896371568013</v>
      </c>
      <c r="X32" s="83">
        <f t="shared" si="14"/>
        <v>0.37217656174115366</v>
      </c>
    </row>
    <row r="33" spans="14:24" x14ac:dyDescent="0.15">
      <c r="N33" s="83">
        <v>9</v>
      </c>
      <c r="O33" s="60">
        <f>基础信息!D38</f>
        <v>47.5</v>
      </c>
      <c r="P33" s="61">
        <f>基础信息!E38</f>
        <v>326.26831861477285</v>
      </c>
      <c r="Q33" s="61">
        <f>基础信息!F38</f>
        <v>85.652928267499789</v>
      </c>
      <c r="R33" s="80">
        <v>0.1</v>
      </c>
      <c r="S33" s="97">
        <f>MIN(求节点(其他调用!$B$4:$B$163,其他调用!$D$4:$D$163,Q33)*R33,P33/INDEX($D$7:$D$8,MATCH(P33,$C$7:$C$8,1))*INDEX($K$7:$K$8,MATCH(P33,$C$7:$C$8,1)))</f>
        <v>221248.5956620631</v>
      </c>
      <c r="T33" s="83">
        <f t="shared" si="15"/>
        <v>0</v>
      </c>
      <c r="U33" s="83">
        <f t="shared" si="11"/>
        <v>0</v>
      </c>
      <c r="V33" s="83">
        <f t="shared" si="12"/>
        <v>7.3540190856065806</v>
      </c>
      <c r="W33" s="83">
        <f t="shared" si="13"/>
        <v>7.3540190856065806</v>
      </c>
      <c r="X33" s="83">
        <f t="shared" si="14"/>
        <v>0.74325219723397917</v>
      </c>
    </row>
    <row r="34" spans="14:24" x14ac:dyDescent="0.15">
      <c r="N34" s="83">
        <v>10</v>
      </c>
      <c r="O34" s="60">
        <f>基础信息!D39</f>
        <v>52</v>
      </c>
      <c r="P34" s="61">
        <f>基础信息!E39</f>
        <v>631.88241509551563</v>
      </c>
      <c r="Q34" s="61">
        <f>基础信息!F39</f>
        <v>95.320056465518832</v>
      </c>
      <c r="R34" s="80">
        <v>0.1</v>
      </c>
      <c r="S34" s="97">
        <f>MIN(求节点(其他调用!$B$4:$B$163,其他调用!$D$4:$D$163,Q34)*R34,P34/INDEX($D$7:$D$8,MATCH(P34,$C$7:$C$8,1))*INDEX($K$7:$K$8,MATCH(P34,$C$7:$C$8,1)))</f>
        <v>392727.43090405851</v>
      </c>
      <c r="T34" s="83">
        <f t="shared" si="15"/>
        <v>0</v>
      </c>
      <c r="U34" s="83">
        <f t="shared" si="11"/>
        <v>0</v>
      </c>
      <c r="V34" s="83">
        <f t="shared" si="12"/>
        <v>12.483727832161998</v>
      </c>
      <c r="W34" s="83">
        <f t="shared" si="13"/>
        <v>12.483727832161998</v>
      </c>
      <c r="X34" s="83">
        <f t="shared" si="14"/>
        <v>1.4760677324561817</v>
      </c>
    </row>
    <row r="35" spans="14:24" x14ac:dyDescent="0.15">
      <c r="N35" s="83">
        <v>11</v>
      </c>
      <c r="O35" s="60">
        <f>基础信息!D40</f>
        <v>57</v>
      </c>
      <c r="P35" s="61">
        <f>基础信息!E40</f>
        <v>1318.2598742162893</v>
      </c>
      <c r="Q35" s="61">
        <f>基础信息!F40</f>
        <v>105.93060744042049</v>
      </c>
      <c r="R35" s="80">
        <v>0.1</v>
      </c>
      <c r="S35" s="97">
        <f>MIN(求节点(其他调用!$B$4:$B$163,其他调用!$D$4:$D$163,Q35)*R35,P35/INDEX($D$7:$D$8,MATCH(P35,$C$7:$C$8,1))*INDEX($K$7:$K$8,MATCH(P35,$C$7:$C$8,1)))</f>
        <v>757162.38655955135</v>
      </c>
      <c r="T35" s="83">
        <f t="shared" si="15"/>
        <v>0</v>
      </c>
      <c r="U35" s="83">
        <f t="shared" si="11"/>
        <v>0</v>
      </c>
      <c r="V35" s="83">
        <f t="shared" si="12"/>
        <v>23.38562821501862</v>
      </c>
      <c r="W35" s="83">
        <f t="shared" si="13"/>
        <v>23.38562821501862</v>
      </c>
      <c r="X35" s="83">
        <f t="shared" si="14"/>
        <v>3.0334820728642709</v>
      </c>
    </row>
    <row r="36" spans="14:24" x14ac:dyDescent="0.15">
      <c r="N36" s="83">
        <v>12</v>
      </c>
      <c r="O36" s="60">
        <f>基础信息!D41</f>
        <v>62</v>
      </c>
      <c r="P36" s="61">
        <f>基础信息!E41</f>
        <v>2745.081836483092</v>
      </c>
      <c r="Q36" s="61">
        <f>基础信息!F41</f>
        <v>116.57008716694446</v>
      </c>
      <c r="R36" s="80">
        <v>0.1</v>
      </c>
      <c r="S36" s="97">
        <f>MIN(求节点(其他调用!$B$4:$B$163,其他调用!$D$4:$D$163,Q36)*R36,P36/INDEX($D$7:$D$8,MATCH(P36,$C$7:$C$8,1))*INDEX($K$7:$K$8,MATCH(P36,$C$7:$C$8,1)))</f>
        <v>1482124.9009078229</v>
      </c>
      <c r="T36" s="83">
        <f t="shared" si="15"/>
        <v>0</v>
      </c>
      <c r="U36" s="83">
        <f t="shared" si="11"/>
        <v>0</v>
      </c>
      <c r="V36" s="83">
        <f t="shared" si="12"/>
        <v>45.072541037402814</v>
      </c>
      <c r="W36" s="83">
        <f t="shared" si="13"/>
        <v>45.072541037402814</v>
      </c>
      <c r="X36" s="83">
        <f t="shared" si="14"/>
        <v>6.1316124760620125</v>
      </c>
    </row>
    <row r="37" spans="14:24" x14ac:dyDescent="0.15">
      <c r="N37" s="83">
        <v>13</v>
      </c>
      <c r="O37" s="60">
        <f>基础信息!D42</f>
        <v>67</v>
      </c>
      <c r="P37" s="61">
        <f>基础信息!E42</f>
        <v>5706.8398490672153</v>
      </c>
      <c r="Q37" s="61">
        <f>基础信息!F42</f>
        <v>127.12838978012395</v>
      </c>
      <c r="R37" s="80">
        <v>0.1</v>
      </c>
      <c r="S37" s="97">
        <f>MIN(求节点(其他调用!$B$4:$B$163,其他调用!$D$4:$D$163,Q37)*R37,P37/INDEX($D$7:$D$8,MATCH(P37,$C$7:$C$8,1))*INDEX($K$7:$K$8,MATCH(P37,$C$7:$C$8,1)))</f>
        <v>2937512.4814410605</v>
      </c>
      <c r="T37" s="83">
        <f t="shared" si="15"/>
        <v>0</v>
      </c>
      <c r="U37" s="83">
        <f t="shared" si="11"/>
        <v>0</v>
      </c>
      <c r="V37" s="83">
        <f t="shared" si="12"/>
        <v>88.609776352499665</v>
      </c>
      <c r="W37" s="83">
        <f t="shared" si="13"/>
        <v>88.609776352499665</v>
      </c>
      <c r="X37" s="83">
        <f t="shared" si="14"/>
        <v>12.351217521075849</v>
      </c>
    </row>
    <row r="38" spans="14:24" x14ac:dyDescent="0.15">
      <c r="N38" s="83">
        <v>14</v>
      </c>
      <c r="O38" s="60">
        <f>基础信息!D43</f>
        <v>72</v>
      </c>
      <c r="P38" s="61">
        <f>基础信息!E43</f>
        <v>11846.564050336494</v>
      </c>
      <c r="Q38" s="61">
        <f>基础信息!F43</f>
        <v>137.70627422196659</v>
      </c>
      <c r="R38" s="80">
        <v>0.1</v>
      </c>
      <c r="S38" s="97">
        <f>MIN(求节点(其他调用!$B$4:$B$163,其他调用!$D$4:$D$163,Q38)*R38,P38/INDEX($D$7:$D$8,MATCH(P38,$C$7:$C$8,1))*INDEX($K$7:$K$8,MATCH(P38,$C$7:$C$8,1)))</f>
        <v>5877030.985718146</v>
      </c>
      <c r="T38" s="83">
        <f t="shared" si="15"/>
        <v>0</v>
      </c>
      <c r="U38" s="83">
        <f t="shared" si="11"/>
        <v>0</v>
      </c>
      <c r="V38" s="83">
        <f t="shared" si="12"/>
        <v>176.54409058301076</v>
      </c>
      <c r="W38" s="83">
        <f t="shared" si="13"/>
        <v>176.54409058301076</v>
      </c>
      <c r="X38" s="83">
        <f t="shared" si="14"/>
        <v>24.913262411148864</v>
      </c>
    </row>
    <row r="39" spans="14:24" x14ac:dyDescent="0.15">
      <c r="N39" s="83">
        <v>15</v>
      </c>
      <c r="O39" s="60">
        <f>基础信息!D44</f>
        <v>77</v>
      </c>
      <c r="P39" s="61">
        <f>基础信息!E44</f>
        <v>24558.40880507711</v>
      </c>
      <c r="Q39" s="61">
        <f>基础信息!F44</f>
        <v>148.27357279823164</v>
      </c>
      <c r="R39" s="80">
        <v>0.1</v>
      </c>
      <c r="S39" s="97">
        <f>MIN(求节点(其他调用!$B$4:$B$163,其他调用!$D$4:$D$163,Q39)*R39,P39/INDEX($D$7:$D$8,MATCH(P39,$C$7:$C$8,1))*INDEX($K$7:$K$8,MATCH(P39,$C$7:$C$8,1)))</f>
        <v>11847728.714448528</v>
      </c>
      <c r="T39" s="83">
        <f t="shared" si="15"/>
        <v>0</v>
      </c>
      <c r="U39" s="83">
        <f t="shared" si="11"/>
        <v>0</v>
      </c>
      <c r="V39" s="83">
        <f t="shared" si="12"/>
        <v>355.15470639973159</v>
      </c>
      <c r="W39" s="83">
        <f t="shared" si="13"/>
        <v>355.15470639973159</v>
      </c>
      <c r="X39" s="83">
        <f t="shared" si="14"/>
        <v>50.429064670680411</v>
      </c>
    </row>
    <row r="40" spans="14:24" x14ac:dyDescent="0.15">
      <c r="N40" s="83">
        <v>16</v>
      </c>
      <c r="O40" s="60">
        <f>基础信息!D45</f>
        <v>80</v>
      </c>
      <c r="P40" s="61">
        <f>基础信息!E45</f>
        <v>38010.300000000003</v>
      </c>
      <c r="Q40" s="61">
        <f>基础信息!F45</f>
        <v>154.14666602127767</v>
      </c>
      <c r="R40" s="80">
        <v>0.1</v>
      </c>
      <c r="S40" s="97">
        <f>MIN(求节点(其他调用!$B$4:$B$163,其他调用!$D$4:$D$163,Q40)*R40,P40/INDEX($D$7:$D$8,MATCH(P40,$C$7:$C$8,1))*INDEX($K$7:$K$8,MATCH(P40,$C$7:$C$8,1)))</f>
        <v>18087805.296480853</v>
      </c>
      <c r="T40" s="83">
        <f t="shared" si="15"/>
        <v>0</v>
      </c>
      <c r="U40" s="83">
        <f t="shared" si="11"/>
        <v>0</v>
      </c>
      <c r="V40" s="83">
        <f t="shared" si="12"/>
        <v>541.82366398189515</v>
      </c>
      <c r="W40" s="83">
        <f t="shared" si="13"/>
        <v>541.82366398189515</v>
      </c>
      <c r="X40" s="83">
        <f t="shared" si="14"/>
        <v>77.096058610989488</v>
      </c>
    </row>
    <row r="41" spans="14:24" x14ac:dyDescent="0.15">
      <c r="N41" s="83"/>
      <c r="O41" s="83"/>
      <c r="P41" s="81"/>
      <c r="Q41" s="81"/>
    </row>
    <row r="42" spans="14:24" x14ac:dyDescent="0.15">
      <c r="N42" s="83"/>
      <c r="O42" s="83"/>
      <c r="P42" s="81"/>
      <c r="Q42" s="81"/>
    </row>
    <row r="43" spans="14:24" x14ac:dyDescent="0.15">
      <c r="N43" s="83" t="s">
        <v>2</v>
      </c>
      <c r="O43" s="83"/>
      <c r="P43" s="81"/>
      <c r="Q43" s="81"/>
      <c r="T43" s="127" t="s">
        <v>207</v>
      </c>
      <c r="U43" s="127"/>
      <c r="V43" s="127"/>
      <c r="W43" s="127"/>
      <c r="X43" s="127"/>
    </row>
    <row r="44" spans="14:24" x14ac:dyDescent="0.15">
      <c r="N44" s="83" t="s">
        <v>21</v>
      </c>
      <c r="O44" s="83" t="s">
        <v>121</v>
      </c>
      <c r="P44" s="81" t="s">
        <v>122</v>
      </c>
      <c r="Q44" s="81" t="s">
        <v>103</v>
      </c>
      <c r="R44" s="83" t="s">
        <v>204</v>
      </c>
      <c r="S44" s="83" t="s">
        <v>205</v>
      </c>
      <c r="T44" s="83" t="s">
        <v>104</v>
      </c>
      <c r="U44" s="83" t="s">
        <v>105</v>
      </c>
      <c r="V44" s="83" t="s">
        <v>106</v>
      </c>
      <c r="W44" s="83" t="s">
        <v>107</v>
      </c>
      <c r="X44" s="83" t="s">
        <v>108</v>
      </c>
    </row>
    <row r="45" spans="14:24" x14ac:dyDescent="0.15">
      <c r="N45" s="83">
        <v>1</v>
      </c>
      <c r="O45" s="60">
        <f>基础信息!D50</f>
        <v>16</v>
      </c>
      <c r="P45" s="61">
        <f>基础信息!E50</f>
        <v>1.5232631522355879</v>
      </c>
      <c r="Q45" s="61">
        <f>基础信息!F50</f>
        <v>16.55360159735687</v>
      </c>
      <c r="R45" s="80">
        <v>0.15</v>
      </c>
      <c r="S45" s="97">
        <f>MIN(求节点(其他调用!$B$4:$B$163,其他调用!$E$4:$E$163,Q45)*R45,P45/INDEX($D$7:$D$8,MATCH(P45,$C$7:$C$8,1))*INDEX($K$7:$K$8,MATCH(P45,$C$7:$C$8,1)))</f>
        <v>6032.2583995303767</v>
      </c>
      <c r="T45" s="91">
        <f>$S45/INDEX($K$7:$K$8,MATCH($P45,$C$7:$C$8,1))*INDEX(E$7:E$8,MATCH($P45,$C$7:$C$8,1))</f>
        <v>0</v>
      </c>
      <c r="U45" s="91">
        <f t="shared" ref="U45" si="16">$S45/INDEX($K$7:$K$8,MATCH($P45,$C$7:$C$8,1))*INDEX(F$7:F$8,MATCH($P45,$C$7:$C$8,1))</f>
        <v>0</v>
      </c>
      <c r="V45" s="91">
        <f t="shared" ref="V45" si="17">$S45/INDEX($K$7:$K$8,MATCH($P45,$C$7:$C$8,1))*INDEX(G$7:G$8,MATCH($P45,$C$7:$C$8,1))</f>
        <v>0.27419356361501712</v>
      </c>
      <c r="W45" s="91">
        <f t="shared" ref="W45" si="18">$S45/INDEX($K$7:$K$8,MATCH($P45,$C$7:$C$8,1))*INDEX(H$7:H$8,MATCH($P45,$C$7:$C$8,1))</f>
        <v>0.27419356361501712</v>
      </c>
      <c r="X45" s="91">
        <f t="shared" ref="X45" si="19">$S45/INDEX($K$7:$K$8,MATCH($P45,$C$7:$C$8,1))*INDEX(I$7:I$8,MATCH($P45,$C$7:$C$8,1))</f>
        <v>0</v>
      </c>
    </row>
    <row r="46" spans="14:24" x14ac:dyDescent="0.15">
      <c r="N46" s="83">
        <v>2</v>
      </c>
      <c r="O46" s="60">
        <f>基础信息!D51</f>
        <v>19.5</v>
      </c>
      <c r="P46" s="61">
        <f>基础信息!E51</f>
        <v>2.8937385192992746</v>
      </c>
      <c r="Q46" s="61">
        <f>基础信息!F51</f>
        <v>23.331269805933818</v>
      </c>
      <c r="R46" s="80">
        <v>0.15</v>
      </c>
      <c r="S46" s="97">
        <f>MIN(求节点(其他调用!$B$4:$B$163,其他调用!$E$4:$E$163,Q46)*R46,P46/INDEX($D$7:$D$8,MATCH(P46,$C$7:$C$8,1))*INDEX($K$7:$K$8,MATCH(P46,$C$7:$C$8,1)))</f>
        <v>9634.0504764180278</v>
      </c>
      <c r="T46" s="83">
        <f>($S46-$S45)/INDEX($K$7:$K$8,MATCH($P46,$C$7:$C$8,1))*INDEX(E$7:E$8,MATCH($P46,$C$7:$C$8,1))+T45</f>
        <v>0</v>
      </c>
      <c r="U46" s="83">
        <f t="shared" ref="U46:U60" si="20">($S46-$S45)/INDEX($K$7:$K$8,MATCH($P46,$C$7:$C$8,1))*INDEX(F$7:F$8,MATCH($P46,$C$7:$C$8,1))+U45</f>
        <v>0</v>
      </c>
      <c r="V46" s="83">
        <f t="shared" ref="V46:V60" si="21">($S46-$S45)/INDEX($K$7:$K$8,MATCH($P46,$C$7:$C$8,1))*INDEX(G$7:G$8,MATCH($P46,$C$7:$C$8,1))+V45</f>
        <v>0.43791138529172857</v>
      </c>
      <c r="W46" s="83">
        <f t="shared" ref="W46:W60" si="22">($S46-$S45)/INDEX($K$7:$K$8,MATCH($P46,$C$7:$C$8,1))*INDEX(H$7:H$8,MATCH($P46,$C$7:$C$8,1))+W45</f>
        <v>0.43791138529172857</v>
      </c>
      <c r="X46" s="83">
        <f t="shared" ref="X46:X60" si="23">($S46-$S45)/INDEX($K$7:$K$8,MATCH($P46,$C$7:$C$8,1))*INDEX(I$7:I$8,MATCH($P46,$C$7:$C$8,1))+X45</f>
        <v>0</v>
      </c>
    </row>
    <row r="47" spans="14:24" x14ac:dyDescent="0.15">
      <c r="N47" s="83">
        <v>3</v>
      </c>
      <c r="O47" s="60">
        <f>基础信息!D52</f>
        <v>23.5</v>
      </c>
      <c r="P47" s="61">
        <f>基础信息!E52</f>
        <v>5.793008326295654</v>
      </c>
      <c r="Q47" s="61">
        <f>基础信息!F52</f>
        <v>31.744234316265171</v>
      </c>
      <c r="R47" s="80">
        <v>0.15</v>
      </c>
      <c r="S47" s="97">
        <f>MIN(求节点(其他调用!$B$4:$B$163,其他调用!$E$4:$E$163,Q47)*R47,P47/INDEX($D$7:$D$8,MATCH(P47,$C$7:$C$8,1))*INDEX($K$7:$K$8,MATCH(P47,$C$7:$C$8,1)))</f>
        <v>17253.718272398102</v>
      </c>
      <c r="T47" s="83">
        <f t="shared" ref="T47:T60" si="24">($S47-$S46)/INDEX($K$7:$K$8,MATCH($P47,$C$7:$C$8,1))*INDEX(E$7:E$8,MATCH($P47,$C$7:$C$8,1))+T46</f>
        <v>0</v>
      </c>
      <c r="U47" s="83">
        <f t="shared" si="20"/>
        <v>0</v>
      </c>
      <c r="V47" s="83">
        <f t="shared" si="21"/>
        <v>0.78425992147264101</v>
      </c>
      <c r="W47" s="83">
        <f t="shared" si="22"/>
        <v>0.78425992147264101</v>
      </c>
      <c r="X47" s="83">
        <f t="shared" si="23"/>
        <v>0</v>
      </c>
    </row>
    <row r="48" spans="14:24" x14ac:dyDescent="0.15">
      <c r="N48" s="83">
        <v>4</v>
      </c>
      <c r="O48" s="60">
        <f>基础信息!D53</f>
        <v>27.5</v>
      </c>
      <c r="P48" s="61">
        <f>基础信息!E53</f>
        <v>11.322133882791231</v>
      </c>
      <c r="Q48" s="61">
        <f>基础信息!F53</f>
        <v>40.643027415884688</v>
      </c>
      <c r="R48" s="80">
        <v>0.15</v>
      </c>
      <c r="S48" s="97">
        <f>MIN(求节点(其他调用!$B$4:$B$163,其他调用!$E$4:$E$163,Q48)*R48,P48/INDEX($D$7:$D$8,MATCH(P48,$C$7:$C$8,1))*INDEX($K$7:$K$8,MATCH(P48,$C$7:$C$8,1)))</f>
        <v>29265.159320037412</v>
      </c>
      <c r="T48" s="83">
        <f t="shared" si="24"/>
        <v>0</v>
      </c>
      <c r="U48" s="83">
        <f t="shared" si="20"/>
        <v>0</v>
      </c>
      <c r="V48" s="83">
        <f t="shared" si="21"/>
        <v>1.330234514547155</v>
      </c>
      <c r="W48" s="83">
        <f t="shared" si="22"/>
        <v>1.330234514547155</v>
      </c>
      <c r="X48" s="83">
        <f t="shared" si="23"/>
        <v>0</v>
      </c>
    </row>
    <row r="49" spans="14:24" x14ac:dyDescent="0.15">
      <c r="N49" s="83">
        <v>5</v>
      </c>
      <c r="O49" s="60">
        <f>基础信息!D54</f>
        <v>31.5</v>
      </c>
      <c r="P49" s="61">
        <f>基础信息!E54</f>
        <v>21.773543258148401</v>
      </c>
      <c r="Q49" s="61">
        <f>基础信息!F54</f>
        <v>49.709437467755208</v>
      </c>
      <c r="R49" s="80">
        <v>0.15</v>
      </c>
      <c r="S49" s="97">
        <f>MIN(求节点(其他调用!$B$4:$B$163,其他调用!$E$4:$E$163,Q49)*R49,P49/INDEX($D$7:$D$8,MATCH(P49,$C$7:$C$8,1))*INDEX($K$7:$K$8,MATCH(P49,$C$7:$C$8,1)))</f>
        <v>49655.567473623334</v>
      </c>
      <c r="T49" s="83">
        <f t="shared" si="24"/>
        <v>0</v>
      </c>
      <c r="U49" s="83">
        <f t="shared" si="20"/>
        <v>0</v>
      </c>
      <c r="V49" s="83">
        <f t="shared" si="21"/>
        <v>2.2570712488010605</v>
      </c>
      <c r="W49" s="83">
        <f t="shared" si="22"/>
        <v>2.2570712488010605</v>
      </c>
      <c r="X49" s="83">
        <f t="shared" si="23"/>
        <v>0</v>
      </c>
    </row>
    <row r="50" spans="14:24" x14ac:dyDescent="0.15">
      <c r="N50" s="83">
        <v>6</v>
      </c>
      <c r="O50" s="60">
        <f>基础信息!D55</f>
        <v>35.5</v>
      </c>
      <c r="P50" s="61">
        <f>基础信息!E55</f>
        <v>41.174058500102497</v>
      </c>
      <c r="Q50" s="61">
        <f>基础信息!F55</f>
        <v>58.803150706157098</v>
      </c>
      <c r="R50" s="80">
        <v>0.15</v>
      </c>
      <c r="S50" s="97">
        <f>MIN(求节点(其他调用!$B$4:$B$163,其他调用!$E$4:$E$163,Q50)*R50,P50/INDEX($D$7:$D$8,MATCH(P50,$C$7:$C$8,1))*INDEX($K$7:$K$8,MATCH(P50,$C$7:$C$8,1)))</f>
        <v>88018.815476760923</v>
      </c>
      <c r="T50" s="83">
        <f t="shared" si="24"/>
        <v>0</v>
      </c>
      <c r="U50" s="83">
        <f t="shared" si="20"/>
        <v>0</v>
      </c>
      <c r="V50" s="83">
        <f t="shared" si="21"/>
        <v>4.0008552489436777</v>
      </c>
      <c r="W50" s="83">
        <f t="shared" si="22"/>
        <v>4.0008552489436777</v>
      </c>
      <c r="X50" s="83">
        <f t="shared" si="23"/>
        <v>0</v>
      </c>
    </row>
    <row r="51" spans="14:24" x14ac:dyDescent="0.15">
      <c r="N51" s="83">
        <v>7</v>
      </c>
      <c r="O51" s="60">
        <f>基础信息!D56</f>
        <v>39.5</v>
      </c>
      <c r="P51" s="61">
        <f>基础信息!E56</f>
        <v>74.77280729579401</v>
      </c>
      <c r="Q51" s="61">
        <f>基础信息!F56</f>
        <v>67.298489171654538</v>
      </c>
      <c r="R51" s="80">
        <v>0.15</v>
      </c>
      <c r="S51" s="97">
        <f>MIN(求节点(其他调用!$B$4:$B$163,其他调用!$E$4:$E$163,Q51)*R51,P51/INDEX($D$7:$D$8,MATCH(P51,$C$7:$C$8,1))*INDEX($K$7:$K$8,MATCH(P51,$C$7:$C$8,1)))</f>
        <v>155914.99542588257</v>
      </c>
      <c r="T51" s="83">
        <f t="shared" si="24"/>
        <v>0</v>
      </c>
      <c r="U51" s="83">
        <f t="shared" si="20"/>
        <v>0</v>
      </c>
      <c r="V51" s="83">
        <f t="shared" si="21"/>
        <v>6.0319375551139833</v>
      </c>
      <c r="W51" s="83">
        <f t="shared" si="22"/>
        <v>6.0319375551139833</v>
      </c>
      <c r="X51" s="83">
        <f t="shared" si="23"/>
        <v>0.29015461516718655</v>
      </c>
    </row>
    <row r="52" spans="14:24" x14ac:dyDescent="0.15">
      <c r="N52" s="83">
        <v>8</v>
      </c>
      <c r="O52" s="60">
        <f>基础信息!D57</f>
        <v>43.5</v>
      </c>
      <c r="P52" s="61">
        <f>基础信息!E57</f>
        <v>135.40982620096435</v>
      </c>
      <c r="Q52" s="61">
        <f>基础信息!F57</f>
        <v>75.878784655965617</v>
      </c>
      <c r="R52" s="80">
        <v>0.15</v>
      </c>
      <c r="S52" s="97">
        <f>MIN(求节点(其他调用!$B$4:$B$163,其他调用!$E$4:$E$163,Q52)*R52,P52/INDEX($D$7:$D$8,MATCH(P52,$C$7:$C$8,1))*INDEX($K$7:$K$8,MATCH(P52,$C$7:$C$8,1)))</f>
        <v>265312.43771976774</v>
      </c>
      <c r="T52" s="83">
        <f t="shared" si="24"/>
        <v>0</v>
      </c>
      <c r="U52" s="83">
        <f t="shared" si="20"/>
        <v>0</v>
      </c>
      <c r="V52" s="83">
        <f t="shared" si="21"/>
        <v>9.3045106151874712</v>
      </c>
      <c r="W52" s="83">
        <f t="shared" si="22"/>
        <v>9.3045106151874712</v>
      </c>
      <c r="X52" s="83">
        <f t="shared" si="23"/>
        <v>0.75766505232054193</v>
      </c>
    </row>
    <row r="53" spans="14:24" x14ac:dyDescent="0.15">
      <c r="N53" s="83">
        <v>9</v>
      </c>
      <c r="O53" s="60">
        <f>基础信息!D58</f>
        <v>47.5</v>
      </c>
      <c r="P53" s="61">
        <f>基础信息!E58</f>
        <v>244.70123896107964</v>
      </c>
      <c r="Q53" s="61">
        <f>基础信息!F58</f>
        <v>84.446314672957783</v>
      </c>
      <c r="R53" s="80">
        <v>0.15</v>
      </c>
      <c r="S53" s="97">
        <f>MIN(求节点(其他调用!$B$4:$B$163,其他调用!$E$4:$E$163,Q53)*R53,P53/INDEX($D$7:$D$8,MATCH(P53,$C$7:$C$8,1))*INDEX($K$7:$K$8,MATCH(P53,$C$7:$C$8,1)))</f>
        <v>449312.7308212113</v>
      </c>
      <c r="T53" s="83">
        <f t="shared" si="24"/>
        <v>0</v>
      </c>
      <c r="U53" s="83">
        <f t="shared" si="20"/>
        <v>0</v>
      </c>
      <c r="V53" s="83">
        <f t="shared" si="21"/>
        <v>14.808792887452878</v>
      </c>
      <c r="W53" s="83">
        <f t="shared" si="22"/>
        <v>14.808792887452878</v>
      </c>
      <c r="X53" s="83">
        <f t="shared" si="23"/>
        <v>1.5439910912155999</v>
      </c>
    </row>
    <row r="54" spans="14:24" x14ac:dyDescent="0.15">
      <c r="N54" s="83">
        <v>10</v>
      </c>
      <c r="O54" s="60">
        <f>基础信息!D59</f>
        <v>52</v>
      </c>
      <c r="P54" s="61">
        <f>基础信息!E59</f>
        <v>473.91181132163672</v>
      </c>
      <c r="Q54" s="61">
        <f>基础信息!F59</f>
        <v>94.309081972684396</v>
      </c>
      <c r="R54" s="80">
        <v>0.15</v>
      </c>
      <c r="S54" s="97">
        <f>MIN(求节点(其他调用!$B$4:$B$163,其他调用!$E$4:$E$163,Q54)*R54,P54/INDEX($D$7:$D$8,MATCH(P54,$C$7:$C$8,1))*INDEX($K$7:$K$8,MATCH(P54,$C$7:$C$8,1)))</f>
        <v>820345.90668218886</v>
      </c>
      <c r="T54" s="83">
        <f t="shared" si="24"/>
        <v>0</v>
      </c>
      <c r="U54" s="83">
        <f t="shared" si="20"/>
        <v>0</v>
      </c>
      <c r="V54" s="83">
        <f t="shared" si="21"/>
        <v>25.908075926029131</v>
      </c>
      <c r="W54" s="83">
        <f t="shared" si="22"/>
        <v>25.908075926029131</v>
      </c>
      <c r="X54" s="83">
        <f t="shared" si="23"/>
        <v>3.1296029538693499</v>
      </c>
    </row>
    <row r="55" spans="14:24" x14ac:dyDescent="0.15">
      <c r="N55" s="83">
        <v>11</v>
      </c>
      <c r="O55" s="60">
        <f>基础信息!D60</f>
        <v>57</v>
      </c>
      <c r="P55" s="61">
        <f>基础信息!E60</f>
        <v>988.69490566221691</v>
      </c>
      <c r="Q55" s="61">
        <f>基础信息!F60</f>
        <v>104.93378702762401</v>
      </c>
      <c r="R55" s="80">
        <v>0.15</v>
      </c>
      <c r="S55" s="97">
        <f>MIN(求节点(其他调用!$B$4:$B$163,其他调用!$E$4:$E$163,Q55)*R55,P55/INDEX($D$7:$D$8,MATCH(P55,$C$7:$C$8,1))*INDEX($K$7:$K$8,MATCH(P55,$C$7:$C$8,1)))</f>
        <v>1623917.8808712827</v>
      </c>
      <c r="T55" s="83">
        <f t="shared" si="24"/>
        <v>0</v>
      </c>
      <c r="U55" s="83">
        <f t="shared" si="20"/>
        <v>0</v>
      </c>
      <c r="V55" s="83">
        <f t="shared" si="21"/>
        <v>49.946553786386637</v>
      </c>
      <c r="W55" s="83">
        <f t="shared" si="22"/>
        <v>49.946553786386637</v>
      </c>
      <c r="X55" s="83">
        <f t="shared" si="23"/>
        <v>6.563671219634708</v>
      </c>
    </row>
    <row r="56" spans="14:24" x14ac:dyDescent="0.15">
      <c r="N56" s="83">
        <v>12</v>
      </c>
      <c r="O56" s="60">
        <f>基础信息!D61</f>
        <v>62</v>
      </c>
      <c r="P56" s="61">
        <f>基础信息!E61</f>
        <v>2058.8113773623186</v>
      </c>
      <c r="Q56" s="61">
        <f>基础信息!F61</f>
        <v>115.63935175516689</v>
      </c>
      <c r="R56" s="80">
        <v>0.15</v>
      </c>
      <c r="S56" s="97">
        <f>MIN(求节点(其他调用!$B$4:$B$163,其他调用!$E$4:$E$163,Q56)*R56,P56/INDEX($D$7:$D$8,MATCH(P56,$C$7:$C$8,1))*INDEX($K$7:$K$8,MATCH(P56,$C$7:$C$8,1)))</f>
        <v>3248053.5542218471</v>
      </c>
      <c r="T56" s="83">
        <f t="shared" si="24"/>
        <v>0</v>
      </c>
      <c r="U56" s="83">
        <f t="shared" si="20"/>
        <v>0</v>
      </c>
      <c r="V56" s="83">
        <f t="shared" si="21"/>
        <v>98.531808972087276</v>
      </c>
      <c r="W56" s="83">
        <f t="shared" si="22"/>
        <v>98.531808972087276</v>
      </c>
      <c r="X56" s="83">
        <f t="shared" si="23"/>
        <v>13.504421960449086</v>
      </c>
    </row>
    <row r="57" spans="14:24" x14ac:dyDescent="0.15">
      <c r="N57" s="83">
        <v>13</v>
      </c>
      <c r="O57" s="60">
        <f>基础信息!D62</f>
        <v>67</v>
      </c>
      <c r="P57" s="61">
        <f>基础信息!E62</f>
        <v>4280.1298868004114</v>
      </c>
      <c r="Q57" s="61">
        <f>基础信息!F62</f>
        <v>126.19151638854794</v>
      </c>
      <c r="R57" s="80">
        <v>0.15</v>
      </c>
      <c r="S57" s="97">
        <f>MIN(求节点(其他调用!$B$4:$B$163,其他调用!$E$4:$E$163,Q57)*R57,P57/INDEX($D$7:$D$8,MATCH(P57,$C$7:$C$8,1))*INDEX($K$7:$K$8,MATCH(P57,$C$7:$C$8,1)))</f>
        <v>6551408.0550025776</v>
      </c>
      <c r="T57" s="83">
        <f t="shared" si="24"/>
        <v>0</v>
      </c>
      <c r="U57" s="83">
        <f t="shared" si="20"/>
        <v>0</v>
      </c>
      <c r="V57" s="83">
        <f t="shared" si="21"/>
        <v>197.35010600398948</v>
      </c>
      <c r="W57" s="83">
        <f t="shared" si="22"/>
        <v>197.35010600398948</v>
      </c>
      <c r="X57" s="83">
        <f t="shared" si="23"/>
        <v>27.621321536435111</v>
      </c>
    </row>
    <row r="58" spans="14:24" x14ac:dyDescent="0.15">
      <c r="N58" s="83">
        <v>14</v>
      </c>
      <c r="O58" s="60">
        <f>基础信息!D63</f>
        <v>72</v>
      </c>
      <c r="P58" s="61">
        <f>基础信息!E63</f>
        <v>8884.9230377523691</v>
      </c>
      <c r="Q58" s="61">
        <f>基础信息!F63</f>
        <v>136.8190741194654</v>
      </c>
      <c r="R58" s="80">
        <v>0.15</v>
      </c>
      <c r="S58" s="97">
        <f>MIN(求节点(其他调用!$B$4:$B$163,其他调用!$E$4:$E$163,Q58)*R58,P58/INDEX($D$7:$D$8,MATCH(P58,$C$7:$C$8,1))*INDEX($K$7:$K$8,MATCH(P58,$C$7:$C$8,1)))</f>
        <v>13295640.674611453</v>
      </c>
      <c r="T58" s="83">
        <f t="shared" si="24"/>
        <v>0</v>
      </c>
      <c r="U58" s="83">
        <f t="shared" si="20"/>
        <v>0</v>
      </c>
      <c r="V58" s="83">
        <f t="shared" si="21"/>
        <v>399.10065445382764</v>
      </c>
      <c r="W58" s="83">
        <f t="shared" si="22"/>
        <v>399.10065445382764</v>
      </c>
      <c r="X58" s="83">
        <f t="shared" si="23"/>
        <v>56.442828457840562</v>
      </c>
    </row>
    <row r="59" spans="14:24" x14ac:dyDescent="0.15">
      <c r="N59" s="83">
        <v>15</v>
      </c>
      <c r="O59" s="60">
        <f>基础信息!D64</f>
        <v>77</v>
      </c>
      <c r="P59" s="61">
        <f>基础信息!E64</f>
        <v>18418.806603807832</v>
      </c>
      <c r="Q59" s="61">
        <f>基础信息!F64</f>
        <v>147.45018844840658</v>
      </c>
      <c r="R59" s="80">
        <v>0.15</v>
      </c>
      <c r="S59" s="97">
        <f>MIN(求节点(其他调用!$B$4:$B$163,其他调用!$E$4:$E$163,Q59)*R59,P59/INDEX($D$7:$D$8,MATCH(P59,$C$7:$C$8,1))*INDEX($K$7:$K$8,MATCH(P59,$C$7:$C$8,1)))</f>
        <v>27100637.233477749</v>
      </c>
      <c r="T59" s="83">
        <f t="shared" si="24"/>
        <v>0</v>
      </c>
      <c r="U59" s="83">
        <f t="shared" si="20"/>
        <v>0</v>
      </c>
      <c r="V59" s="83">
        <f t="shared" si="21"/>
        <v>812.07063698401589</v>
      </c>
      <c r="W59" s="83">
        <f t="shared" si="22"/>
        <v>812.07063698401589</v>
      </c>
      <c r="X59" s="83">
        <f t="shared" si="23"/>
        <v>115.43854024786746</v>
      </c>
    </row>
    <row r="60" spans="14:24" x14ac:dyDescent="0.15">
      <c r="N60" s="83">
        <v>16</v>
      </c>
      <c r="O60" s="60">
        <f>基础信息!D65</f>
        <v>80</v>
      </c>
      <c r="P60" s="61">
        <f>基础信息!E65</f>
        <v>28507.724999999999</v>
      </c>
      <c r="Q60" s="61">
        <f>基础信息!F65</f>
        <v>153.14946182958477</v>
      </c>
      <c r="R60" s="80">
        <v>0.15</v>
      </c>
      <c r="S60" s="97">
        <f>MIN(求节点(其他调用!$B$4:$B$163,其他调用!$E$4:$E$163,Q60)*R60,P60/INDEX($D$7:$D$8,MATCH(P60,$C$7:$C$8,1))*INDEX($K$7:$K$8,MATCH(P60,$C$7:$C$8,1)))</f>
        <v>41610033.788209766</v>
      </c>
      <c r="T60" s="83">
        <f t="shared" si="24"/>
        <v>0</v>
      </c>
      <c r="U60" s="83">
        <f t="shared" si="20"/>
        <v>0</v>
      </c>
      <c r="V60" s="83">
        <f t="shared" si="21"/>
        <v>1246.1124142623241</v>
      </c>
      <c r="W60" s="83">
        <f t="shared" si="22"/>
        <v>1246.1124142623241</v>
      </c>
      <c r="X60" s="83">
        <f t="shared" si="23"/>
        <v>177.44450843048293</v>
      </c>
    </row>
    <row r="61" spans="14:24" x14ac:dyDescent="0.15">
      <c r="N61" s="83"/>
      <c r="O61" s="83"/>
      <c r="P61" s="81"/>
      <c r="Q61" s="81"/>
    </row>
    <row r="62" spans="14:24" x14ac:dyDescent="0.15">
      <c r="N62" s="83"/>
      <c r="O62" s="83"/>
      <c r="P62" s="81"/>
      <c r="Q62" s="81"/>
    </row>
    <row r="63" spans="14:24" x14ac:dyDescent="0.15">
      <c r="N63" s="83" t="s">
        <v>3</v>
      </c>
      <c r="O63" s="83"/>
      <c r="P63" s="81"/>
      <c r="Q63" s="81"/>
      <c r="T63" s="127" t="s">
        <v>207</v>
      </c>
      <c r="U63" s="127"/>
      <c r="V63" s="127"/>
      <c r="W63" s="127"/>
      <c r="X63" s="127"/>
    </row>
    <row r="64" spans="14:24" x14ac:dyDescent="0.15">
      <c r="N64" s="83" t="s">
        <v>21</v>
      </c>
      <c r="O64" s="83" t="s">
        <v>121</v>
      </c>
      <c r="P64" s="81" t="s">
        <v>122</v>
      </c>
      <c r="Q64" s="81" t="s">
        <v>103</v>
      </c>
      <c r="R64" s="83" t="s">
        <v>204</v>
      </c>
      <c r="S64" s="83" t="s">
        <v>205</v>
      </c>
      <c r="T64" s="83" t="s">
        <v>104</v>
      </c>
      <c r="U64" s="83" t="s">
        <v>105</v>
      </c>
      <c r="V64" s="83" t="s">
        <v>106</v>
      </c>
      <c r="W64" s="83" t="s">
        <v>107</v>
      </c>
      <c r="X64" s="83" t="s">
        <v>108</v>
      </c>
    </row>
    <row r="65" spans="14:24" x14ac:dyDescent="0.15">
      <c r="N65" s="83">
        <v>1</v>
      </c>
      <c r="O65" s="60">
        <f>基础信息!D70</f>
        <v>16</v>
      </c>
      <c r="P65" s="61">
        <f>基础信息!E70</f>
        <v>1.0155087681570587</v>
      </c>
      <c r="Q65" s="61">
        <f>基础信息!F70</f>
        <v>15.589627930182091</v>
      </c>
      <c r="R65" s="80">
        <v>0.2</v>
      </c>
      <c r="S65" s="97">
        <f>MIN(求节点(其他调用!$B$4:$B$163,其他调用!$F$4:$F$163,Q65)*R65,P65/INDEX($D$7:$D$8,MATCH(P65,$C$7:$C$8,1))*INDEX($K$7:$K$8,MATCH(P65,$C$7:$C$8,1)))</f>
        <v>15394.880932751557</v>
      </c>
      <c r="T65" s="91">
        <f>$S65/INDEX($K$7:$K$8,MATCH($P65,$C$7:$C$8,1))*INDEX(E$7:E$8,MATCH($P65,$C$7:$C$8,1))</f>
        <v>0</v>
      </c>
      <c r="U65" s="91">
        <f t="shared" ref="U65" si="25">$S65/INDEX($K$7:$K$8,MATCH($P65,$C$7:$C$8,1))*INDEX(F$7:F$8,MATCH($P65,$C$7:$C$8,1))</f>
        <v>0</v>
      </c>
      <c r="V65" s="91">
        <f t="shared" ref="V65" si="26">$S65/INDEX($K$7:$K$8,MATCH($P65,$C$7:$C$8,1))*INDEX(G$7:G$8,MATCH($P65,$C$7:$C$8,1))</f>
        <v>0.69976731512507073</v>
      </c>
      <c r="W65" s="91">
        <f t="shared" ref="W65" si="27">$S65/INDEX($K$7:$K$8,MATCH($P65,$C$7:$C$8,1))*INDEX(H$7:H$8,MATCH($P65,$C$7:$C$8,1))</f>
        <v>0.69976731512507073</v>
      </c>
      <c r="X65" s="91">
        <f t="shared" ref="X65" si="28">$S65/INDEX($K$7:$K$8,MATCH($P65,$C$7:$C$8,1))*INDEX(I$7:I$8,MATCH($P65,$C$7:$C$8,1))</f>
        <v>0</v>
      </c>
    </row>
    <row r="66" spans="14:24" x14ac:dyDescent="0.15">
      <c r="N66" s="83">
        <v>2</v>
      </c>
      <c r="O66" s="60">
        <f>基础信息!D71</f>
        <v>19.5</v>
      </c>
      <c r="P66" s="61">
        <f>基础信息!E71</f>
        <v>1.9291590128661831</v>
      </c>
      <c r="Q66" s="61">
        <f>基础信息!F71</f>
        <v>22.124520244011151</v>
      </c>
      <c r="R66" s="80">
        <v>0.2</v>
      </c>
      <c r="S66" s="97">
        <f>MIN(求节点(其他调用!$B$4:$B$163,其他调用!$F$4:$F$163,Q66)*R66,P66/INDEX($D$7:$D$8,MATCH(P66,$C$7:$C$8,1))*INDEX($K$7:$K$8,MATCH(P66,$C$7:$C$8,1)))</f>
        <v>23243.708378296389</v>
      </c>
      <c r="T66" s="83">
        <f>($S66-$S65)/INDEX($K$7:$K$8,MATCH($P66,$C$7:$C$8,1))*INDEX(E$7:E$8,MATCH($P66,$C$7:$C$8,1))+T65</f>
        <v>0</v>
      </c>
      <c r="U66" s="83">
        <f t="shared" ref="U66:U80" si="29">($S66-$S65)/INDEX($K$7:$K$8,MATCH($P66,$C$7:$C$8,1))*INDEX(F$7:F$8,MATCH($P66,$C$7:$C$8,1))+U65</f>
        <v>0</v>
      </c>
      <c r="V66" s="83">
        <f t="shared" ref="V66:V80" si="30">($S66-$S65)/INDEX($K$7:$K$8,MATCH($P66,$C$7:$C$8,1))*INDEX(G$7:G$8,MATCH($P66,$C$7:$C$8,1))+V65</f>
        <v>1.0565321990134722</v>
      </c>
      <c r="W66" s="83">
        <f t="shared" ref="W66:W80" si="31">($S66-$S65)/INDEX($K$7:$K$8,MATCH($P66,$C$7:$C$8,1))*INDEX(H$7:H$8,MATCH($P66,$C$7:$C$8,1))+W65</f>
        <v>1.0565321990134722</v>
      </c>
      <c r="X66" s="83">
        <f t="shared" ref="X66:X80" si="32">($S66-$S65)/INDEX($K$7:$K$8,MATCH($P66,$C$7:$C$8,1))*INDEX(I$7:I$8,MATCH($P66,$C$7:$C$8,1))+X65</f>
        <v>0</v>
      </c>
    </row>
    <row r="67" spans="14:24" x14ac:dyDescent="0.15">
      <c r="N67" s="83">
        <v>3</v>
      </c>
      <c r="O67" s="60">
        <f>基础信息!D72</f>
        <v>23.5</v>
      </c>
      <c r="P67" s="61">
        <f>基础信息!E72</f>
        <v>3.8620055508637692</v>
      </c>
      <c r="Q67" s="61">
        <f>基础信息!F72</f>
        <v>30.385092920099169</v>
      </c>
      <c r="R67" s="80">
        <v>0.2</v>
      </c>
      <c r="S67" s="97">
        <f>MIN(求节点(其他调用!$B$4:$B$163,其他调用!$F$4:$F$163,Q67)*R67,P67/INDEX($D$7:$D$8,MATCH(P67,$C$7:$C$8,1))*INDEX($K$7:$K$8,MATCH(P67,$C$7:$C$8,1)))</f>
        <v>39538.755981131639</v>
      </c>
      <c r="T67" s="83">
        <f t="shared" ref="T67:T80" si="33">($S67-$S66)/INDEX($K$7:$K$8,MATCH($P67,$C$7:$C$8,1))*INDEX(E$7:E$8,MATCH($P67,$C$7:$C$8,1))+T66</f>
        <v>0</v>
      </c>
      <c r="U67" s="83">
        <f t="shared" si="29"/>
        <v>0</v>
      </c>
      <c r="V67" s="83">
        <f t="shared" si="30"/>
        <v>1.7972161809605289</v>
      </c>
      <c r="W67" s="83">
        <f t="shared" si="31"/>
        <v>1.7972161809605289</v>
      </c>
      <c r="X67" s="83">
        <f t="shared" si="32"/>
        <v>0</v>
      </c>
    </row>
    <row r="68" spans="14:24" x14ac:dyDescent="0.15">
      <c r="N68" s="83">
        <v>4</v>
      </c>
      <c r="O68" s="60">
        <f>基础信息!D73</f>
        <v>27.5</v>
      </c>
      <c r="P68" s="61">
        <f>基础信息!E73</f>
        <v>7.5480892551941539</v>
      </c>
      <c r="Q68" s="61">
        <f>基础信息!F73</f>
        <v>39.22082982715331</v>
      </c>
      <c r="R68" s="80">
        <v>0.2</v>
      </c>
      <c r="S68" s="97">
        <f>MIN(求节点(其他调用!$B$4:$B$163,其他调用!$F$4:$F$163,Q68)*R68,P68/INDEX($D$7:$D$8,MATCH(P68,$C$7:$C$8,1))*INDEX($K$7:$K$8,MATCH(P68,$C$7:$C$8,1)))</f>
        <v>69989.224421298233</v>
      </c>
      <c r="T68" s="83">
        <f t="shared" si="33"/>
        <v>0</v>
      </c>
      <c r="U68" s="83">
        <f t="shared" si="29"/>
        <v>0</v>
      </c>
      <c r="V68" s="83">
        <f t="shared" si="30"/>
        <v>3.1813283827862833</v>
      </c>
      <c r="W68" s="83">
        <f t="shared" si="31"/>
        <v>3.1813283827862833</v>
      </c>
      <c r="X68" s="83">
        <f t="shared" si="32"/>
        <v>0</v>
      </c>
    </row>
    <row r="69" spans="14:24" x14ac:dyDescent="0.15">
      <c r="N69" s="83">
        <v>5</v>
      </c>
      <c r="O69" s="60">
        <f>基础信息!D74</f>
        <v>31.5</v>
      </c>
      <c r="P69" s="61">
        <f>基础信息!E74</f>
        <v>14.515695505432269</v>
      </c>
      <c r="Q69" s="61">
        <f>基础信息!F74</f>
        <v>48.246535012671018</v>
      </c>
      <c r="R69" s="80">
        <v>0.2</v>
      </c>
      <c r="S69" s="97">
        <f>MIN(求节点(其他调用!$B$4:$B$163,其他调用!$F$4:$F$163,Q69)*R69,P69/INDEX($D$7:$D$8,MATCH(P69,$C$7:$C$8,1))*INDEX($K$7:$K$8,MATCH(P69,$C$7:$C$8,1)))</f>
        <v>120407.42397162391</v>
      </c>
      <c r="T69" s="83">
        <f t="shared" si="33"/>
        <v>0</v>
      </c>
      <c r="U69" s="83">
        <f t="shared" si="29"/>
        <v>0</v>
      </c>
      <c r="V69" s="83">
        <f t="shared" si="30"/>
        <v>5.4730647259829048</v>
      </c>
      <c r="W69" s="83">
        <f t="shared" si="31"/>
        <v>5.4730647259829048</v>
      </c>
      <c r="X69" s="83">
        <f t="shared" si="32"/>
        <v>0</v>
      </c>
    </row>
    <row r="70" spans="14:24" x14ac:dyDescent="0.15">
      <c r="N70" s="83">
        <v>6</v>
      </c>
      <c r="O70" s="60">
        <f>基础信息!D75</f>
        <v>35.5</v>
      </c>
      <c r="P70" s="61">
        <f>基础信息!E75</f>
        <v>27.449372333401666</v>
      </c>
      <c r="Q70" s="61">
        <f>基础信息!F75</f>
        <v>57.411337115405701</v>
      </c>
      <c r="R70" s="80">
        <v>0.2</v>
      </c>
      <c r="S70" s="97">
        <f>MIN(求节点(其他调用!$B$4:$B$163,其他调用!$F$4:$F$163,Q70)*R70,P70/INDEX($D$7:$D$8,MATCH(P70,$C$7:$C$8,1))*INDEX($K$7:$K$8,MATCH(P70,$C$7:$C$8,1)))</f>
        <v>205350.70897993332</v>
      </c>
      <c r="T70" s="83">
        <f t="shared" si="33"/>
        <v>0</v>
      </c>
      <c r="U70" s="83">
        <f t="shared" si="29"/>
        <v>0</v>
      </c>
      <c r="V70" s="83">
        <f t="shared" si="30"/>
        <v>9.3341231354515148</v>
      </c>
      <c r="W70" s="83">
        <f t="shared" si="31"/>
        <v>9.3341231354515148</v>
      </c>
      <c r="X70" s="83">
        <f t="shared" si="32"/>
        <v>0</v>
      </c>
    </row>
    <row r="71" spans="14:24" x14ac:dyDescent="0.15">
      <c r="N71" s="83">
        <v>7</v>
      </c>
      <c r="O71" s="60">
        <f>基础信息!D76</f>
        <v>39.5</v>
      </c>
      <c r="P71" s="61">
        <f>基础信息!E76</f>
        <v>49.848538197196007</v>
      </c>
      <c r="Q71" s="61">
        <f>基础信息!F76</f>
        <v>65.902718877121345</v>
      </c>
      <c r="R71" s="80">
        <v>0.2</v>
      </c>
      <c r="S71" s="97">
        <f>MIN(求节点(其他调用!$B$4:$B$163,其他调用!$F$4:$F$163,Q71)*R71,P71/INDEX($D$7:$D$8,MATCH(P71,$C$7:$C$8,1))*INDEX($K$7:$K$8,MATCH(P71,$C$7:$C$8,1)))</f>
        <v>360403.51456133492</v>
      </c>
      <c r="T71" s="83">
        <f t="shared" si="33"/>
        <v>0</v>
      </c>
      <c r="U71" s="83">
        <f t="shared" si="29"/>
        <v>0</v>
      </c>
      <c r="V71" s="83">
        <f t="shared" si="30"/>
        <v>16.381977934606134</v>
      </c>
      <c r="W71" s="83">
        <f t="shared" si="31"/>
        <v>16.381977934606134</v>
      </c>
      <c r="X71" s="83">
        <f t="shared" si="32"/>
        <v>0</v>
      </c>
    </row>
    <row r="72" spans="14:24" x14ac:dyDescent="0.15">
      <c r="N72" s="83">
        <v>8</v>
      </c>
      <c r="O72" s="60">
        <f>基础信息!D77</f>
        <v>43.5</v>
      </c>
      <c r="P72" s="61">
        <f>基础信息!E77</f>
        <v>90.273217467309593</v>
      </c>
      <c r="Q72" s="61">
        <f>基础信息!F77</f>
        <v>74.536451869422805</v>
      </c>
      <c r="R72" s="80">
        <v>0.2</v>
      </c>
      <c r="S72" s="97">
        <f>MIN(求节点(其他调用!$B$4:$B$163,其他调用!$F$4:$F$163,Q72)*R72,P72/INDEX($D$7:$D$8,MATCH(P72,$C$7:$C$8,1))*INDEX($K$7:$K$8,MATCH(P72,$C$7:$C$8,1)))</f>
        <v>641344.30879442953</v>
      </c>
      <c r="T72" s="83">
        <f t="shared" si="33"/>
        <v>0</v>
      </c>
      <c r="U72" s="83">
        <f t="shared" si="29"/>
        <v>0</v>
      </c>
      <c r="V72" s="83">
        <f t="shared" si="30"/>
        <v>24.786189727903835</v>
      </c>
      <c r="W72" s="83">
        <f t="shared" si="31"/>
        <v>24.786189727903835</v>
      </c>
      <c r="X72" s="83">
        <f t="shared" si="32"/>
        <v>1.2006016847568146</v>
      </c>
    </row>
    <row r="73" spans="14:24" x14ac:dyDescent="0.15">
      <c r="N73" s="83">
        <v>9</v>
      </c>
      <c r="O73" s="60">
        <f>基础信息!D78</f>
        <v>47.5</v>
      </c>
      <c r="P73" s="61">
        <f>基础信息!E78</f>
        <v>163.13415930738643</v>
      </c>
      <c r="Q73" s="61">
        <f>基础信息!F78</f>
        <v>83.136424497546074</v>
      </c>
      <c r="R73" s="80">
        <v>0.2</v>
      </c>
      <c r="S73" s="97">
        <f>MIN(求节点(其他调用!$B$4:$B$163,其他调用!$F$4:$F$163,Q73)*R73,P73/INDEX($D$7:$D$8,MATCH(P73,$C$7:$C$8,1))*INDEX($K$7:$K$8,MATCH(P73,$C$7:$C$8,1)))</f>
        <v>1118726.3192860319</v>
      </c>
      <c r="T73" s="83">
        <f t="shared" si="33"/>
        <v>0</v>
      </c>
      <c r="U73" s="83">
        <f t="shared" si="29"/>
        <v>0</v>
      </c>
      <c r="V73" s="83">
        <f t="shared" si="30"/>
        <v>39.066848161413304</v>
      </c>
      <c r="W73" s="83">
        <f t="shared" si="31"/>
        <v>39.066848161413304</v>
      </c>
      <c r="X73" s="83">
        <f t="shared" si="32"/>
        <v>3.2406957466867392</v>
      </c>
    </row>
    <row r="74" spans="14:24" x14ac:dyDescent="0.15">
      <c r="N74" s="83">
        <v>10</v>
      </c>
      <c r="O74" s="60">
        <f>基础信息!D79</f>
        <v>52</v>
      </c>
      <c r="P74" s="61">
        <f>基础信息!E79</f>
        <v>315.94120754775781</v>
      </c>
      <c r="Q74" s="61">
        <f>基础信息!F79</f>
        <v>93.208444061349098</v>
      </c>
      <c r="R74" s="80">
        <v>0.2</v>
      </c>
      <c r="S74" s="97">
        <f>MIN(求节点(其他调用!$B$4:$B$163,其他调用!$F$4:$F$163,Q74)*R74,P74/INDEX($D$7:$D$8,MATCH(P74,$C$7:$C$8,1))*INDEX($K$7:$K$8,MATCH(P74,$C$7:$C$8,1)))</f>
        <v>2102485.5492830095</v>
      </c>
      <c r="T74" s="83">
        <f t="shared" si="33"/>
        <v>0</v>
      </c>
      <c r="U74" s="83">
        <f t="shared" si="29"/>
        <v>0</v>
      </c>
      <c r="V74" s="83">
        <f t="shared" si="30"/>
        <v>68.495543075852794</v>
      </c>
      <c r="W74" s="83">
        <f t="shared" si="31"/>
        <v>68.495543075852794</v>
      </c>
      <c r="X74" s="83">
        <f t="shared" si="32"/>
        <v>7.4447950201780966</v>
      </c>
    </row>
    <row r="75" spans="14:24" x14ac:dyDescent="0.15">
      <c r="N75" s="83">
        <v>11</v>
      </c>
      <c r="O75" s="60">
        <f>基础信息!D80</f>
        <v>57</v>
      </c>
      <c r="P75" s="61">
        <f>基础信息!E80</f>
        <v>659.12993710814465</v>
      </c>
      <c r="Q75" s="61">
        <f>基础信息!F80</f>
        <v>103.87052361677672</v>
      </c>
      <c r="R75" s="80">
        <v>0.2</v>
      </c>
      <c r="S75" s="97">
        <f>MIN(求节点(其他调用!$B$4:$B$163,其他调用!$F$4:$F$163,Q75)*R75,P75/INDEX($D$7:$D$8,MATCH(P75,$C$7:$C$8,1))*INDEX($K$7:$K$8,MATCH(P75,$C$7:$C$8,1)))</f>
        <v>4279325.786539603</v>
      </c>
      <c r="T75" s="83">
        <f t="shared" si="33"/>
        <v>0</v>
      </c>
      <c r="U75" s="83">
        <f t="shared" si="29"/>
        <v>0</v>
      </c>
      <c r="V75" s="83">
        <f t="shared" si="30"/>
        <v>133.61469547241757</v>
      </c>
      <c r="W75" s="83">
        <f t="shared" si="31"/>
        <v>133.61469547241757</v>
      </c>
      <c r="X75" s="83">
        <f t="shared" si="32"/>
        <v>16.747531076830207</v>
      </c>
    </row>
    <row r="76" spans="14:24" x14ac:dyDescent="0.15">
      <c r="N76" s="83">
        <v>12</v>
      </c>
      <c r="O76" s="60">
        <f>基础信息!D81</f>
        <v>62</v>
      </c>
      <c r="P76" s="61">
        <f>基础信息!E81</f>
        <v>1372.540918241546</v>
      </c>
      <c r="Q76" s="61">
        <f>基础信息!F81</f>
        <v>114.60606674176169</v>
      </c>
      <c r="R76" s="80">
        <v>0.2</v>
      </c>
      <c r="S76" s="97">
        <f>MIN(求节点(其他调用!$B$4:$B$163,其他调用!$F$4:$F$163,Q76)*R76,P76/INDEX($D$7:$D$8,MATCH(P76,$C$7:$C$8,1))*INDEX($K$7:$K$8,MATCH(P76,$C$7:$C$8,1)))</f>
        <v>8749029.3187642694</v>
      </c>
      <c r="T76" s="83">
        <f t="shared" si="33"/>
        <v>0</v>
      </c>
      <c r="U76" s="83">
        <f t="shared" si="29"/>
        <v>0</v>
      </c>
      <c r="V76" s="83">
        <f t="shared" si="30"/>
        <v>267.32377549623237</v>
      </c>
      <c r="W76" s="83">
        <f t="shared" si="31"/>
        <v>267.32377549623237</v>
      </c>
      <c r="X76" s="83">
        <f t="shared" si="32"/>
        <v>35.84882822308947</v>
      </c>
    </row>
    <row r="77" spans="14:24" x14ac:dyDescent="0.15">
      <c r="N77" s="83">
        <v>13</v>
      </c>
      <c r="O77" s="60">
        <f>基础信息!D82</f>
        <v>67</v>
      </c>
      <c r="P77" s="61">
        <f>基础信息!E82</f>
        <v>2853.4199245336076</v>
      </c>
      <c r="Q77" s="61">
        <f>基础信息!F82</f>
        <v>125.19410714767859</v>
      </c>
      <c r="R77" s="80">
        <v>0.2</v>
      </c>
      <c r="S77" s="97">
        <f>MIN(求节点(其他调用!$B$4:$B$163,其他调用!$F$4:$F$163,Q77)*R77,P77/INDEX($D$7:$D$8,MATCH(P77,$C$7:$C$8,1))*INDEX($K$7:$K$8,MATCH(P77,$C$7:$C$8,1)))</f>
        <v>17945887.070545446</v>
      </c>
      <c r="T77" s="83">
        <f t="shared" si="33"/>
        <v>0</v>
      </c>
      <c r="U77" s="83">
        <f t="shared" si="29"/>
        <v>0</v>
      </c>
      <c r="V77" s="83">
        <f t="shared" si="30"/>
        <v>542.44345183156679</v>
      </c>
      <c r="W77" s="83">
        <f t="shared" si="31"/>
        <v>542.44345183156679</v>
      </c>
      <c r="X77" s="83">
        <f t="shared" si="32"/>
        <v>75.151639128137234</v>
      </c>
    </row>
    <row r="78" spans="14:24" x14ac:dyDescent="0.15">
      <c r="N78" s="83">
        <v>14</v>
      </c>
      <c r="O78" s="60">
        <f>基础信息!D83</f>
        <v>72</v>
      </c>
      <c r="P78" s="61">
        <f>基础信息!E83</f>
        <v>5923.2820251682469</v>
      </c>
      <c r="Q78" s="61">
        <f>基础信息!F83</f>
        <v>135.89542876835631</v>
      </c>
      <c r="R78" s="80">
        <v>0.2</v>
      </c>
      <c r="S78" s="97">
        <f>MIN(求节点(其他调用!$B$4:$B$163,其他调用!$F$4:$F$163,Q78)*R78,P78/INDEX($D$7:$D$8,MATCH(P78,$C$7:$C$8,1))*INDEX($K$7:$K$8,MATCH(P78,$C$7:$C$8,1)))</f>
        <v>36887436.720098749</v>
      </c>
      <c r="T78" s="83">
        <f t="shared" si="33"/>
        <v>0</v>
      </c>
      <c r="U78" s="83">
        <f t="shared" si="29"/>
        <v>0</v>
      </c>
      <c r="V78" s="83">
        <f t="shared" si="30"/>
        <v>1109.0710054506826</v>
      </c>
      <c r="W78" s="83">
        <f t="shared" si="31"/>
        <v>1109.0710054506826</v>
      </c>
      <c r="X78" s="83">
        <f t="shared" si="32"/>
        <v>156.09843250229665</v>
      </c>
    </row>
    <row r="79" spans="14:24" x14ac:dyDescent="0.15">
      <c r="N79" s="83">
        <v>15</v>
      </c>
      <c r="O79" s="60">
        <f>基础信息!D84</f>
        <v>77</v>
      </c>
      <c r="P79" s="61">
        <f>基础信息!E84</f>
        <v>12279.204402538555</v>
      </c>
      <c r="Q79" s="61">
        <f>基础信息!F84</f>
        <v>146.55064673623977</v>
      </c>
      <c r="R79" s="80">
        <v>0.2</v>
      </c>
      <c r="S79" s="97">
        <f>MIN(求节点(其他调用!$B$4:$B$163,其他调用!$F$4:$F$163,Q79)*R79,P79/INDEX($D$7:$D$8,MATCH(P79,$C$7:$C$8,1))*INDEX($K$7:$K$8,MATCH(P79,$C$7:$C$8,1)))</f>
        <v>75916624.458031997</v>
      </c>
      <c r="T79" s="83">
        <f t="shared" si="33"/>
        <v>0</v>
      </c>
      <c r="U79" s="83">
        <f t="shared" si="29"/>
        <v>0</v>
      </c>
      <c r="V79" s="83">
        <f t="shared" si="30"/>
        <v>2276.6108095768909</v>
      </c>
      <c r="W79" s="83">
        <f t="shared" si="31"/>
        <v>2276.6108095768909</v>
      </c>
      <c r="X79" s="83">
        <f t="shared" si="32"/>
        <v>322.88983309175501</v>
      </c>
    </row>
    <row r="80" spans="14:24" x14ac:dyDescent="0.15">
      <c r="N80" s="83">
        <v>16</v>
      </c>
      <c r="O80" s="60">
        <f>基础信息!D85</f>
        <v>80</v>
      </c>
      <c r="P80" s="61">
        <f>基础信息!E85</f>
        <v>19005.150000000001</v>
      </c>
      <c r="Q80" s="61">
        <f>基础信息!F85</f>
        <v>152.12605579164665</v>
      </c>
      <c r="R80" s="80">
        <v>0.2</v>
      </c>
      <c r="S80" s="97">
        <f>MIN(求节点(其他调用!$B$4:$B$163,其他调用!$F$4:$F$163,Q80)*R80,P80/INDEX($D$7:$D$8,MATCH(P80,$C$7:$C$8,1))*INDEX($K$7:$K$8,MATCH(P80,$C$7:$C$8,1)))</f>
        <v>117089704.41979569</v>
      </c>
      <c r="T80" s="83">
        <f t="shared" si="33"/>
        <v>0</v>
      </c>
      <c r="U80" s="83">
        <f t="shared" si="29"/>
        <v>0</v>
      </c>
      <c r="V80" s="83">
        <f t="shared" si="30"/>
        <v>3508.2841417664031</v>
      </c>
      <c r="W80" s="83">
        <f t="shared" si="31"/>
        <v>3508.2841417664031</v>
      </c>
      <c r="X80" s="83">
        <f t="shared" si="32"/>
        <v>498.84316626168533</v>
      </c>
    </row>
    <row r="81" spans="14:24" x14ac:dyDescent="0.15">
      <c r="N81" s="83"/>
      <c r="O81" s="83"/>
      <c r="P81" s="81"/>
      <c r="Q81" s="81"/>
    </row>
    <row r="82" spans="14:24" x14ac:dyDescent="0.15">
      <c r="N82" s="83"/>
      <c r="O82" s="83"/>
      <c r="P82" s="81"/>
      <c r="Q82" s="81"/>
    </row>
    <row r="83" spans="14:24" x14ac:dyDescent="0.15">
      <c r="N83" s="83" t="s">
        <v>4</v>
      </c>
      <c r="O83" s="83"/>
      <c r="P83" s="81"/>
      <c r="Q83" s="81"/>
      <c r="T83" s="127" t="s">
        <v>207</v>
      </c>
      <c r="U83" s="127"/>
      <c r="V83" s="127"/>
      <c r="W83" s="127"/>
      <c r="X83" s="127"/>
    </row>
    <row r="84" spans="14:24" x14ac:dyDescent="0.15">
      <c r="N84" s="83" t="s">
        <v>21</v>
      </c>
      <c r="O84" s="83" t="s">
        <v>121</v>
      </c>
      <c r="P84" s="81" t="s">
        <v>122</v>
      </c>
      <c r="Q84" s="81" t="s">
        <v>103</v>
      </c>
      <c r="R84" s="83" t="s">
        <v>204</v>
      </c>
      <c r="S84" s="83" t="s">
        <v>205</v>
      </c>
      <c r="T84" s="83" t="s">
        <v>104</v>
      </c>
      <c r="U84" s="83" t="s">
        <v>105</v>
      </c>
      <c r="V84" s="83" t="s">
        <v>106</v>
      </c>
      <c r="W84" s="83" t="s">
        <v>107</v>
      </c>
      <c r="X84" s="83" t="s">
        <v>108</v>
      </c>
    </row>
    <row r="85" spans="14:24" x14ac:dyDescent="0.15">
      <c r="N85" s="83">
        <v>1</v>
      </c>
      <c r="O85" s="60">
        <f>基础信息!D90</f>
        <v>16</v>
      </c>
      <c r="P85" s="61">
        <f>基础信息!E90</f>
        <v>0.50775438407852935</v>
      </c>
      <c r="Q85" s="61">
        <f>基础信息!F90</f>
        <v>14.671687356650759</v>
      </c>
      <c r="R85" s="80">
        <v>0.25</v>
      </c>
      <c r="S85" s="97">
        <f>MIN(求节点(其他调用!$B$4:$B$163,其他调用!$G$4:$G$163,Q85)*R85,P85/INDEX($D$7:$D$8,MATCH(P85,$C$7:$C$8,1))*INDEX($K$7:$K$8,MATCH(P85,$C$7:$C$8,1)))</f>
        <v>11170.596449727645</v>
      </c>
      <c r="T85" s="91">
        <f>$S85/INDEX($K$7:$K$8,MATCH($P85,$C$7:$C$8,1))*INDEX(E$7:E$8,MATCH($P85,$C$7:$C$8,1))</f>
        <v>0</v>
      </c>
      <c r="U85" s="91">
        <f t="shared" ref="U85" si="34">$S85/INDEX($K$7:$K$8,MATCH($P85,$C$7:$C$8,1))*INDEX(F$7:F$8,MATCH($P85,$C$7:$C$8,1))</f>
        <v>0</v>
      </c>
      <c r="V85" s="91">
        <f t="shared" ref="V85" si="35">$S85/INDEX($K$7:$K$8,MATCH($P85,$C$7:$C$8,1))*INDEX(G$7:G$8,MATCH($P85,$C$7:$C$8,1))</f>
        <v>0.50775438407852935</v>
      </c>
      <c r="W85" s="91">
        <f t="shared" ref="W85" si="36">$S85/INDEX($K$7:$K$8,MATCH($P85,$C$7:$C$8,1))*INDEX(H$7:H$8,MATCH($P85,$C$7:$C$8,1))</f>
        <v>0.50775438407852935</v>
      </c>
      <c r="X85" s="91">
        <f t="shared" ref="X85" si="37">$S85/INDEX($K$7:$K$8,MATCH($P85,$C$7:$C$8,1))*INDEX(I$7:I$8,MATCH($P85,$C$7:$C$8,1))</f>
        <v>0</v>
      </c>
    </row>
    <row r="86" spans="14:24" x14ac:dyDescent="0.15">
      <c r="N86" s="83">
        <v>2</v>
      </c>
      <c r="O86" s="60">
        <f>基础信息!D91</f>
        <v>19.5</v>
      </c>
      <c r="P86" s="61">
        <f>基础信息!E91</f>
        <v>0.96457950643309154</v>
      </c>
      <c r="Q86" s="61">
        <f>基础信息!F91</f>
        <v>20.922787117743994</v>
      </c>
      <c r="R86" s="80">
        <v>0.25</v>
      </c>
      <c r="S86" s="97">
        <f>MIN(求节点(其他调用!$B$4:$B$163,其他调用!$G$4:$G$163,Q86)*R86,P86/INDEX($D$7:$D$8,MATCH(P86,$C$7:$C$8,1))*INDEX($K$7:$K$8,MATCH(P86,$C$7:$C$8,1)))</f>
        <v>21220.749141528013</v>
      </c>
      <c r="T86" s="83">
        <f>($S86-$S85)/INDEX($K$7:$K$8,MATCH($P86,$C$7:$C$8,1))*INDEX(E$7:E$8,MATCH($P86,$C$7:$C$8,1))+T85</f>
        <v>0</v>
      </c>
      <c r="U86" s="83">
        <f t="shared" ref="U86:U100" si="38">($S86-$S85)/INDEX($K$7:$K$8,MATCH($P86,$C$7:$C$8,1))*INDEX(F$7:F$8,MATCH($P86,$C$7:$C$8,1))+U85</f>
        <v>0</v>
      </c>
      <c r="V86" s="83">
        <f t="shared" ref="V86:V100" si="39">($S86-$S85)/INDEX($K$7:$K$8,MATCH($P86,$C$7:$C$8,1))*INDEX(G$7:G$8,MATCH($P86,$C$7:$C$8,1))+V85</f>
        <v>0.96457950643309154</v>
      </c>
      <c r="W86" s="83">
        <f t="shared" ref="W86:W100" si="40">($S86-$S85)/INDEX($K$7:$K$8,MATCH($P86,$C$7:$C$8,1))*INDEX(H$7:H$8,MATCH($P86,$C$7:$C$8,1))+W85</f>
        <v>0.96457950643309154</v>
      </c>
      <c r="X86" s="83">
        <f t="shared" ref="X86:X100" si="41">($S86-$S85)/INDEX($K$7:$K$8,MATCH($P86,$C$7:$C$8,1))*INDEX(I$7:I$8,MATCH($P86,$C$7:$C$8,1))+X85</f>
        <v>0</v>
      </c>
    </row>
    <row r="87" spans="14:24" x14ac:dyDescent="0.15">
      <c r="N87" s="83">
        <v>3</v>
      </c>
      <c r="O87" s="60">
        <f>基础信息!D92</f>
        <v>23.5</v>
      </c>
      <c r="P87" s="61">
        <f>基础信息!E92</f>
        <v>1.9310027754318846</v>
      </c>
      <c r="Q87" s="61">
        <f>基础信息!F92</f>
        <v>28.96506192552858</v>
      </c>
      <c r="R87" s="80">
        <v>0.25</v>
      </c>
      <c r="S87" s="97">
        <f>MIN(求节点(其他调用!$B$4:$B$163,其他调用!$G$4:$G$163,Q87)*R87,P87/INDEX($D$7:$D$8,MATCH(P87,$C$7:$C$8,1))*INDEX($K$7:$K$8,MATCH(P87,$C$7:$C$8,1)))</f>
        <v>42482.061059501459</v>
      </c>
      <c r="T87" s="83">
        <f t="shared" ref="T87:T100" si="42">($S87-$S86)/INDEX($K$7:$K$8,MATCH($P87,$C$7:$C$8,1))*INDEX(E$7:E$8,MATCH($P87,$C$7:$C$8,1))+T86</f>
        <v>0</v>
      </c>
      <c r="U87" s="83">
        <f t="shared" si="38"/>
        <v>0</v>
      </c>
      <c r="V87" s="83">
        <f t="shared" si="39"/>
        <v>1.9310027754318846</v>
      </c>
      <c r="W87" s="83">
        <f t="shared" si="40"/>
        <v>1.9310027754318846</v>
      </c>
      <c r="X87" s="83">
        <f t="shared" si="41"/>
        <v>0</v>
      </c>
    </row>
    <row r="88" spans="14:24" x14ac:dyDescent="0.15">
      <c r="N88" s="83">
        <v>4</v>
      </c>
      <c r="O88" s="60">
        <f>基础信息!D93</f>
        <v>27.5</v>
      </c>
      <c r="P88" s="61">
        <f>基础信息!E93</f>
        <v>3.7740446275970769</v>
      </c>
      <c r="Q88" s="61">
        <f>基础信息!F93</f>
        <v>37.642488096871389</v>
      </c>
      <c r="R88" s="80">
        <v>0.25</v>
      </c>
      <c r="S88" s="97">
        <f>MIN(求节点(其他调用!$B$4:$B$163,其他调用!$G$4:$G$163,Q88)*R88,P88/INDEX($D$7:$D$8,MATCH(P88,$C$7:$C$8,1))*INDEX($K$7:$K$8,MATCH(P88,$C$7:$C$8,1)))</f>
        <v>83028.9818071357</v>
      </c>
      <c r="T88" s="83">
        <f t="shared" si="42"/>
        <v>0</v>
      </c>
      <c r="U88" s="83">
        <f t="shared" si="38"/>
        <v>0</v>
      </c>
      <c r="V88" s="83">
        <f t="shared" si="39"/>
        <v>3.7740446275970774</v>
      </c>
      <c r="W88" s="83">
        <f t="shared" si="40"/>
        <v>3.7740446275970774</v>
      </c>
      <c r="X88" s="83">
        <f t="shared" si="41"/>
        <v>0</v>
      </c>
    </row>
    <row r="89" spans="14:24" x14ac:dyDescent="0.15">
      <c r="N89" s="83">
        <v>5</v>
      </c>
      <c r="O89" s="60">
        <f>基础信息!D94</f>
        <v>31.5</v>
      </c>
      <c r="P89" s="61">
        <f>基础信息!E94</f>
        <v>7.2578477527161347</v>
      </c>
      <c r="Q89" s="61">
        <f>基础信息!F94</f>
        <v>46.621425173369133</v>
      </c>
      <c r="R89" s="80">
        <v>0.25</v>
      </c>
      <c r="S89" s="97">
        <f>MIN(求节点(其他调用!$B$4:$B$163,其他调用!$G$4:$G$163,Q89)*R89,P89/INDEX($D$7:$D$8,MATCH(P89,$C$7:$C$8,1))*INDEX($K$7:$K$8,MATCH(P89,$C$7:$C$8,1)))</f>
        <v>159672.65055975498</v>
      </c>
      <c r="T89" s="83">
        <f t="shared" si="42"/>
        <v>0</v>
      </c>
      <c r="U89" s="83">
        <f t="shared" si="38"/>
        <v>0</v>
      </c>
      <c r="V89" s="83">
        <f t="shared" si="39"/>
        <v>7.2578477527161365</v>
      </c>
      <c r="W89" s="83">
        <f t="shared" si="40"/>
        <v>7.2578477527161365</v>
      </c>
      <c r="X89" s="83">
        <f t="shared" si="41"/>
        <v>0</v>
      </c>
    </row>
    <row r="90" spans="14:24" x14ac:dyDescent="0.15">
      <c r="N90" s="83">
        <v>6</v>
      </c>
      <c r="O90" s="60">
        <f>基础信息!D95</f>
        <v>35.5</v>
      </c>
      <c r="P90" s="61">
        <f>基础信息!E95</f>
        <v>13.724686166700833</v>
      </c>
      <c r="Q90" s="61">
        <f>基础信息!F95</f>
        <v>55.873561913262044</v>
      </c>
      <c r="R90" s="80">
        <v>0.25</v>
      </c>
      <c r="S90" s="97">
        <f>MIN(求节点(其他调用!$B$4:$B$163,其他调用!$G$4:$G$163,Q90)*R90,P90/INDEX($D$7:$D$8,MATCH(P90,$C$7:$C$8,1))*INDEX($K$7:$K$8,MATCH(P90,$C$7:$C$8,1)))</f>
        <v>301943.09566741833</v>
      </c>
      <c r="T90" s="83">
        <f t="shared" si="42"/>
        <v>0</v>
      </c>
      <c r="U90" s="83">
        <f t="shared" si="38"/>
        <v>0</v>
      </c>
      <c r="V90" s="83">
        <f t="shared" si="39"/>
        <v>13.724686166700835</v>
      </c>
      <c r="W90" s="83">
        <f t="shared" si="40"/>
        <v>13.724686166700835</v>
      </c>
      <c r="X90" s="83">
        <f t="shared" si="41"/>
        <v>0</v>
      </c>
    </row>
    <row r="91" spans="14:24" x14ac:dyDescent="0.15">
      <c r="N91" s="83">
        <v>7</v>
      </c>
      <c r="O91" s="60">
        <f>基础信息!D96</f>
        <v>39.5</v>
      </c>
      <c r="P91" s="61">
        <f>基础信息!E96</f>
        <v>24.924269098598003</v>
      </c>
      <c r="Q91" s="61">
        <f>基础信息!F96</f>
        <v>64.352574598751431</v>
      </c>
      <c r="R91" s="80">
        <v>0.25</v>
      </c>
      <c r="S91" s="97">
        <f>MIN(求节点(其他调用!$B$4:$B$163,其他调用!$G$4:$G$163,Q91)*R91,P91/INDEX($D$7:$D$8,MATCH(P91,$C$7:$C$8,1))*INDEX($K$7:$K$8,MATCH(P91,$C$7:$C$8,1)))</f>
        <v>548333.92016915604</v>
      </c>
      <c r="T91" s="83">
        <f t="shared" si="42"/>
        <v>0</v>
      </c>
      <c r="U91" s="83">
        <f t="shared" si="38"/>
        <v>0</v>
      </c>
      <c r="V91" s="83">
        <f t="shared" si="39"/>
        <v>24.924269098598003</v>
      </c>
      <c r="W91" s="83">
        <f t="shared" si="40"/>
        <v>24.924269098598003</v>
      </c>
      <c r="X91" s="83">
        <f t="shared" si="41"/>
        <v>0</v>
      </c>
    </row>
    <row r="92" spans="14:24" x14ac:dyDescent="0.15">
      <c r="N92" s="83">
        <v>8</v>
      </c>
      <c r="O92" s="60">
        <f>基础信息!D97</f>
        <v>43.5</v>
      </c>
      <c r="P92" s="61">
        <f>基础信息!E97</f>
        <v>45.136608733654796</v>
      </c>
      <c r="Q92" s="61">
        <f>基础信息!F97</f>
        <v>73.078652735991781</v>
      </c>
      <c r="R92" s="80">
        <v>0.25</v>
      </c>
      <c r="S92" s="97">
        <f>MIN(求节点(其他调用!$B$4:$B$163,其他调用!$G$4:$G$163,Q92)*R92,P92/INDEX($D$7:$D$8,MATCH(P92,$C$7:$C$8,1))*INDEX($K$7:$K$8,MATCH(P92,$C$7:$C$8,1)))</f>
        <v>961723.04049648065</v>
      </c>
      <c r="T92" s="83">
        <f t="shared" si="42"/>
        <v>0</v>
      </c>
      <c r="U92" s="83">
        <f t="shared" si="38"/>
        <v>0</v>
      </c>
      <c r="V92" s="83">
        <f t="shared" si="39"/>
        <v>43.714683658930937</v>
      </c>
      <c r="W92" s="83">
        <f t="shared" si="40"/>
        <v>43.714683658930937</v>
      </c>
      <c r="X92" s="83">
        <f t="shared" si="41"/>
        <v>0</v>
      </c>
    </row>
    <row r="93" spans="14:24" x14ac:dyDescent="0.15">
      <c r="N93" s="83">
        <v>9</v>
      </c>
      <c r="O93" s="60">
        <f>基础信息!D98</f>
        <v>47.5</v>
      </c>
      <c r="P93" s="61">
        <f>基础信息!E98</f>
        <v>81.567079653693213</v>
      </c>
      <c r="Q93" s="61">
        <f>基础信息!F98</f>
        <v>81.690385070357735</v>
      </c>
      <c r="R93" s="80">
        <v>0.25</v>
      </c>
      <c r="S93" s="97">
        <f>MIN(求节点(其他调用!$B$4:$B$163,其他调用!$G$4:$G$163,Q93)*R93,P93/INDEX($D$7:$D$8,MATCH(P93,$C$7:$C$8,1))*INDEX($K$7:$K$8,MATCH(P93,$C$7:$C$8,1)))</f>
        <v>1710169.5679635636</v>
      </c>
      <c r="T93" s="83">
        <f t="shared" si="42"/>
        <v>0</v>
      </c>
      <c r="U93" s="83">
        <f t="shared" si="38"/>
        <v>0</v>
      </c>
      <c r="V93" s="83">
        <f t="shared" si="39"/>
        <v>66.104109694271031</v>
      </c>
      <c r="W93" s="83">
        <f t="shared" si="40"/>
        <v>66.104109694271031</v>
      </c>
      <c r="X93" s="83">
        <f t="shared" si="41"/>
        <v>3.1984894336200127</v>
      </c>
    </row>
    <row r="94" spans="14:24" x14ac:dyDescent="0.15">
      <c r="N94" s="83">
        <v>10</v>
      </c>
      <c r="O94" s="60">
        <f>基础信息!D99</f>
        <v>52</v>
      </c>
      <c r="P94" s="61">
        <f>基础信息!E99</f>
        <v>157.97060377387891</v>
      </c>
      <c r="Q94" s="61">
        <f>基础信息!F99</f>
        <v>92.03038330510195</v>
      </c>
      <c r="R94" s="80">
        <v>0.25</v>
      </c>
      <c r="S94" s="97">
        <f>MIN(求节点(其他调用!$B$4:$B$163,其他调用!$G$4:$G$163,Q94)*R94,P94/INDEX($D$7:$D$8,MATCH(P94,$C$7:$C$8,1))*INDEX($K$7:$K$8,MATCH(P94,$C$7:$C$8,1)))</f>
        <v>3240186.3234051098</v>
      </c>
      <c r="T94" s="83">
        <f t="shared" si="42"/>
        <v>0</v>
      </c>
      <c r="U94" s="83">
        <f t="shared" si="38"/>
        <v>0</v>
      </c>
      <c r="V94" s="83">
        <f t="shared" si="39"/>
        <v>111.87384169465916</v>
      </c>
      <c r="W94" s="83">
        <f t="shared" si="40"/>
        <v>111.87384169465916</v>
      </c>
      <c r="X94" s="83">
        <f t="shared" si="41"/>
        <v>9.7370225765326026</v>
      </c>
    </row>
    <row r="95" spans="14:24" x14ac:dyDescent="0.15">
      <c r="N95" s="83">
        <v>11</v>
      </c>
      <c r="O95" s="60">
        <f>基础信息!D100</f>
        <v>57</v>
      </c>
      <c r="P95" s="61">
        <f>基础信息!E100</f>
        <v>329.56496855407232</v>
      </c>
      <c r="Q95" s="61">
        <f>基础信息!F100</f>
        <v>102.71853803916484</v>
      </c>
      <c r="R95" s="80">
        <v>0.25</v>
      </c>
      <c r="S95" s="97">
        <f>MIN(求节点(其他调用!$B$4:$B$163,其他调用!$G$4:$G$163,Q95)*R95,P95/INDEX($D$7:$D$8,MATCH(P95,$C$7:$C$8,1))*INDEX($K$7:$K$8,MATCH(P95,$C$7:$C$8,1)))</f>
        <v>6640985.1706011957</v>
      </c>
      <c r="T95" s="83">
        <f t="shared" si="42"/>
        <v>0</v>
      </c>
      <c r="U95" s="83">
        <f t="shared" si="38"/>
        <v>0</v>
      </c>
      <c r="V95" s="83">
        <f t="shared" si="39"/>
        <v>213.60714054240532</v>
      </c>
      <c r="W95" s="83">
        <f t="shared" si="40"/>
        <v>213.60714054240532</v>
      </c>
      <c r="X95" s="83">
        <f t="shared" si="41"/>
        <v>24.270350983353481</v>
      </c>
    </row>
    <row r="96" spans="14:24" x14ac:dyDescent="0.15">
      <c r="N96" s="83">
        <v>12</v>
      </c>
      <c r="O96" s="60">
        <f>基础信息!D101</f>
        <v>62</v>
      </c>
      <c r="P96" s="61">
        <f>基础信息!E101</f>
        <v>686.27045912077301</v>
      </c>
      <c r="Q96" s="61">
        <f>基础信息!F101</f>
        <v>113.4549371467006</v>
      </c>
      <c r="R96" s="80">
        <v>0.25</v>
      </c>
      <c r="S96" s="97">
        <f>MIN(求节点(其他调用!$B$4:$B$163,其他调用!$G$4:$G$163,Q96)*R96,P96/INDEX($D$7:$D$8,MATCH(P96,$C$7:$C$8,1))*INDEX($K$7:$K$8,MATCH(P96,$C$7:$C$8,1)))</f>
        <v>13660875.333642537</v>
      </c>
      <c r="T96" s="83">
        <f t="shared" si="42"/>
        <v>0</v>
      </c>
      <c r="U96" s="83">
        <f t="shared" si="38"/>
        <v>0</v>
      </c>
      <c r="V96" s="83">
        <f t="shared" si="39"/>
        <v>423.60385482141976</v>
      </c>
      <c r="W96" s="83">
        <f t="shared" si="40"/>
        <v>423.60385482141976</v>
      </c>
      <c r="X96" s="83">
        <f t="shared" si="41"/>
        <v>54.269881594641262</v>
      </c>
    </row>
    <row r="97" spans="14:24" x14ac:dyDescent="0.15">
      <c r="N97" s="83">
        <v>13</v>
      </c>
      <c r="O97" s="60">
        <f>基础信息!D102</f>
        <v>67</v>
      </c>
      <c r="P97" s="61">
        <f>基础信息!E102</f>
        <v>1426.7099622668038</v>
      </c>
      <c r="Q97" s="61">
        <f>基础信息!F102</f>
        <v>124.11624751239822</v>
      </c>
      <c r="R97" s="80">
        <v>0.25</v>
      </c>
      <c r="S97" s="97">
        <f>MIN(求节点(其他调用!$B$4:$B$163,其他调用!$G$4:$G$163,Q97)*R97,P97/INDEX($D$7:$D$8,MATCH(P97,$C$7:$C$8,1))*INDEX($K$7:$K$8,MATCH(P97,$C$7:$C$8,1)))</f>
        <v>28154084.745990187</v>
      </c>
      <c r="T97" s="83">
        <f t="shared" si="42"/>
        <v>0</v>
      </c>
      <c r="U97" s="83">
        <f t="shared" si="38"/>
        <v>0</v>
      </c>
      <c r="V97" s="83">
        <f t="shared" si="39"/>
        <v>857.16140134464013</v>
      </c>
      <c r="W97" s="83">
        <f t="shared" si="40"/>
        <v>857.16140134464013</v>
      </c>
      <c r="X97" s="83">
        <f t="shared" si="41"/>
        <v>116.20667395510131</v>
      </c>
    </row>
    <row r="98" spans="14:24" x14ac:dyDescent="0.15">
      <c r="N98" s="83">
        <v>14</v>
      </c>
      <c r="O98" s="60">
        <f>基础信息!D103</f>
        <v>72</v>
      </c>
      <c r="P98" s="61">
        <f>基础信息!E103</f>
        <v>2961.6410125841235</v>
      </c>
      <c r="Q98" s="61">
        <f>基础信息!F103</f>
        <v>134.91256595481366</v>
      </c>
      <c r="R98" s="80">
        <v>0.25</v>
      </c>
      <c r="S98" s="97">
        <f>MIN(求节点(其他调用!$B$4:$B$163,其他调用!$G$4:$G$163,Q98)*R98,P98/INDEX($D$7:$D$8,MATCH(P98,$C$7:$C$8,1))*INDEX($K$7:$K$8,MATCH(P98,$C$7:$C$8,1)))</f>
        <v>58083206.299134523</v>
      </c>
      <c r="T98" s="83">
        <f t="shared" si="42"/>
        <v>0</v>
      </c>
      <c r="U98" s="83">
        <f t="shared" si="38"/>
        <v>0</v>
      </c>
      <c r="V98" s="83">
        <f t="shared" si="39"/>
        <v>1752.4770033617783</v>
      </c>
      <c r="W98" s="83">
        <f t="shared" si="40"/>
        <v>1752.4770033617783</v>
      </c>
      <c r="X98" s="83">
        <f t="shared" si="41"/>
        <v>244.1089028146925</v>
      </c>
    </row>
    <row r="99" spans="14:24" x14ac:dyDescent="0.15">
      <c r="N99" s="83">
        <v>15</v>
      </c>
      <c r="O99" s="60">
        <f>基础信息!D104</f>
        <v>77</v>
      </c>
      <c r="P99" s="61">
        <f>基础信息!E104</f>
        <v>6139.6022012692774</v>
      </c>
      <c r="Q99" s="61">
        <f>基础信息!F104</f>
        <v>145.53468456757108</v>
      </c>
      <c r="R99" s="80">
        <v>0.25</v>
      </c>
      <c r="S99" s="97">
        <f>MIN(求节点(其他调用!$B$4:$B$163,其他调用!$G$4:$G$163,Q99)*R99,P99/INDEX($D$7:$D$8,MATCH(P99,$C$7:$C$8,1))*INDEX($K$7:$K$8,MATCH(P99,$C$7:$C$8,1)))</f>
        <v>119877775.7250468</v>
      </c>
      <c r="T99" s="83">
        <f t="shared" si="42"/>
        <v>0</v>
      </c>
      <c r="U99" s="83">
        <f t="shared" si="38"/>
        <v>0</v>
      </c>
      <c r="V99" s="83">
        <f t="shared" si="39"/>
        <v>3601.0324990087265</v>
      </c>
      <c r="W99" s="83">
        <f t="shared" si="40"/>
        <v>3601.0324990087265</v>
      </c>
      <c r="X99" s="83">
        <f t="shared" si="41"/>
        <v>508.18825933568513</v>
      </c>
    </row>
    <row r="100" spans="14:24" x14ac:dyDescent="0.15">
      <c r="N100" s="83">
        <v>16</v>
      </c>
      <c r="O100" s="60">
        <f>基础信息!D105</f>
        <v>80</v>
      </c>
      <c r="P100" s="61">
        <f>基础信息!E105</f>
        <v>9502.5750000000007</v>
      </c>
      <c r="Q100" s="61">
        <f>基础信息!F105</f>
        <v>151.0810487166913</v>
      </c>
      <c r="R100" s="80">
        <v>0.25</v>
      </c>
      <c r="S100" s="97">
        <f>MIN(求节点(其他调用!$B$4:$B$163,其他调用!$G$4:$G$163,Q100)*R100,P100/INDEX($D$7:$D$8,MATCH(P100,$C$7:$C$8,1))*INDEX($K$7:$K$8,MATCH(P100,$C$7:$C$8,1)))</f>
        <v>185148362.85237664</v>
      </c>
      <c r="T100" s="83">
        <f t="shared" si="42"/>
        <v>0</v>
      </c>
      <c r="U100" s="83">
        <f t="shared" si="38"/>
        <v>0</v>
      </c>
      <c r="V100" s="83">
        <f t="shared" si="39"/>
        <v>5553.5714301681655</v>
      </c>
      <c r="W100" s="83">
        <f t="shared" si="40"/>
        <v>5553.5714301681655</v>
      </c>
      <c r="X100" s="83">
        <f t="shared" si="41"/>
        <v>787.12239235846221</v>
      </c>
    </row>
  </sheetData>
  <mergeCells count="6">
    <mergeCell ref="T83:X83"/>
    <mergeCell ref="E5:I5"/>
    <mergeCell ref="T3:X3"/>
    <mergeCell ref="T23:X23"/>
    <mergeCell ref="T43:X43"/>
    <mergeCell ref="T63:X6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DBB2D-63AB-4DD7-95ED-83B122A9C5CA}">
  <sheetPr codeName="Sheet13"/>
  <dimension ref="C3:R100"/>
  <sheetViews>
    <sheetView workbookViewId="0">
      <selection activeCell="J3" sqref="J3"/>
    </sheetView>
  </sheetViews>
  <sheetFormatPr defaultRowHeight="11.25" x14ac:dyDescent="0.15"/>
  <cols>
    <col min="1" max="2" width="9" style="72"/>
    <col min="3" max="4" width="10.5" style="72" bestFit="1" customWidth="1"/>
    <col min="5" max="5" width="8.25" style="76" bestFit="1" customWidth="1"/>
    <col min="6" max="6" width="10.5" style="76" bestFit="1" customWidth="1"/>
    <col min="7" max="8" width="10.5" style="72" bestFit="1" customWidth="1"/>
    <col min="9" max="10" width="9" style="72"/>
    <col min="11" max="12" width="10.5" style="72" bestFit="1" customWidth="1"/>
    <col min="13" max="13" width="9" style="72"/>
    <col min="14" max="14" width="10.5" style="72" bestFit="1" customWidth="1"/>
    <col min="15" max="16384" width="9" style="72"/>
  </cols>
  <sheetData>
    <row r="3" spans="3:15" x14ac:dyDescent="0.15">
      <c r="C3" s="72" t="s">
        <v>0</v>
      </c>
      <c r="K3" s="72" t="s">
        <v>247</v>
      </c>
      <c r="N3" s="72" t="s">
        <v>250</v>
      </c>
    </row>
    <row r="4" spans="3:15" x14ac:dyDescent="0.15">
      <c r="C4" s="72" t="s">
        <v>21</v>
      </c>
      <c r="D4" s="72" t="s">
        <v>121</v>
      </c>
      <c r="E4" s="76" t="s">
        <v>122</v>
      </c>
      <c r="F4" s="76" t="s">
        <v>103</v>
      </c>
      <c r="G4" s="72" t="s">
        <v>173</v>
      </c>
      <c r="H4" s="72" t="s">
        <v>174</v>
      </c>
      <c r="I4" s="72" t="s">
        <v>198</v>
      </c>
      <c r="K4" s="95" t="s">
        <v>248</v>
      </c>
      <c r="L4" s="95" t="s">
        <v>249</v>
      </c>
      <c r="N4" s="72" t="s">
        <v>251</v>
      </c>
      <c r="O4" s="72" t="s">
        <v>252</v>
      </c>
    </row>
    <row r="5" spans="3:15" x14ac:dyDescent="0.15">
      <c r="C5" s="72">
        <v>1</v>
      </c>
      <c r="D5" s="78">
        <f>基础信息!D10</f>
        <v>16</v>
      </c>
      <c r="E5" s="79">
        <f>基础信息!E10</f>
        <v>2.5387719203926467</v>
      </c>
      <c r="F5" s="79">
        <f>基础信息!F10</f>
        <v>18.226342304552581</v>
      </c>
      <c r="G5" s="72">
        <f>门客升级!T5+门客进修!T5</f>
        <v>120</v>
      </c>
      <c r="H5" s="72">
        <f>寻访!AI5+MAX(SUMPRODUCT(门客产销!V5:Z5,门客升级!$D$8:$H$8),0)</f>
        <v>0</v>
      </c>
      <c r="I5" s="72">
        <f>H5/G5</f>
        <v>0</v>
      </c>
      <c r="K5" s="95">
        <f>IFERROR(寻访!AI5/H5,0)</f>
        <v>0</v>
      </c>
      <c r="L5" s="95">
        <f>IFERROR(MAX(SUMPRODUCT(门客产销!L5:P5-门客产销!G5:K5,门客升级!$D$8:$H$8),0)/H5,0)</f>
        <v>0</v>
      </c>
      <c r="N5" s="72">
        <f>门客升级!T5/G5</f>
        <v>1</v>
      </c>
      <c r="O5" s="72">
        <f>门客进修!T5/G5</f>
        <v>0</v>
      </c>
    </row>
    <row r="6" spans="3:15" x14ac:dyDescent="0.15">
      <c r="C6" s="72">
        <v>2</v>
      </c>
      <c r="D6" s="78">
        <f>基础信息!D11</f>
        <v>19.5</v>
      </c>
      <c r="E6" s="79">
        <f>基础信息!E11</f>
        <v>4.8228975321654577</v>
      </c>
      <c r="F6" s="79">
        <f>基础信息!F11</f>
        <v>25.408961498441148</v>
      </c>
      <c r="G6" s="72">
        <f>门客升级!T6+门客进修!T6</f>
        <v>760</v>
      </c>
      <c r="H6" s="98">
        <f>寻访!AI6+MAX(SUMPRODUCT(门客产销!V6:Z6,门客升级!$D$8:$H$8),0)</f>
        <v>228.41256117728111</v>
      </c>
      <c r="I6" s="86">
        <f t="shared" ref="I6:I20" si="0">H6/G6</f>
        <v>0.30054284365431727</v>
      </c>
      <c r="K6" s="95">
        <f>IFERROR(寻访!AI6/H6,0)</f>
        <v>1</v>
      </c>
      <c r="L6" s="95">
        <f>IFERROR(MAX(SUMPRODUCT(门客产销!L6:P6-门客产销!G6:K6,门客升级!$D$8:$H$8),0)/H6,0)</f>
        <v>0.56249519070341636</v>
      </c>
      <c r="N6" s="95">
        <f>门客升级!T6/G6</f>
        <v>1</v>
      </c>
      <c r="O6" s="95">
        <f>门客进修!T6/G6</f>
        <v>0</v>
      </c>
    </row>
    <row r="7" spans="3:15" x14ac:dyDescent="0.15">
      <c r="C7" s="72">
        <v>3</v>
      </c>
      <c r="D7" s="78">
        <f>基础信息!D12</f>
        <v>23.5</v>
      </c>
      <c r="E7" s="79">
        <f>基础信息!E12</f>
        <v>9.6550138771594227</v>
      </c>
      <c r="F7" s="79">
        <f>基础信息!F12</f>
        <v>34.130602806306101</v>
      </c>
      <c r="G7" s="72">
        <f>门客升级!T7+门客进修!T7</f>
        <v>2160</v>
      </c>
      <c r="H7" s="98">
        <f>寻访!AI7+MAX(SUMPRODUCT(门客产销!V7:Z7,门客升级!$D$8:$H$8),0)</f>
        <v>759.94535912661718</v>
      </c>
      <c r="I7" s="86">
        <f t="shared" si="0"/>
        <v>0.35182655515121164</v>
      </c>
      <c r="K7" s="95">
        <f>IFERROR(寻访!AI7/H7,0)</f>
        <v>1</v>
      </c>
      <c r="L7" s="95">
        <f>IFERROR(MAX(SUMPRODUCT(门客产销!L7:P7-门客产销!G7:K7,门客升级!$D$8:$H$8),0)/H7,0)</f>
        <v>0.28991938186473176</v>
      </c>
      <c r="N7" s="95">
        <f>门客升级!T7/G7</f>
        <v>1</v>
      </c>
      <c r="O7" s="95">
        <f>门客进修!T7/G7</f>
        <v>0</v>
      </c>
    </row>
    <row r="8" spans="3:15" x14ac:dyDescent="0.15">
      <c r="C8" s="72">
        <v>4</v>
      </c>
      <c r="D8" s="78">
        <f>基础信息!D13</f>
        <v>27.5</v>
      </c>
      <c r="E8" s="79">
        <f>基础信息!E13</f>
        <v>18.870223137985384</v>
      </c>
      <c r="F8" s="79">
        <f>基础信息!F13</f>
        <v>43.121594697945582</v>
      </c>
      <c r="G8" s="72">
        <f>门客升级!T8+门客进修!T8</f>
        <v>4640</v>
      </c>
      <c r="H8" s="98">
        <f>寻访!AI8+MAX(SUMPRODUCT(门客产销!V8:Z8,门客升级!$D$8:$H$8),0)</f>
        <v>2065.7704704257326</v>
      </c>
      <c r="I8" s="86">
        <f t="shared" si="0"/>
        <v>0.44520915310899412</v>
      </c>
      <c r="K8" s="95">
        <f>IFERROR(寻访!AI8/H8,0)</f>
        <v>0.9031838227609178</v>
      </c>
      <c r="L8" s="95">
        <f>IFERROR(MAX(SUMPRODUCT(门客产销!L8:P8-门客产销!G8:K8,门客升级!$D$8:$H$8),0)/H8,0)</f>
        <v>7.9054845552690767E-2</v>
      </c>
      <c r="N8" s="95">
        <f>门客升级!T8/G8</f>
        <v>1</v>
      </c>
      <c r="O8" s="95">
        <f>门客进修!T8/G8</f>
        <v>0</v>
      </c>
    </row>
    <row r="9" spans="3:15" x14ac:dyDescent="0.15">
      <c r="C9" s="72">
        <v>5</v>
      </c>
      <c r="D9" s="78">
        <f>基础信息!D14</f>
        <v>31.5</v>
      </c>
      <c r="E9" s="79">
        <f>基础信息!E14</f>
        <v>36.28923876358067</v>
      </c>
      <c r="F9" s="79">
        <f>基础信息!F14</f>
        <v>52.20122679843417</v>
      </c>
      <c r="G9" s="72">
        <f>门客升级!T9+门客进修!T9</f>
        <v>8400</v>
      </c>
      <c r="H9" s="98">
        <f>寻访!AI9+MAX(SUMPRODUCT(门客产销!V9:Z9,门客升级!$D$8:$H$8),0)</f>
        <v>6830.1899237203888</v>
      </c>
      <c r="I9" s="86">
        <f t="shared" si="0"/>
        <v>0.81311784806195109</v>
      </c>
      <c r="K9" s="95">
        <f>IFERROR(寻访!AI9/H9,0)</f>
        <v>0.69396431162006955</v>
      </c>
      <c r="L9" s="95">
        <f>IFERROR(MAX(SUMPRODUCT(门客产销!L9:P9-门客产销!G9:K9,门客升级!$D$8:$H$8),0)/H9,0)</f>
        <v>0.26432307468902783</v>
      </c>
      <c r="N9" s="95">
        <f>门客升级!T9/G9</f>
        <v>1</v>
      </c>
      <c r="O9" s="95">
        <f>门客进修!T9/G9</f>
        <v>0</v>
      </c>
    </row>
    <row r="10" spans="3:15" x14ac:dyDescent="0.15">
      <c r="C10" s="72">
        <v>6</v>
      </c>
      <c r="D10" s="78">
        <f>基础信息!D15</f>
        <v>35.5</v>
      </c>
      <c r="E10" s="79">
        <f>基础信息!E15</f>
        <v>68.623430833504159</v>
      </c>
      <c r="F10" s="79">
        <f>基础信息!F15</f>
        <v>61.20919943756077</v>
      </c>
      <c r="G10" s="72">
        <f>门客升级!T10+门客进修!T10</f>
        <v>14880</v>
      </c>
      <c r="H10" s="98">
        <f>寻访!AI10+MAX(SUMPRODUCT(门客产销!V10:Z10,门客升级!$D$8:$H$8),0)</f>
        <v>17971.136538515446</v>
      </c>
      <c r="I10" s="86">
        <f t="shared" si="0"/>
        <v>1.2077376705991563</v>
      </c>
      <c r="K10" s="95">
        <f>IFERROR(寻访!AI10/H10,0)</f>
        <v>0.63439235412959494</v>
      </c>
      <c r="L10" s="95">
        <f>IFERROR(MAX(SUMPRODUCT(门客产销!L10:P10-门客产销!G10:K10,门客升级!$D$8:$H$8),0)/H10,0)</f>
        <v>0.35860356764503248</v>
      </c>
      <c r="N10" s="95">
        <f>门客升级!T10/G10</f>
        <v>1</v>
      </c>
      <c r="O10" s="95">
        <f>门客进修!T10/G10</f>
        <v>0</v>
      </c>
    </row>
    <row r="11" spans="3:15" x14ac:dyDescent="0.15">
      <c r="C11" s="72">
        <v>7</v>
      </c>
      <c r="D11" s="78">
        <f>基础信息!D16</f>
        <v>39.5</v>
      </c>
      <c r="E11" s="79">
        <f>基础信息!E16</f>
        <v>124.62134549299002</v>
      </c>
      <c r="F11" s="79">
        <f>基础信息!F16</f>
        <v>69.722501590522299</v>
      </c>
      <c r="G11" s="72">
        <f>门客升级!T11+门客进修!T11</f>
        <v>41860</v>
      </c>
      <c r="H11" s="98">
        <f>寻访!AI11+MAX(SUMPRODUCT(门客产销!V11:Z11,门客升级!$D$8:$H$8),0)</f>
        <v>40777.926368147448</v>
      </c>
      <c r="I11" s="86">
        <f t="shared" si="0"/>
        <v>0.97415017601881149</v>
      </c>
      <c r="K11" s="95">
        <f>IFERROR(寻访!AI11/H11,0)</f>
        <v>0.63971386134239239</v>
      </c>
      <c r="L11" s="95">
        <f>IFERROR(MAX(SUMPRODUCT(门客产销!L11:P11-门客产销!G11:K11,门客升级!$D$8:$H$8),0)/H11,0)</f>
        <v>0.3580702025755072</v>
      </c>
      <c r="N11" s="95">
        <f>门客升级!T11/G11</f>
        <v>0.74916387959866215</v>
      </c>
      <c r="O11" s="95">
        <f>门客进修!T11/G11</f>
        <v>0.25083612040133779</v>
      </c>
    </row>
    <row r="12" spans="3:15" x14ac:dyDescent="0.15">
      <c r="C12" s="72">
        <v>8</v>
      </c>
      <c r="D12" s="78">
        <f>基础信息!D17</f>
        <v>43.5</v>
      </c>
      <c r="E12" s="79">
        <f>基础信息!E17</f>
        <v>225.68304366827394</v>
      </c>
      <c r="F12" s="79">
        <f>基础信息!F17</f>
        <v>78.238948396428512</v>
      </c>
      <c r="G12" s="72">
        <f>门客升级!T12+门客进修!T12</f>
        <v>103040</v>
      </c>
      <c r="H12" s="98">
        <f>寻访!AI12+MAX(SUMPRODUCT(门客产销!V12:Z12,门客升级!$D$8:$H$8),0)</f>
        <v>90305.746977958363</v>
      </c>
      <c r="I12" s="86">
        <f t="shared" si="0"/>
        <v>0.87641446989478222</v>
      </c>
      <c r="K12" s="95">
        <f>IFERROR(寻访!AI12/H12,0)</f>
        <v>0.61704320698444604</v>
      </c>
      <c r="L12" s="95">
        <f>IFERROR(MAX(SUMPRODUCT(门客产销!L12:P12-门客产销!G12:K12,门客升级!$D$8:$H$8),0)/H12,0)</f>
        <v>0.37749749096898966</v>
      </c>
      <c r="N12" s="95">
        <f>门客升级!T12/G12</f>
        <v>0.84472049689440998</v>
      </c>
      <c r="O12" s="95">
        <f>门客进修!T12/G12</f>
        <v>0.15527950310559005</v>
      </c>
    </row>
    <row r="13" spans="3:15" x14ac:dyDescent="0.15">
      <c r="C13" s="72">
        <v>9</v>
      </c>
      <c r="D13" s="78">
        <f>基础信息!D18</f>
        <v>47.5</v>
      </c>
      <c r="E13" s="79">
        <f>基础信息!E18</f>
        <v>407.83539826846607</v>
      </c>
      <c r="F13" s="79">
        <f>基础信息!F18</f>
        <v>86.747293257864058</v>
      </c>
      <c r="G13" s="72">
        <f>门客升级!T13+门客进修!T13</f>
        <v>211320</v>
      </c>
      <c r="H13" s="98">
        <f>寻访!AI13+MAX(SUMPRODUCT(门客产销!V13:Z13,门客升级!$D$8:$H$8),0)</f>
        <v>192525.16185751933</v>
      </c>
      <c r="I13" s="86">
        <f t="shared" si="0"/>
        <v>0.9110598232894157</v>
      </c>
      <c r="K13" s="95">
        <f>IFERROR(寻访!AI13/H13,0)</f>
        <v>0.60567133731754008</v>
      </c>
      <c r="L13" s="95">
        <f>IFERROR(MAX(SUMPRODUCT(门客产销!L13:P13-门客产销!G13:K13,门客升级!$D$8:$H$8),0)/H13,0)</f>
        <v>0.39607908072016884</v>
      </c>
      <c r="N13" s="95">
        <f>门客升级!T13/G13</f>
        <v>0.87223168654173766</v>
      </c>
      <c r="O13" s="95">
        <f>门客进修!T13/G13</f>
        <v>0.12776831345826234</v>
      </c>
    </row>
    <row r="14" spans="3:15" x14ac:dyDescent="0.15">
      <c r="C14" s="72">
        <v>10</v>
      </c>
      <c r="D14" s="78">
        <f>基础信息!D19</f>
        <v>52</v>
      </c>
      <c r="E14" s="79">
        <f>基础信息!E19</f>
        <v>789.85301886939453</v>
      </c>
      <c r="F14" s="79">
        <f>基础信息!F19</f>
        <v>96.265821375882837</v>
      </c>
      <c r="G14" s="72">
        <f>门客升级!T14+门客进修!T14</f>
        <v>327800</v>
      </c>
      <c r="H14" s="98">
        <f>寻访!AI14+MAX(SUMPRODUCT(门客产销!V14:Z14,门客升级!$D$8:$H$8),0)</f>
        <v>430370.1642915128</v>
      </c>
      <c r="I14" s="86">
        <f t="shared" si="0"/>
        <v>1.3129047110784404</v>
      </c>
      <c r="K14" s="95">
        <f>IFERROR(寻访!AI14/H14,0)</f>
        <v>0.60403602746944551</v>
      </c>
      <c r="L14" s="95">
        <f>IFERROR(MAX(SUMPRODUCT(门客产销!L14:P14-门客产销!G14:K14,门客升级!$D$8:$H$8),0)/H14,0)</f>
        <v>0.39740808025141955</v>
      </c>
      <c r="N14" s="95">
        <f>门客升级!T14/G14</f>
        <v>0.91763270286760223</v>
      </c>
      <c r="O14" s="95">
        <f>门客进修!T14/G14</f>
        <v>8.2367297132397807E-2</v>
      </c>
    </row>
    <row r="15" spans="3:15" x14ac:dyDescent="0.15">
      <c r="C15" s="72">
        <v>11</v>
      </c>
      <c r="D15" s="78">
        <f>基础信息!D20</f>
        <v>57</v>
      </c>
      <c r="E15" s="79">
        <f>基础信息!E20</f>
        <v>1647.8248427703616</v>
      </c>
      <c r="F15" s="79">
        <f>基础信息!F20</f>
        <v>106.86832874572353</v>
      </c>
      <c r="G15" s="72">
        <f>门客升级!T15+门客进修!T15</f>
        <v>416546.66666666669</v>
      </c>
      <c r="H15" s="98">
        <f>寻访!AI15+MAX(SUMPRODUCT(门客产销!V15:Z15,门客升级!$D$8:$H$8),0)</f>
        <v>1013701.4357637605</v>
      </c>
      <c r="I15" s="86">
        <f t="shared" si="0"/>
        <v>2.4335843181166426</v>
      </c>
      <c r="K15" s="95">
        <f>IFERROR(寻访!AI15/H15,0)</f>
        <v>0.61251548906738973</v>
      </c>
      <c r="L15" s="95">
        <f>IFERROR(MAX(SUMPRODUCT(门客产销!L15:P15-门客产销!G15:K15,门客升级!$D$8:$H$8),0)/H15,0)</f>
        <v>0.38659415637176098</v>
      </c>
      <c r="N15" s="95">
        <f>门客升级!T15/G15</f>
        <v>0.79434077014180082</v>
      </c>
      <c r="O15" s="95">
        <f>门客进修!T15/G15</f>
        <v>0.20565922985819915</v>
      </c>
    </row>
    <row r="16" spans="3:15" x14ac:dyDescent="0.15">
      <c r="C16" s="72">
        <v>12</v>
      </c>
      <c r="D16" s="78">
        <f>基础信息!D21</f>
        <v>62</v>
      </c>
      <c r="E16" s="79">
        <f>基础信息!E21</f>
        <v>3431.3522956038646</v>
      </c>
      <c r="F16" s="79">
        <f>基础信息!F21</f>
        <v>117.44125295293078</v>
      </c>
      <c r="G16" s="72">
        <f>门客升级!T16+门客进修!T16</f>
        <v>483960</v>
      </c>
      <c r="H16" s="98">
        <f>寻访!AI16+MAX(SUMPRODUCT(门客产销!V16:Z16,门客升级!$D$8:$H$8),0)</f>
        <v>2307456.668180034</v>
      </c>
      <c r="I16" s="86">
        <f t="shared" si="0"/>
        <v>4.7678664934706054</v>
      </c>
      <c r="K16" s="95">
        <f>IFERROR(寻访!AI16/H16,0)</f>
        <v>0.61953890511729737</v>
      </c>
      <c r="L16" s="95">
        <f>IFERROR(MAX(SUMPRODUCT(门客产销!L16:P16-门客产销!G16:K16,门客升级!$D$8:$H$8),0)/H16,0)</f>
        <v>0.37959852954383672</v>
      </c>
      <c r="N16" s="95">
        <f>门客升级!T16/G16</f>
        <v>0.74584676419538809</v>
      </c>
      <c r="O16" s="95">
        <f>门客进修!T16/G16</f>
        <v>0.25415323580461197</v>
      </c>
    </row>
    <row r="17" spans="3:18" x14ac:dyDescent="0.15">
      <c r="C17" s="72">
        <v>13</v>
      </c>
      <c r="D17" s="78">
        <f>基础信息!D22</f>
        <v>67</v>
      </c>
      <c r="E17" s="79">
        <f>基础信息!E22</f>
        <v>7133.5498113340191</v>
      </c>
      <c r="F17" s="79">
        <f>基础信息!F22</f>
        <v>128.00586023511804</v>
      </c>
      <c r="G17" s="72">
        <f>门客升级!T17+门客进修!T17</f>
        <v>522040</v>
      </c>
      <c r="H17" s="98">
        <f>寻访!AI17+MAX(SUMPRODUCT(门客产销!V17:Z17,门客升级!$D$8:$H$8),0)</f>
        <v>5096675.1351152183</v>
      </c>
      <c r="I17" s="86">
        <f t="shared" si="0"/>
        <v>9.7629973471673015</v>
      </c>
      <c r="K17" s="95">
        <f>IFERROR(寻访!AI17/H17,0)</f>
        <v>0.62759626146531089</v>
      </c>
      <c r="L17" s="95">
        <f>IFERROR(MAX(SUMPRODUCT(门客产销!L17:P17-门客产销!G17:K17,门客升级!$D$8:$H$8),0)/H17,0)</f>
        <v>0.37209193567846144</v>
      </c>
      <c r="N17" s="95">
        <f>门客升级!T17/G17</f>
        <v>0.74906137460730982</v>
      </c>
      <c r="O17" s="95">
        <f>门客进修!T17/G17</f>
        <v>0.25093862539269024</v>
      </c>
    </row>
    <row r="18" spans="3:18" x14ac:dyDescent="0.15">
      <c r="C18" s="72">
        <v>14</v>
      </c>
      <c r="D18" s="78">
        <f>基础信息!D23</f>
        <v>72</v>
      </c>
      <c r="E18" s="79">
        <f>基础信息!E23</f>
        <v>14808.205062920617</v>
      </c>
      <c r="F18" s="79">
        <f>基础信息!F23</f>
        <v>138.53345528648683</v>
      </c>
      <c r="G18" s="72">
        <f>门客升级!T18+门客进修!T18</f>
        <v>672120</v>
      </c>
      <c r="H18" s="98">
        <f>寻访!AI18+MAX(SUMPRODUCT(门客产销!V18:Z18,门客升级!$D$8:$H$8),0)</f>
        <v>11102351.506220723</v>
      </c>
      <c r="I18" s="86">
        <f t="shared" si="0"/>
        <v>16.518406692585732</v>
      </c>
      <c r="K18" s="95">
        <f>IFERROR(寻访!AI18/H18,0)</f>
        <v>0.63532789334054762</v>
      </c>
      <c r="L18" s="95">
        <f>IFERROR(MAX(SUMPRODUCT(门客产销!L18:P18-门客产销!G18:K18,门客升级!$D$8:$H$8),0)/H18,0)</f>
        <v>0.36467210665945232</v>
      </c>
      <c r="N18" s="95">
        <f>门客升级!T18/G18</f>
        <v>0.62655478188418734</v>
      </c>
      <c r="O18" s="95">
        <f>门客进修!T18/G18</f>
        <v>0.37344521811581272</v>
      </c>
    </row>
    <row r="19" spans="3:18" x14ac:dyDescent="0.15">
      <c r="C19" s="72">
        <v>15</v>
      </c>
      <c r="D19" s="78">
        <f>基础信息!D24</f>
        <v>77</v>
      </c>
      <c r="E19" s="79">
        <f>基础信息!E24</f>
        <v>30698.011006346387</v>
      </c>
      <c r="F19" s="79">
        <f>基础信息!F24</f>
        <v>149.05713970651243</v>
      </c>
      <c r="G19" s="72">
        <f>门客升级!T19+门客进修!T19</f>
        <v>702200</v>
      </c>
      <c r="H19" s="98">
        <f>寻访!AI19+MAX(SUMPRODUCT(门客产销!V19:Z19,门客升级!$D$8:$H$8),0)</f>
        <v>23982604.538059346</v>
      </c>
      <c r="I19" s="86">
        <f t="shared" si="0"/>
        <v>34.1535239790079</v>
      </c>
      <c r="K19" s="95">
        <f>IFERROR(寻访!AI19/H19,0)</f>
        <v>0.64311567368741906</v>
      </c>
      <c r="L19" s="95">
        <f>IFERROR(MAX(SUMPRODUCT(门客产销!L19:P19-门客产销!G19:K19,门客升级!$D$8:$H$8),0)/H19,0)</f>
        <v>0.35688432631258088</v>
      </c>
      <c r="N19" s="95">
        <f>门客升级!T19/G19</f>
        <v>0.6425519794930219</v>
      </c>
      <c r="O19" s="95">
        <f>门客进修!T19/G19</f>
        <v>0.3574480205069781</v>
      </c>
    </row>
    <row r="20" spans="3:18" x14ac:dyDescent="0.15">
      <c r="C20" s="72">
        <v>16</v>
      </c>
      <c r="D20" s="78">
        <f>基础信息!D25</f>
        <v>80</v>
      </c>
      <c r="E20" s="79">
        <f>基础信息!E25</f>
        <v>47512.875</v>
      </c>
      <c r="F20" s="79">
        <f>基础信息!F25</f>
        <v>155.35264798579232</v>
      </c>
      <c r="G20" s="72">
        <f>门客升级!T20+门客进修!T20</f>
        <v>1532280</v>
      </c>
      <c r="H20" s="98">
        <f>寻访!AI20+MAX(SUMPRODUCT(门客产销!V20:Z20,门客升级!$D$8:$H$8),0)</f>
        <v>37918221.368206441</v>
      </c>
      <c r="I20" s="86">
        <f t="shared" si="0"/>
        <v>24.746274419953561</v>
      </c>
      <c r="K20" s="95">
        <f>IFERROR(寻访!AI20/H20,0)</f>
        <v>0.6492159936447861</v>
      </c>
      <c r="L20" s="95">
        <f>IFERROR(MAX(SUMPRODUCT(门客产销!L20:P20-门客产销!G20:K20,门客升级!$D$8:$H$8),0)/H20,0)</f>
        <v>0.35078400635521406</v>
      </c>
      <c r="N20" s="95">
        <f>门客升级!T20/G20</f>
        <v>0.31409402981178375</v>
      </c>
      <c r="O20" s="95">
        <f>门客进修!T20/G20</f>
        <v>0.68590597018821631</v>
      </c>
    </row>
    <row r="23" spans="3:18" x14ac:dyDescent="0.15">
      <c r="C23" s="72" t="s">
        <v>1</v>
      </c>
    </row>
    <row r="24" spans="3:18" x14ac:dyDescent="0.15">
      <c r="C24" s="72" t="s">
        <v>21</v>
      </c>
      <c r="D24" s="72" t="s">
        <v>121</v>
      </c>
      <c r="E24" s="76" t="s">
        <v>122</v>
      </c>
      <c r="F24" s="76" t="s">
        <v>103</v>
      </c>
      <c r="G24" s="72" t="s">
        <v>173</v>
      </c>
      <c r="H24" s="86" t="s">
        <v>174</v>
      </c>
      <c r="I24" s="86" t="s">
        <v>198</v>
      </c>
      <c r="K24" s="95" t="s">
        <v>248</v>
      </c>
      <c r="L24" s="95" t="s">
        <v>249</v>
      </c>
      <c r="N24" s="95" t="s">
        <v>251</v>
      </c>
      <c r="O24" s="95" t="s">
        <v>252</v>
      </c>
    </row>
    <row r="25" spans="3:18" x14ac:dyDescent="0.15">
      <c r="C25" s="72">
        <v>1</v>
      </c>
      <c r="D25" s="78">
        <f>基础信息!D30</f>
        <v>16</v>
      </c>
      <c r="E25" s="79">
        <f>基础信息!E30</f>
        <v>2.0310175363141174</v>
      </c>
      <c r="F25" s="79">
        <f>基础信息!F30</f>
        <v>17.420973982667814</v>
      </c>
      <c r="G25" s="72">
        <f>门客升级!T25+门客进修!T25</f>
        <v>120</v>
      </c>
      <c r="H25" s="98">
        <f>寻访!AI25+MAX(SUMPRODUCT(门客产销!V25:Z25,门客升级!$D$8:$H$8),0)</f>
        <v>0</v>
      </c>
      <c r="I25" s="86">
        <f>H25/G25</f>
        <v>0</v>
      </c>
      <c r="K25" s="95">
        <f>IFERROR(寻访!AI25/H25,0)</f>
        <v>0</v>
      </c>
      <c r="L25" s="95">
        <f>IFERROR(MAX(SUMPRODUCT(门客产销!L25:P25-门客产销!G25:K25,门客升级!$D$8:$H$8),0)/H25,0)</f>
        <v>0</v>
      </c>
      <c r="N25" s="95">
        <f>门客升级!T25/G25</f>
        <v>1</v>
      </c>
      <c r="O25" s="95">
        <f>门客进修!T25/G25</f>
        <v>0</v>
      </c>
    </row>
    <row r="26" spans="3:18" x14ac:dyDescent="0.15">
      <c r="C26" s="72">
        <v>2</v>
      </c>
      <c r="D26" s="78">
        <f>基础信息!D31</f>
        <v>19.5</v>
      </c>
      <c r="E26" s="79">
        <f>基础信息!E31</f>
        <v>3.8583180257323662</v>
      </c>
      <c r="F26" s="79">
        <f>基础信息!F31</f>
        <v>24.411235857114818</v>
      </c>
      <c r="G26" s="72">
        <f>门客升级!T26+门客进修!T26</f>
        <v>760</v>
      </c>
      <c r="H26" s="98">
        <f>寻访!AI26+MAX(SUMPRODUCT(门客产销!V26:Z26,门客升级!$D$8:$H$8),0)</f>
        <v>182.73004894182486</v>
      </c>
      <c r="I26" s="86">
        <f t="shared" ref="I26:I40" si="1">H26/G26</f>
        <v>0.24043427492345376</v>
      </c>
      <c r="K26" s="95">
        <f>IFERROR(寻访!AI26/H26,0)</f>
        <v>1</v>
      </c>
      <c r="L26" s="95">
        <f>IFERROR(MAX(SUMPRODUCT(门客产销!L26:P26-门客产销!G26:K26,门客升级!$D$8:$H$8),0)/H26,0)</f>
        <v>1.5479865707582963</v>
      </c>
      <c r="N26" s="95">
        <f>门客升级!T26/G26</f>
        <v>1</v>
      </c>
      <c r="O26" s="95">
        <f>门客进修!T26/G26</f>
        <v>0</v>
      </c>
      <c r="R26" s="72" t="s">
        <v>253</v>
      </c>
    </row>
    <row r="27" spans="3:18" x14ac:dyDescent="0.15">
      <c r="C27" s="72">
        <v>3</v>
      </c>
      <c r="D27" s="78">
        <f>基础信息!D32</f>
        <v>23.5</v>
      </c>
      <c r="E27" s="79">
        <f>基础信息!E32</f>
        <v>7.7240111017275384</v>
      </c>
      <c r="F27" s="79">
        <f>基础信息!F32</f>
        <v>33.019343244153319</v>
      </c>
      <c r="G27" s="72">
        <f>门客升级!T27+门客进修!T27</f>
        <v>2160</v>
      </c>
      <c r="H27" s="98">
        <f>寻访!AI27+MAX(SUMPRODUCT(门客产销!V27:Z27,门客升级!$D$8:$H$8),0)</f>
        <v>757.95628730129374</v>
      </c>
      <c r="I27" s="86">
        <f t="shared" si="1"/>
        <v>0.35090568856541376</v>
      </c>
      <c r="K27" s="95">
        <f>IFERROR(寻访!AI27/H27,0)</f>
        <v>0.80209940531785073</v>
      </c>
      <c r="L27" s="95">
        <f>IFERROR(MAX(SUMPRODUCT(门客产销!L27:P27-门客产销!G27:K27,门客升级!$D$8:$H$8),0)/H27,0)</f>
        <v>0.4728163361097798</v>
      </c>
      <c r="N27" s="95">
        <f>门客升级!T27/G27</f>
        <v>1</v>
      </c>
      <c r="O27" s="95">
        <f>门客进修!T27/G27</f>
        <v>0</v>
      </c>
    </row>
    <row r="28" spans="3:18" x14ac:dyDescent="0.15">
      <c r="C28" s="72">
        <v>4</v>
      </c>
      <c r="D28" s="78">
        <f>基础信息!D33</f>
        <v>27.5</v>
      </c>
      <c r="E28" s="79">
        <f>基础信息!E33</f>
        <v>15.096178510388308</v>
      </c>
      <c r="F28" s="79">
        <f>基础信息!F33</f>
        <v>41.92278306907852</v>
      </c>
      <c r="G28" s="72">
        <f>门客升级!T28+门客进修!T28</f>
        <v>4640</v>
      </c>
      <c r="H28" s="98">
        <f>寻访!AI28+MAX(SUMPRODUCT(门客产销!V28:Z28,门客升级!$D$8:$H$8),0)</f>
        <v>1892.6163763405862</v>
      </c>
      <c r="I28" s="86">
        <f t="shared" si="1"/>
        <v>0.40789146041822977</v>
      </c>
      <c r="K28" s="95">
        <f>IFERROR(寻访!AI28/H28,0)</f>
        <v>0.78865236241197045</v>
      </c>
      <c r="L28" s="95">
        <f>IFERROR(MAX(SUMPRODUCT(门客产销!L28:P28-门客产销!G28:K28,门客升级!$D$8:$H$8),0)/H28,0)</f>
        <v>1.6415510654131965E-2</v>
      </c>
      <c r="N28" s="95">
        <f>门客升级!T28/G28</f>
        <v>1</v>
      </c>
      <c r="O28" s="95">
        <f>门客进修!T28/G28</f>
        <v>0</v>
      </c>
    </row>
    <row r="29" spans="3:18" x14ac:dyDescent="0.15">
      <c r="C29" s="72">
        <v>5</v>
      </c>
      <c r="D29" s="78">
        <f>基础信息!D34</f>
        <v>31.5</v>
      </c>
      <c r="E29" s="79">
        <f>基础信息!E34</f>
        <v>29.031391010864539</v>
      </c>
      <c r="F29" s="79">
        <f>基础信息!F34</f>
        <v>51.047922371312225</v>
      </c>
      <c r="G29" s="72">
        <f>门客升级!T29+门客进修!T29</f>
        <v>8400</v>
      </c>
      <c r="H29" s="98">
        <f>寻访!AI29+MAX(SUMPRODUCT(门客产销!V29:Z29,门客升级!$D$8:$H$8),0)</f>
        <v>5964.1519389763125</v>
      </c>
      <c r="I29" s="86">
        <f t="shared" si="1"/>
        <v>0.71001808797337052</v>
      </c>
      <c r="K29" s="95">
        <f>IFERROR(寻访!AI29/H29,0)</f>
        <v>0.63578635784553994</v>
      </c>
      <c r="L29" s="95">
        <f>IFERROR(MAX(SUMPRODUCT(门客产销!L29:P29-门客产销!G29:K29,门客升级!$D$8:$H$8),0)/H29,0)</f>
        <v>0</v>
      </c>
      <c r="N29" s="95">
        <f>门客升级!T29/G29</f>
        <v>1</v>
      </c>
      <c r="O29" s="95">
        <f>门客进修!T29/G29</f>
        <v>0</v>
      </c>
    </row>
    <row r="30" spans="3:18" x14ac:dyDescent="0.15">
      <c r="C30" s="72">
        <v>6</v>
      </c>
      <c r="D30" s="78">
        <f>基础信息!D35</f>
        <v>35.5</v>
      </c>
      <c r="E30" s="79">
        <f>基础信息!E35</f>
        <v>54.898744666803331</v>
      </c>
      <c r="F30" s="79">
        <f>基础信息!F35</f>
        <v>60.077170204921828</v>
      </c>
      <c r="G30" s="72">
        <f>门客升级!T30+门客进修!T30</f>
        <v>14880</v>
      </c>
      <c r="H30" s="98">
        <f>寻访!AI30+MAX(SUMPRODUCT(门客产销!V30:Z30,门客升级!$D$8:$H$8),0)</f>
        <v>14496.90923081236</v>
      </c>
      <c r="I30" s="86">
        <f t="shared" si="1"/>
        <v>0.97425465260835753</v>
      </c>
      <c r="K30" s="95">
        <f>IFERROR(寻访!AI30/H30,0)</f>
        <v>0.62914109116840122</v>
      </c>
      <c r="L30" s="95">
        <f>IFERROR(MAX(SUMPRODUCT(门客产销!L30:P30-门客产销!G30:K30,门客升级!$D$8:$H$8),0)/H30,0)</f>
        <v>0.16839397825928934</v>
      </c>
      <c r="N30" s="95">
        <f>门客升级!T30/G30</f>
        <v>1</v>
      </c>
      <c r="O30" s="95">
        <f>门客进修!T30/G30</f>
        <v>0</v>
      </c>
    </row>
    <row r="31" spans="3:18" x14ac:dyDescent="0.15">
      <c r="C31" s="72">
        <v>7</v>
      </c>
      <c r="D31" s="78">
        <f>基础信息!D36</f>
        <v>39.5</v>
      </c>
      <c r="E31" s="79">
        <f>基础信息!E36</f>
        <v>99.697076394392013</v>
      </c>
      <c r="F31" s="79">
        <f>基础信息!F36</f>
        <v>68.578677703814634</v>
      </c>
      <c r="G31" s="72">
        <f>门客升级!T31+门客进修!T31</f>
        <v>45360</v>
      </c>
      <c r="H31" s="98">
        <f>寻访!AI31+MAX(SUMPRODUCT(门客产销!V31:Z31,门客升级!$D$8:$H$8),0)</f>
        <v>33190.730667774653</v>
      </c>
      <c r="I31" s="86">
        <f t="shared" si="1"/>
        <v>0.73171804823136355</v>
      </c>
      <c r="K31" s="95">
        <f>IFERROR(寻访!AI31/H31,0)</f>
        <v>0.62875879402873946</v>
      </c>
      <c r="L31" s="95">
        <f>IFERROR(MAX(SUMPRODUCT(门客产销!L31:P31-门客产销!G31:K31,门客升级!$D$8:$H$8),0)/H31,0)</f>
        <v>0.37390281397869141</v>
      </c>
      <c r="N31" s="95">
        <f>门客升级!T31/G31</f>
        <v>0.69135802469135799</v>
      </c>
      <c r="O31" s="95">
        <f>门客进修!T31/G31</f>
        <v>0.30864197530864196</v>
      </c>
    </row>
    <row r="32" spans="3:18" x14ac:dyDescent="0.15">
      <c r="C32" s="72">
        <v>8</v>
      </c>
      <c r="D32" s="78">
        <f>基础信息!D37</f>
        <v>43.5</v>
      </c>
      <c r="E32" s="79">
        <f>基础信息!E37</f>
        <v>180.54643493461919</v>
      </c>
      <c r="F32" s="79">
        <f>基础信息!F37</f>
        <v>77.110082613456697</v>
      </c>
      <c r="G32" s="72">
        <f>门客升级!T32+门客进修!T32</f>
        <v>101040</v>
      </c>
      <c r="H32" s="98">
        <f>寻访!AI32+MAX(SUMPRODUCT(门客产销!V32:Z32,门客升级!$D$8:$H$8),0)</f>
        <v>76062.6687517065</v>
      </c>
      <c r="I32" s="86">
        <f t="shared" si="1"/>
        <v>0.75279759255449819</v>
      </c>
      <c r="K32" s="95">
        <f>IFERROR(寻访!AI32/H32,0)</f>
        <v>0.58606986727012755</v>
      </c>
      <c r="L32" s="95">
        <f>IFERROR(MAX(SUMPRODUCT(门客产销!L32:P32-门客产销!G32:K32,门客升级!$D$8:$H$8),0)/H32,0)</f>
        <v>0.41660367114281704</v>
      </c>
      <c r="N32" s="95">
        <f>门客升级!T32/G32</f>
        <v>0.86144101346001578</v>
      </c>
      <c r="O32" s="95">
        <f>门客进修!T32/G32</f>
        <v>0.13855898653998416</v>
      </c>
    </row>
    <row r="33" spans="3:15" x14ac:dyDescent="0.15">
      <c r="C33" s="72">
        <v>9</v>
      </c>
      <c r="D33" s="78">
        <f>基础信息!D38</f>
        <v>47.5</v>
      </c>
      <c r="E33" s="79">
        <f>基础信息!E38</f>
        <v>326.26831861477285</v>
      </c>
      <c r="F33" s="79">
        <f>基础信息!F38</f>
        <v>85.652928267499789</v>
      </c>
      <c r="G33" s="72">
        <f>门客升级!T33+门客进修!T33</f>
        <v>198320</v>
      </c>
      <c r="H33" s="98">
        <f>寻访!AI33+MAX(SUMPRODUCT(门客产销!V33:Z33,门客升级!$D$8:$H$8),0)</f>
        <v>161372.92984377668</v>
      </c>
      <c r="I33" s="86">
        <f t="shared" si="1"/>
        <v>0.81369972692505388</v>
      </c>
      <c r="K33" s="95">
        <f>IFERROR(寻访!AI33/H33,0)</f>
        <v>0.57807451280660505</v>
      </c>
      <c r="L33" s="95">
        <f>IFERROR(MAX(SUMPRODUCT(门客产销!L33:P33-门客产销!G33:K33,门客升级!$D$8:$H$8),0)/H33,0)</f>
        <v>0.42653129188414152</v>
      </c>
      <c r="N33" s="95">
        <f>门客升级!T33/G33</f>
        <v>0.92940701895925781</v>
      </c>
      <c r="O33" s="95">
        <f>门客进修!T33/G33</f>
        <v>7.0592981040742228E-2</v>
      </c>
    </row>
    <row r="34" spans="3:15" x14ac:dyDescent="0.15">
      <c r="C34" s="72">
        <v>10</v>
      </c>
      <c r="D34" s="78">
        <f>基础信息!D39</f>
        <v>52</v>
      </c>
      <c r="E34" s="79">
        <f>基础信息!E39</f>
        <v>631.88241509551563</v>
      </c>
      <c r="F34" s="79">
        <f>基础信息!F39</f>
        <v>95.320056465518832</v>
      </c>
      <c r="G34" s="72">
        <f>门客升级!T34+门客进修!T34</f>
        <v>368133.33333333337</v>
      </c>
      <c r="H34" s="98">
        <f>寻访!AI34+MAX(SUMPRODUCT(门客产销!V34:Z34,门客升级!$D$8:$H$8),0)</f>
        <v>352171.56833072013</v>
      </c>
      <c r="I34" s="86">
        <f t="shared" si="1"/>
        <v>0.95664134823629143</v>
      </c>
      <c r="K34" s="95">
        <f>IFERROR(寻访!AI34/H34,0)</f>
        <v>0.59052827146090003</v>
      </c>
      <c r="L34" s="95">
        <f>IFERROR(MAX(SUMPRODUCT(门客产销!L34:P34-门客产销!G34:K34,门客升级!$D$8:$H$8),0)/H34,0)</f>
        <v>0.40798400972628596</v>
      </c>
      <c r="N34" s="95">
        <f>门客升级!T34/G34</f>
        <v>0.81709525534226723</v>
      </c>
      <c r="O34" s="95">
        <f>门客进修!T34/G34</f>
        <v>0.18290474465773271</v>
      </c>
    </row>
    <row r="35" spans="3:15" x14ac:dyDescent="0.15">
      <c r="C35" s="72">
        <v>11</v>
      </c>
      <c r="D35" s="78">
        <f>基础信息!D40</f>
        <v>57</v>
      </c>
      <c r="E35" s="79">
        <f>基础信息!E40</f>
        <v>1318.2598742162893</v>
      </c>
      <c r="F35" s="79">
        <f>基础信息!F40</f>
        <v>105.93060744042049</v>
      </c>
      <c r="G35" s="72">
        <f>门客升级!T35+门客进修!T35</f>
        <v>432880</v>
      </c>
      <c r="H35" s="98">
        <f>寻访!AI35+MAX(SUMPRODUCT(门客产销!V35:Z35,门客升级!$D$8:$H$8),0)</f>
        <v>834114.7149941728</v>
      </c>
      <c r="I35" s="86">
        <f t="shared" si="1"/>
        <v>1.9268959411249602</v>
      </c>
      <c r="K35" s="95">
        <f>IFERROR(寻访!AI35/H35,0)</f>
        <v>0.59551312982123095</v>
      </c>
      <c r="L35" s="95">
        <f>IFERROR(MAX(SUMPRODUCT(门客产销!L35:P35-门客产销!G35:K35,门客升级!$D$8:$H$8),0)/H35,0)</f>
        <v>0.40293087295453511</v>
      </c>
      <c r="N35" s="95">
        <f>门客升级!T35/G35</f>
        <v>0.76436887821105159</v>
      </c>
      <c r="O35" s="95">
        <f>门客进修!T35/G35</f>
        <v>0.23563112178894843</v>
      </c>
    </row>
    <row r="36" spans="3:15" x14ac:dyDescent="0.15">
      <c r="C36" s="72">
        <v>12</v>
      </c>
      <c r="D36" s="78">
        <f>基础信息!D41</f>
        <v>62</v>
      </c>
      <c r="E36" s="79">
        <f>基础信息!E41</f>
        <v>2745.081836483092</v>
      </c>
      <c r="F36" s="79">
        <f>基础信息!F41</f>
        <v>116.57008716694446</v>
      </c>
      <c r="G36" s="72">
        <f>门客升级!T36+门客进修!T36</f>
        <v>470960</v>
      </c>
      <c r="H36" s="98">
        <f>寻访!AI36+MAX(SUMPRODUCT(门客产销!V36:Z36,门客升级!$D$8:$H$8),0)</f>
        <v>1895559.545999568</v>
      </c>
      <c r="I36" s="86">
        <f t="shared" si="1"/>
        <v>4.0248843765915749</v>
      </c>
      <c r="K36" s="95">
        <f>IFERROR(寻访!AI36/H36,0)</f>
        <v>0.60332968418822375</v>
      </c>
      <c r="L36" s="95">
        <f>IFERROR(MAX(SUMPRODUCT(门客产销!L36:P36-门客产销!G36:K36,门客升级!$D$8:$H$8),0)/H36,0)</f>
        <v>0.39629344272061945</v>
      </c>
      <c r="N36" s="95">
        <f>门客升级!T36/G36</f>
        <v>0.76643451673178187</v>
      </c>
      <c r="O36" s="95">
        <f>门客进修!T36/G36</f>
        <v>0.23356548326821813</v>
      </c>
    </row>
    <row r="37" spans="3:15" x14ac:dyDescent="0.15">
      <c r="C37" s="72">
        <v>13</v>
      </c>
      <c r="D37" s="78">
        <f>基础信息!D42</f>
        <v>67</v>
      </c>
      <c r="E37" s="79">
        <f>基础信息!E42</f>
        <v>5706.8398490672153</v>
      </c>
      <c r="F37" s="79">
        <f>基础信息!F42</f>
        <v>127.12838978012395</v>
      </c>
      <c r="G37" s="72">
        <f>门客升级!T37+门客进修!T37</f>
        <v>501040</v>
      </c>
      <c r="H37" s="98">
        <f>寻访!AI37+MAX(SUMPRODUCT(门客产销!V37:Z37,门客升级!$D$8:$H$8),0)</f>
        <v>4193076.8382413429</v>
      </c>
      <c r="I37" s="86">
        <f t="shared" si="1"/>
        <v>8.3687466833812536</v>
      </c>
      <c r="K37" s="95">
        <f>IFERROR(寻访!AI37/H37,0)</f>
        <v>0.61027343577955451</v>
      </c>
      <c r="L37" s="95">
        <f>IFERROR(MAX(SUMPRODUCT(门客产销!L37:P37-门客产销!G37:K37,门客升级!$D$8:$H$8),0)/H37,0)</f>
        <v>0.38972656422044549</v>
      </c>
      <c r="N37" s="95">
        <f>门客升级!T37/G37</f>
        <v>0.78045665016765131</v>
      </c>
      <c r="O37" s="95">
        <f>门客进修!T37/G37</f>
        <v>0.21954334983234874</v>
      </c>
    </row>
    <row r="38" spans="3:15" x14ac:dyDescent="0.15">
      <c r="C38" s="72">
        <v>14</v>
      </c>
      <c r="D38" s="78">
        <f>基础信息!D43</f>
        <v>72</v>
      </c>
      <c r="E38" s="79">
        <f>基础信息!E43</f>
        <v>11846.564050336494</v>
      </c>
      <c r="F38" s="79">
        <f>基础信息!F43</f>
        <v>137.70627422196659</v>
      </c>
      <c r="G38" s="72">
        <f>门客升级!T38+门客进修!T38</f>
        <v>531120</v>
      </c>
      <c r="H38" s="98">
        <f>寻访!AI38+MAX(SUMPRODUCT(门客产销!V38:Z38,门客升级!$D$8:$H$8),0)</f>
        <v>9130647.232874468</v>
      </c>
      <c r="I38" s="86">
        <f t="shared" si="1"/>
        <v>17.19130748771364</v>
      </c>
      <c r="K38" s="95">
        <f>IFERROR(寻访!AI38/H38,0)</f>
        <v>0.61801827744935234</v>
      </c>
      <c r="L38" s="95">
        <f>IFERROR(MAX(SUMPRODUCT(门客产销!L38:P38-门客产销!G38:K38,门客升级!$D$8:$H$8),0)/H38,0)</f>
        <v>0.38198172255064772</v>
      </c>
      <c r="N38" s="95">
        <f>门客升级!T38/G38</f>
        <v>0.79289049555655977</v>
      </c>
      <c r="O38" s="95">
        <f>门客进修!T38/G38</f>
        <v>0.20710950444344031</v>
      </c>
    </row>
    <row r="39" spans="3:15" x14ac:dyDescent="0.15">
      <c r="C39" s="72">
        <v>15</v>
      </c>
      <c r="D39" s="78">
        <f>基础信息!D44</f>
        <v>77</v>
      </c>
      <c r="E39" s="79">
        <f>基础信息!E44</f>
        <v>24558.40880507711</v>
      </c>
      <c r="F39" s="79">
        <f>基础信息!F44</f>
        <v>148.27357279823164</v>
      </c>
      <c r="G39" s="72">
        <f>门客升级!T39+门客进修!T39</f>
        <v>1311200</v>
      </c>
      <c r="H39" s="98">
        <f>寻访!AI39+MAX(SUMPRODUCT(门客产销!V39:Z39,门客升级!$D$8:$H$8),0)</f>
        <v>19659470.239105552</v>
      </c>
      <c r="I39" s="86">
        <f t="shared" si="1"/>
        <v>14.993494691203136</v>
      </c>
      <c r="K39" s="95">
        <f>IFERROR(寻访!AI39/H39,0)</f>
        <v>0.62762988775122641</v>
      </c>
      <c r="L39" s="95">
        <f>IFERROR(MAX(SUMPRODUCT(门客产销!L39:P39-门客产销!G39:K39,门客升级!$D$8:$H$8),0)/H39,0)</f>
        <v>0.37237011224877353</v>
      </c>
      <c r="N39" s="95">
        <f>门客升级!T39/G39</f>
        <v>0.3441122635753508</v>
      </c>
      <c r="O39" s="95">
        <f>门客进修!T39/G39</f>
        <v>0.65588773642464915</v>
      </c>
    </row>
    <row r="40" spans="3:15" x14ac:dyDescent="0.15">
      <c r="C40" s="72">
        <v>16</v>
      </c>
      <c r="D40" s="78">
        <f>基础信息!D45</f>
        <v>80</v>
      </c>
      <c r="E40" s="79">
        <f>基础信息!E45</f>
        <v>38010.300000000003</v>
      </c>
      <c r="F40" s="79">
        <f>基础信息!F45</f>
        <v>154.14666602127767</v>
      </c>
      <c r="G40" s="72">
        <f>门客升级!T40+门客进修!T40</f>
        <v>2191280</v>
      </c>
      <c r="H40" s="98">
        <f>寻访!AI40+MAX(SUMPRODUCT(门客产销!V40:Z40,门客升级!$D$8:$H$8),0)</f>
        <v>31066054.472291715</v>
      </c>
      <c r="I40" s="86">
        <f t="shared" si="1"/>
        <v>14.177126826462942</v>
      </c>
      <c r="K40" s="95">
        <f>IFERROR(寻访!AI40/H40,0)</f>
        <v>0.63392963621458875</v>
      </c>
      <c r="L40" s="95">
        <f>IFERROR(MAX(SUMPRODUCT(门客产销!L40:P40-门客产销!G40:K40,门客升级!$D$8:$H$8),0)/H40,0)</f>
        <v>0.3660703637854113</v>
      </c>
      <c r="N40" s="95">
        <f>门客升级!T40/G40</f>
        <v>0.21963418641159504</v>
      </c>
      <c r="O40" s="95">
        <f>门客进修!T40/G40</f>
        <v>0.78036581358840496</v>
      </c>
    </row>
    <row r="43" spans="3:15" x14ac:dyDescent="0.15">
      <c r="C43" s="72" t="s">
        <v>2</v>
      </c>
    </row>
    <row r="44" spans="3:15" x14ac:dyDescent="0.15">
      <c r="C44" s="72" t="s">
        <v>21</v>
      </c>
      <c r="D44" s="72" t="s">
        <v>121</v>
      </c>
      <c r="E44" s="76" t="s">
        <v>122</v>
      </c>
      <c r="F44" s="76" t="s">
        <v>103</v>
      </c>
      <c r="G44" s="72" t="s">
        <v>173</v>
      </c>
      <c r="H44" s="86" t="s">
        <v>174</v>
      </c>
      <c r="I44" s="86" t="s">
        <v>198</v>
      </c>
      <c r="K44" s="95" t="s">
        <v>248</v>
      </c>
      <c r="L44" s="95" t="s">
        <v>249</v>
      </c>
      <c r="N44" s="95" t="s">
        <v>251</v>
      </c>
      <c r="O44" s="95" t="s">
        <v>252</v>
      </c>
    </row>
    <row r="45" spans="3:15" x14ac:dyDescent="0.15">
      <c r="C45" s="72">
        <v>1</v>
      </c>
      <c r="D45" s="78">
        <f>基础信息!D50</f>
        <v>16</v>
      </c>
      <c r="E45" s="79">
        <f>基础信息!E50</f>
        <v>1.5232631522355879</v>
      </c>
      <c r="F45" s="79">
        <f>基础信息!F50</f>
        <v>16.55360159735687</v>
      </c>
      <c r="G45" s="72">
        <f>门客升级!T45+门客进修!T45</f>
        <v>120</v>
      </c>
      <c r="H45" s="98">
        <f>寻访!AI45+MAX(SUMPRODUCT(门客产销!V45:Z45,门客升级!$D$8:$H$8),0)</f>
        <v>319.3548508920137</v>
      </c>
      <c r="I45" s="86">
        <f>H45/G45</f>
        <v>2.6612904241001143</v>
      </c>
      <c r="K45" s="95">
        <f>IFERROR(寻访!AI45/H45,0)</f>
        <v>0</v>
      </c>
      <c r="L45" s="95">
        <f>IFERROR(MAX(SUMPRODUCT(门客产销!L45:P45-门客产销!G45:K45,门客升级!$D$8:$H$8),0)/H45,0)</f>
        <v>0.71717174703403919</v>
      </c>
      <c r="N45" s="95">
        <f>门客升级!T45/G45</f>
        <v>1</v>
      </c>
      <c r="O45" s="95">
        <f>门客进修!T45/G45</f>
        <v>0</v>
      </c>
    </row>
    <row r="46" spans="3:15" x14ac:dyDescent="0.15">
      <c r="C46" s="72">
        <v>2</v>
      </c>
      <c r="D46" s="78">
        <f>基础信息!D51</f>
        <v>19.5</v>
      </c>
      <c r="E46" s="79">
        <f>基础信息!E51</f>
        <v>2.8937385192992746</v>
      </c>
      <c r="F46" s="79">
        <f>基础信息!F51</f>
        <v>23.331269805933818</v>
      </c>
      <c r="G46" s="72">
        <f>门客升级!T46+门客进修!T46</f>
        <v>760</v>
      </c>
      <c r="H46" s="98">
        <f>寻访!AI46+MAX(SUMPRODUCT(门客产销!V46:Z46,门客升级!$D$8:$H$8),0)</f>
        <v>687.37664493975149</v>
      </c>
      <c r="I46" s="86">
        <f t="shared" ref="I46:I60" si="2">H46/G46</f>
        <v>0.90444295386809404</v>
      </c>
      <c r="K46" s="95">
        <f>IFERROR(寻访!AI46/H46,0)</f>
        <v>0.1993776450149552</v>
      </c>
      <c r="L46" s="95">
        <f>IFERROR(MAX(SUMPRODUCT(门客产销!L46:P46-门客产销!G46:K46,门客升级!$D$8:$H$8),0)/H46,0)</f>
        <v>0</v>
      </c>
      <c r="N46" s="95">
        <f>门客升级!T46/G46</f>
        <v>1</v>
      </c>
      <c r="O46" s="95">
        <f>门客进修!T46/G46</f>
        <v>0</v>
      </c>
    </row>
    <row r="47" spans="3:15" x14ac:dyDescent="0.15">
      <c r="C47" s="72">
        <v>3</v>
      </c>
      <c r="D47" s="78">
        <f>基础信息!D52</f>
        <v>23.5</v>
      </c>
      <c r="E47" s="79">
        <f>基础信息!E52</f>
        <v>5.793008326295654</v>
      </c>
      <c r="F47" s="79">
        <f>基础信息!F52</f>
        <v>31.744234316265171</v>
      </c>
      <c r="G47" s="72">
        <f>门客升级!T47+门客进修!T47</f>
        <v>2160</v>
      </c>
      <c r="H47" s="98">
        <f>寻访!AI47+MAX(SUMPRODUCT(门客产销!V47:Z47,门客升级!$D$8:$H$8),0)</f>
        <v>1383.3751526540832</v>
      </c>
      <c r="I47" s="86">
        <f t="shared" si="2"/>
        <v>0.6404514595620755</v>
      </c>
      <c r="K47" s="95">
        <f>IFERROR(寻访!AI47/H47,0)</f>
        <v>0.32960489033012602</v>
      </c>
      <c r="L47" s="95">
        <f>IFERROR(MAX(SUMPRODUCT(门客产销!L47:P47-门客产销!G47:K47,门客升级!$D$8:$H$8),0)/H47,0)</f>
        <v>2.9718551535564013E-2</v>
      </c>
      <c r="N47" s="95">
        <f>门客升级!T47/G47</f>
        <v>1</v>
      </c>
      <c r="O47" s="95">
        <f>门客进修!T47/G47</f>
        <v>0</v>
      </c>
    </row>
    <row r="48" spans="3:15" x14ac:dyDescent="0.15">
      <c r="C48" s="72">
        <v>4</v>
      </c>
      <c r="D48" s="78">
        <f>基础信息!D53</f>
        <v>27.5</v>
      </c>
      <c r="E48" s="79">
        <f>基础信息!E53</f>
        <v>11.322133882791231</v>
      </c>
      <c r="F48" s="79">
        <f>基础信息!F53</f>
        <v>40.643027415884688</v>
      </c>
      <c r="G48" s="72">
        <f>门客升级!T48+门客进修!T48</f>
        <v>4640</v>
      </c>
      <c r="H48" s="98">
        <f>寻访!AI48+MAX(SUMPRODUCT(门客产销!V48:Z48,门客升级!$D$8:$H$8),0)</f>
        <v>2583.6498938931636</v>
      </c>
      <c r="I48" s="86">
        <f t="shared" si="2"/>
        <v>0.55682109782180245</v>
      </c>
      <c r="K48" s="95">
        <f>IFERROR(寻访!AI48/H48,0)</f>
        <v>0.43328714347151037</v>
      </c>
      <c r="L48" s="95">
        <f>IFERROR(MAX(SUMPRODUCT(门客产销!L48:P48-门客产销!G48:K48,门客升级!$D$8:$H$8),0)/H48,0)</f>
        <v>0</v>
      </c>
      <c r="N48" s="95">
        <f>门客升级!T48/G48</f>
        <v>1</v>
      </c>
      <c r="O48" s="95">
        <f>门客进修!T48/G48</f>
        <v>0</v>
      </c>
    </row>
    <row r="49" spans="3:15" x14ac:dyDescent="0.15">
      <c r="C49" s="72">
        <v>5</v>
      </c>
      <c r="D49" s="78">
        <f>基础信息!D54</f>
        <v>31.5</v>
      </c>
      <c r="E49" s="79">
        <f>基础信息!E54</f>
        <v>21.773543258148401</v>
      </c>
      <c r="F49" s="79">
        <f>基础信息!F54</f>
        <v>49.709437467755208</v>
      </c>
      <c r="G49" s="72">
        <f>门客升级!T49+门客进修!T49</f>
        <v>8400</v>
      </c>
      <c r="H49" s="98">
        <f>寻访!AI49+MAX(SUMPRODUCT(门客产销!V49:Z49,门客升级!$D$8:$H$8),0)</f>
        <v>5403.7709532730814</v>
      </c>
      <c r="I49" s="86">
        <f t="shared" si="2"/>
        <v>0.64330606586584305</v>
      </c>
      <c r="K49" s="95">
        <f>IFERROR(寻访!AI49/H49,0)</f>
        <v>0.52628892930163629</v>
      </c>
      <c r="L49" s="95">
        <f>IFERROR(MAX(SUMPRODUCT(门客产销!L49:P49-门客产销!G49:K49,门客升级!$D$8:$H$8),0)/H49,0)</f>
        <v>0</v>
      </c>
      <c r="N49" s="95">
        <f>门客升级!T49/G49</f>
        <v>1</v>
      </c>
      <c r="O49" s="95">
        <f>门客进修!T49/G49</f>
        <v>0</v>
      </c>
    </row>
    <row r="50" spans="3:15" x14ac:dyDescent="0.15">
      <c r="C50" s="72">
        <v>6</v>
      </c>
      <c r="D50" s="78">
        <f>基础信息!D55</f>
        <v>35.5</v>
      </c>
      <c r="E50" s="79">
        <f>基础信息!E55</f>
        <v>41.174058500102497</v>
      </c>
      <c r="F50" s="79">
        <f>基础信息!F55</f>
        <v>58.803150706157098</v>
      </c>
      <c r="G50" s="72">
        <f>门客升级!T50+门客进修!T50</f>
        <v>14880</v>
      </c>
      <c r="H50" s="98">
        <f>寻访!AI50+MAX(SUMPRODUCT(门客产销!V50:Z50,门客升级!$D$8:$H$8),0)</f>
        <v>11823.366122264211</v>
      </c>
      <c r="I50" s="86">
        <f t="shared" si="2"/>
        <v>0.79458105660377765</v>
      </c>
      <c r="K50" s="95">
        <f>IFERROR(寻访!AI50/H50,0)</f>
        <v>0.5785535944920861</v>
      </c>
      <c r="L50" s="95">
        <f>IFERROR(MAX(SUMPRODUCT(门客产销!L50:P50-门客产销!G50:K50,门客升级!$D$8:$H$8),0)/H50,0)</f>
        <v>0.31496950459123069</v>
      </c>
      <c r="N50" s="95">
        <f>门客升级!T50/G50</f>
        <v>1</v>
      </c>
      <c r="O50" s="95">
        <f>门客进修!T50/G50</f>
        <v>0</v>
      </c>
    </row>
    <row r="51" spans="3:15" x14ac:dyDescent="0.15">
      <c r="C51" s="72">
        <v>7</v>
      </c>
      <c r="D51" s="78">
        <f>基础信息!D56</f>
        <v>39.5</v>
      </c>
      <c r="E51" s="79">
        <f>基础信息!E56</f>
        <v>74.77280729579401</v>
      </c>
      <c r="F51" s="79">
        <f>基础信息!F56</f>
        <v>67.298489171654538</v>
      </c>
      <c r="G51" s="72">
        <f>门客升级!T51+门客进修!T51</f>
        <v>38360</v>
      </c>
      <c r="H51" s="98">
        <f>寻访!AI51+MAX(SUMPRODUCT(门客产销!V51:Z51,门客升级!$D$8:$H$8),0)</f>
        <v>28487.275774310216</v>
      </c>
      <c r="I51" s="86">
        <f t="shared" si="2"/>
        <v>0.74262971257325905</v>
      </c>
      <c r="K51" s="95">
        <f>IFERROR(寻访!AI51/H51,0)</f>
        <v>0.54942855767264054</v>
      </c>
      <c r="L51" s="95">
        <f>IFERROR(MAX(SUMPRODUCT(门客产销!L51:P51-门客产销!G51:K51,门客升级!$D$8:$H$8),0)/H51,0)</f>
        <v>0.46075685343742595</v>
      </c>
      <c r="N51" s="95">
        <f>门客升级!T51/G51</f>
        <v>0.81751824817518248</v>
      </c>
      <c r="O51" s="95">
        <f>门客进修!T51/G51</f>
        <v>0.18248175182481752</v>
      </c>
    </row>
    <row r="52" spans="3:15" x14ac:dyDescent="0.15">
      <c r="C52" s="72">
        <v>8</v>
      </c>
      <c r="D52" s="78">
        <f>基础信息!D57</f>
        <v>43.5</v>
      </c>
      <c r="E52" s="79">
        <f>基础信息!E57</f>
        <v>135.40982620096435</v>
      </c>
      <c r="F52" s="79">
        <f>基础信息!F57</f>
        <v>75.878784655965617</v>
      </c>
      <c r="G52" s="72">
        <f>门客升级!T52+门客进修!T52</f>
        <v>94040</v>
      </c>
      <c r="H52" s="98">
        <f>寻访!AI52+MAX(SUMPRODUCT(门客产销!V52:Z52,门客升级!$D$8:$H$8),0)</f>
        <v>63552.769062318846</v>
      </c>
      <c r="I52" s="86">
        <f t="shared" si="2"/>
        <v>0.67580571099871167</v>
      </c>
      <c r="K52" s="95">
        <f>IFERROR(寻访!AI52/H52,0)</f>
        <v>0.52607508890539179</v>
      </c>
      <c r="L52" s="95">
        <f>IFERROR(MAX(SUMPRODUCT(门客产销!L52:P52-门客产销!G52:K52,门客升级!$D$8:$H$8),0)/H52,0)</f>
        <v>0.48584673705906917</v>
      </c>
      <c r="N52" s="95">
        <f>门客升级!T52/G52</f>
        <v>0.92556358996171839</v>
      </c>
      <c r="O52" s="95">
        <f>门客进修!T52/G52</f>
        <v>7.4436410038281581E-2</v>
      </c>
    </row>
    <row r="53" spans="3:15" x14ac:dyDescent="0.15">
      <c r="C53" s="72">
        <v>9</v>
      </c>
      <c r="D53" s="78">
        <f>基础信息!D58</f>
        <v>47.5</v>
      </c>
      <c r="E53" s="79">
        <f>基础信息!E58</f>
        <v>244.70123896107964</v>
      </c>
      <c r="F53" s="79">
        <f>基础信息!F58</f>
        <v>84.446314672957783</v>
      </c>
      <c r="G53" s="72">
        <f>门客升级!T53+门客进修!T53</f>
        <v>191320</v>
      </c>
      <c r="H53" s="98">
        <f>寻访!AI53+MAX(SUMPRODUCT(门客产销!V53:Z53,门客升级!$D$8:$H$8),0)</f>
        <v>127520.04804845038</v>
      </c>
      <c r="I53" s="86">
        <f t="shared" si="2"/>
        <v>0.6665275352731046</v>
      </c>
      <c r="K53" s="95">
        <f>IFERROR(寻访!AI53/H53,0)</f>
        <v>0.54865242305374085</v>
      </c>
      <c r="L53" s="95">
        <f>IFERROR(MAX(SUMPRODUCT(门客产销!L53:P53-门客产销!G53:K53,门客升级!$D$8:$H$8),0)/H53,0)</f>
        <v>0.44933997960997885</v>
      </c>
      <c r="N53" s="95">
        <f>门客升级!T53/G53</f>
        <v>0.96341208446581639</v>
      </c>
      <c r="O53" s="95">
        <f>门客进修!T53/G53</f>
        <v>3.6587915534183564E-2</v>
      </c>
    </row>
    <row r="54" spans="3:15" x14ac:dyDescent="0.15">
      <c r="C54" s="72">
        <v>10</v>
      </c>
      <c r="D54" s="78">
        <f>基础信息!D59</f>
        <v>52</v>
      </c>
      <c r="E54" s="79">
        <f>基础信息!E59</f>
        <v>473.91181132163672</v>
      </c>
      <c r="F54" s="79">
        <f>基础信息!F59</f>
        <v>94.309081972684396</v>
      </c>
      <c r="G54" s="72">
        <f>门客升级!T54+门客进修!T54</f>
        <v>387800</v>
      </c>
      <c r="H54" s="98">
        <f>寻访!AI54+MAX(SUMPRODUCT(门客产销!V54:Z54,门客升级!$D$8:$H$8),0)</f>
        <v>282080.93066928349</v>
      </c>
      <c r="I54" s="86">
        <f t="shared" si="2"/>
        <v>0.72738764999815242</v>
      </c>
      <c r="K54" s="95">
        <f>IFERROR(寻访!AI54/H54,0)</f>
        <v>0.55294574595288426</v>
      </c>
      <c r="L54" s="95">
        <f>IFERROR(MAX(SUMPRODUCT(门客产销!L54:P54-门客产销!G54:K54,门客升级!$D$8:$H$8),0)/H54,0)</f>
        <v>0.4439686252381585</v>
      </c>
      <c r="N54" s="95">
        <f>门客升级!T54/G54</f>
        <v>0.77565755544094894</v>
      </c>
      <c r="O54" s="95">
        <f>门客进修!T54/G54</f>
        <v>0.22434244455905106</v>
      </c>
    </row>
    <row r="55" spans="3:15" x14ac:dyDescent="0.15">
      <c r="C55" s="72">
        <v>11</v>
      </c>
      <c r="D55" s="78">
        <f>基础信息!D60</f>
        <v>57</v>
      </c>
      <c r="E55" s="79">
        <f>基础信息!E60</f>
        <v>988.69490566221691</v>
      </c>
      <c r="F55" s="79">
        <f>基础信息!F60</f>
        <v>104.93378702762401</v>
      </c>
      <c r="G55" s="72">
        <f>门客升级!T55+门客进修!T55</f>
        <v>425880</v>
      </c>
      <c r="H55" s="98">
        <f>寻访!AI55+MAX(SUMPRODUCT(门客产销!V55:Z55,门客升级!$D$8:$H$8),0)</f>
        <v>664824.98944669939</v>
      </c>
      <c r="I55" s="86">
        <f t="shared" si="2"/>
        <v>1.5610617766664303</v>
      </c>
      <c r="K55" s="95">
        <f>IFERROR(寻访!AI55/H55,0)</f>
        <v>0.56036506498822081</v>
      </c>
      <c r="L55" s="95">
        <f>IFERROR(MAX(SUMPRODUCT(门客产销!L55:P55-门客产销!G55:K55,门客升级!$D$8:$H$8),0)/H55,0)</f>
        <v>0.43963493501177914</v>
      </c>
      <c r="N55" s="95">
        <f>门客升级!T55/G55</f>
        <v>0.77693246924016157</v>
      </c>
      <c r="O55" s="95">
        <f>门客进修!T55/G55</f>
        <v>0.22306753075983848</v>
      </c>
    </row>
    <row r="56" spans="3:15" x14ac:dyDescent="0.15">
      <c r="C56" s="72">
        <v>12</v>
      </c>
      <c r="D56" s="78">
        <f>基础信息!D61</f>
        <v>62</v>
      </c>
      <c r="E56" s="79">
        <f>基础信息!E61</f>
        <v>2058.8113773623186</v>
      </c>
      <c r="F56" s="79">
        <f>基础信息!F61</f>
        <v>115.63935175516689</v>
      </c>
      <c r="G56" s="72">
        <f>门客升级!T56+门客进修!T56</f>
        <v>455960</v>
      </c>
      <c r="H56" s="98">
        <f>寻访!AI56+MAX(SUMPRODUCT(门客产销!V56:Z56,门客升级!$D$8:$H$8),0)</f>
        <v>1517046.1712221308</v>
      </c>
      <c r="I56" s="86">
        <f t="shared" si="2"/>
        <v>3.3271474936883294</v>
      </c>
      <c r="K56" s="95">
        <f>IFERROR(寻访!AI56/H56,0)</f>
        <v>0.5653984189518293</v>
      </c>
      <c r="L56" s="95">
        <f>IFERROR(MAX(SUMPRODUCT(门客产销!L56:P56-门客产销!G56:K56,门客升级!$D$8:$H$8),0)/H56,0)</f>
        <v>0.43460158104817065</v>
      </c>
      <c r="N56" s="95">
        <f>门客升级!T56/G56</f>
        <v>0.79164839020966749</v>
      </c>
      <c r="O56" s="95">
        <f>门客进修!T56/G56</f>
        <v>0.20835160979033251</v>
      </c>
    </row>
    <row r="57" spans="3:15" x14ac:dyDescent="0.15">
      <c r="C57" s="72">
        <v>13</v>
      </c>
      <c r="D57" s="78">
        <f>基础信息!D62</f>
        <v>67</v>
      </c>
      <c r="E57" s="79">
        <f>基础信息!E62</f>
        <v>4280.1298868004114</v>
      </c>
      <c r="F57" s="79">
        <f>基础信息!F62</f>
        <v>126.19151638854794</v>
      </c>
      <c r="G57" s="72">
        <f>门客升级!T57+门客进修!T57</f>
        <v>486040</v>
      </c>
      <c r="H57" s="98">
        <f>寻访!AI57+MAX(SUMPRODUCT(门客产销!V57:Z57,门客升级!$D$8:$H$8),0)</f>
        <v>3352057.2062132778</v>
      </c>
      <c r="I57" s="86">
        <f t="shared" si="2"/>
        <v>6.8966694227085794</v>
      </c>
      <c r="K57" s="95">
        <f>IFERROR(寻访!AI57/H57,0)</f>
        <v>0.57254170748146871</v>
      </c>
      <c r="L57" s="95">
        <f>IFERROR(MAX(SUMPRODUCT(门客产销!L57:P57-门客产销!G57:K57,门客升级!$D$8:$H$8),0)/H57,0)</f>
        <v>0.42745829251853129</v>
      </c>
      <c r="N57" s="95">
        <f>门客升级!T57/G57</f>
        <v>0.80454283598057774</v>
      </c>
      <c r="O57" s="95">
        <f>门客进修!T57/G57</f>
        <v>0.19545716401942229</v>
      </c>
    </row>
    <row r="58" spans="3:15" x14ac:dyDescent="0.15">
      <c r="C58" s="72">
        <v>14</v>
      </c>
      <c r="D58" s="78">
        <f>基础信息!D63</f>
        <v>72</v>
      </c>
      <c r="E58" s="79">
        <f>基础信息!E63</f>
        <v>8884.9230377523691</v>
      </c>
      <c r="F58" s="79">
        <f>基础信息!F63</f>
        <v>136.8190741194654</v>
      </c>
      <c r="G58" s="72">
        <f>门客升级!T58+门客进修!T58</f>
        <v>1216120</v>
      </c>
      <c r="H58" s="98">
        <f>寻访!AI58+MAX(SUMPRODUCT(门客产销!V58:Z58,门客升级!$D$8:$H$8),0)</f>
        <v>7242308.1671534041</v>
      </c>
      <c r="I58" s="86">
        <f t="shared" si="2"/>
        <v>5.9552578422798774</v>
      </c>
      <c r="K58" s="95">
        <f>IFERROR(寻访!AI58/H58,0)</f>
        <v>0.58436896890671008</v>
      </c>
      <c r="L58" s="95">
        <f>IFERROR(MAX(SUMPRODUCT(门客产销!L58:P58-门客产销!G58:K58,门客升级!$D$8:$H$8),0)/H58,0)</f>
        <v>0.41563103109328997</v>
      </c>
      <c r="N58" s="95">
        <f>门客升级!T58/G58</f>
        <v>0.34628161694569615</v>
      </c>
      <c r="O58" s="95">
        <f>门客进修!T58/G58</f>
        <v>0.65371838305430385</v>
      </c>
    </row>
    <row r="59" spans="3:15" x14ac:dyDescent="0.15">
      <c r="C59" s="72">
        <v>15</v>
      </c>
      <c r="D59" s="78">
        <f>基础信息!D64</f>
        <v>77</v>
      </c>
      <c r="E59" s="79">
        <f>基础信息!E64</f>
        <v>18418.806603807832</v>
      </c>
      <c r="F59" s="79">
        <f>基础信息!F64</f>
        <v>147.45018844840658</v>
      </c>
      <c r="G59" s="72">
        <f>门客升级!T59+门客进修!T59</f>
        <v>2046200</v>
      </c>
      <c r="H59" s="98">
        <f>寻访!AI59+MAX(SUMPRODUCT(门客产销!V59:Z59,门客升级!$D$8:$H$8),0)</f>
        <v>15566325.736278094</v>
      </c>
      <c r="I59" s="86">
        <f t="shared" si="2"/>
        <v>7.6074312072515369</v>
      </c>
      <c r="K59" s="95">
        <f>IFERROR(寻访!AI59/H59,0)</f>
        <v>0.59449824456625178</v>
      </c>
      <c r="L59" s="95">
        <f>IFERROR(MAX(SUMPRODUCT(门客产销!L59:P59-门客产销!G59:K59,门客升级!$D$8:$H$8),0)/H59,0)</f>
        <v>0.40550175543374828</v>
      </c>
      <c r="N59" s="95">
        <f>门客升级!T59/G59</f>
        <v>0.22050630436907437</v>
      </c>
      <c r="O59" s="95">
        <f>门客进修!T59/G59</f>
        <v>0.77949369563092563</v>
      </c>
    </row>
    <row r="60" spans="3:15" x14ac:dyDescent="0.15">
      <c r="C60" s="72">
        <v>16</v>
      </c>
      <c r="D60" s="78">
        <f>基础信息!D65</f>
        <v>80</v>
      </c>
      <c r="E60" s="79">
        <f>基础信息!E65</f>
        <v>28507.724999999999</v>
      </c>
      <c r="F60" s="79">
        <f>基础信息!F65</f>
        <v>153.14946182958477</v>
      </c>
      <c r="G60" s="72">
        <f>门客升级!T60+门客进修!T60</f>
        <v>2976280</v>
      </c>
      <c r="H60" s="98">
        <f>寻访!AI60+MAX(SUMPRODUCT(门客产销!V60:Z60,门客升级!$D$8:$H$8),0)</f>
        <v>24555699.611555438</v>
      </c>
      <c r="I60" s="86">
        <f t="shared" si="2"/>
        <v>8.2504668954384126</v>
      </c>
      <c r="K60" s="95">
        <f>IFERROR(寻访!AI60/H60,0)</f>
        <v>0.60150065733542601</v>
      </c>
      <c r="L60" s="95">
        <f>IFERROR(MAX(SUMPRODUCT(门客产销!L60:P60-门客产销!G60:K60,门客升级!$D$8:$H$8),0)/H60,0)</f>
        <v>0.39849934266457404</v>
      </c>
      <c r="N60" s="95">
        <f>门客升级!T60/G60</f>
        <v>0.16170521590710552</v>
      </c>
      <c r="O60" s="95">
        <f>门客进修!T60/G60</f>
        <v>0.83829478409289448</v>
      </c>
    </row>
    <row r="63" spans="3:15" x14ac:dyDescent="0.15">
      <c r="C63" s="72" t="s">
        <v>3</v>
      </c>
    </row>
    <row r="64" spans="3:15" x14ac:dyDescent="0.15">
      <c r="C64" s="72" t="s">
        <v>21</v>
      </c>
      <c r="D64" s="72" t="s">
        <v>121</v>
      </c>
      <c r="E64" s="76" t="s">
        <v>122</v>
      </c>
      <c r="F64" s="76" t="s">
        <v>103</v>
      </c>
      <c r="G64" s="72" t="s">
        <v>173</v>
      </c>
      <c r="H64" s="86" t="s">
        <v>174</v>
      </c>
      <c r="I64" s="86" t="s">
        <v>198</v>
      </c>
      <c r="K64" s="95" t="s">
        <v>248</v>
      </c>
      <c r="L64" s="95" t="s">
        <v>249</v>
      </c>
      <c r="N64" s="95" t="s">
        <v>251</v>
      </c>
      <c r="O64" s="95" t="s">
        <v>252</v>
      </c>
    </row>
    <row r="65" spans="3:15" x14ac:dyDescent="0.15">
      <c r="C65" s="72">
        <v>1</v>
      </c>
      <c r="D65" s="78">
        <f>基础信息!D70</f>
        <v>16</v>
      </c>
      <c r="E65" s="79">
        <f>基础信息!E70</f>
        <v>1.0155087681570587</v>
      </c>
      <c r="F65" s="79">
        <f>基础信息!F70</f>
        <v>15.589627930182091</v>
      </c>
      <c r="G65" s="72">
        <f>门客升级!T65+门客进修!T65</f>
        <v>120</v>
      </c>
      <c r="H65" s="98">
        <f>寻访!AI65+MAX(SUMPRODUCT(门客产销!V65:Z65,门客升级!$D$8:$H$8),0)</f>
        <v>100</v>
      </c>
      <c r="I65" s="86">
        <f>H65/G65</f>
        <v>0.83333333333333337</v>
      </c>
      <c r="K65" s="95">
        <f>IFERROR(寻访!AI65/H65,0)</f>
        <v>0</v>
      </c>
      <c r="L65" s="95">
        <f>IFERROR(MAX(SUMPRODUCT(门客产销!L65:P65-门客产销!G65:K65,门客升级!$D$8:$H$8),0)/H65,0)</f>
        <v>5.3972077815008497</v>
      </c>
      <c r="N65" s="95">
        <f>门客升级!T65/G65</f>
        <v>1</v>
      </c>
      <c r="O65" s="95">
        <f>门客进修!T65/G65</f>
        <v>0</v>
      </c>
    </row>
    <row r="66" spans="3:15" x14ac:dyDescent="0.15">
      <c r="C66" s="72">
        <v>2</v>
      </c>
      <c r="D66" s="78">
        <f>基础信息!D71</f>
        <v>19.5</v>
      </c>
      <c r="E66" s="79">
        <f>基础信息!E71</f>
        <v>1.9291590128661831</v>
      </c>
      <c r="F66" s="79">
        <f>基础信息!F71</f>
        <v>22.124520244011151</v>
      </c>
      <c r="G66" s="72">
        <f>门客升级!T66+门客进修!T66</f>
        <v>760</v>
      </c>
      <c r="H66" s="98">
        <f>寻访!AI66+MAX(SUMPRODUCT(门客产销!V66:Z66,门客升级!$D$8:$H$8),0)</f>
        <v>291.36502447091243</v>
      </c>
      <c r="I66" s="86">
        <f t="shared" ref="I66:I80" si="3">H66/G66</f>
        <v>0.383375032198569</v>
      </c>
      <c r="K66" s="95">
        <f>IFERROR(寻访!AI66/H66,0)</f>
        <v>0.31357581314648691</v>
      </c>
      <c r="L66" s="95">
        <f>IFERROR(MAX(SUMPRODUCT(门客产销!L66:P66-门客产销!G66:K66,门客升级!$D$8:$H$8),0)/H66,0)</f>
        <v>2.292102972993721</v>
      </c>
      <c r="N66" s="95">
        <f>门客升级!T66/G66</f>
        <v>1</v>
      </c>
      <c r="O66" s="95">
        <f>门客进修!T66/G66</f>
        <v>0</v>
      </c>
    </row>
    <row r="67" spans="3:15" x14ac:dyDescent="0.15">
      <c r="C67" s="72">
        <v>3</v>
      </c>
      <c r="D67" s="78">
        <f>基础信息!D72</f>
        <v>23.5</v>
      </c>
      <c r="E67" s="79">
        <f>基础信息!E72</f>
        <v>3.8620055508637692</v>
      </c>
      <c r="F67" s="79">
        <f>基础信息!F72</f>
        <v>30.385092920099169</v>
      </c>
      <c r="G67" s="72">
        <f>门客升级!T67+门客进修!T67</f>
        <v>2160</v>
      </c>
      <c r="H67" s="98">
        <f>寻访!AI67+MAX(SUMPRODUCT(门客产销!V67:Z67,门客升级!$D$8:$H$8),0)</f>
        <v>722.8646160348585</v>
      </c>
      <c r="I67" s="86">
        <f t="shared" si="3"/>
        <v>0.33465954446058266</v>
      </c>
      <c r="K67" s="95">
        <f>IFERROR(寻访!AI67/H67,0)</f>
        <v>0.42051877614104743</v>
      </c>
      <c r="L67" s="95">
        <f>IFERROR(MAX(SUMPRODUCT(门客产销!L67:P67-门客产销!G67:K67,门客升级!$D$8:$H$8),0)/H67,0)</f>
        <v>0.90841272706723375</v>
      </c>
      <c r="N67" s="95">
        <f>门客升级!T67/G67</f>
        <v>1</v>
      </c>
      <c r="O67" s="95">
        <f>门客进修!T67/G67</f>
        <v>0</v>
      </c>
    </row>
    <row r="68" spans="3:15" x14ac:dyDescent="0.15">
      <c r="C68" s="72">
        <v>4</v>
      </c>
      <c r="D68" s="78">
        <f>基础信息!D73</f>
        <v>27.5</v>
      </c>
      <c r="E68" s="79">
        <f>基础信息!E73</f>
        <v>7.5480892551941539</v>
      </c>
      <c r="F68" s="79">
        <f>基础信息!F73</f>
        <v>39.22082982715331</v>
      </c>
      <c r="G68" s="72">
        <f>门客升级!T68+门客进修!T68</f>
        <v>4640</v>
      </c>
      <c r="H68" s="98">
        <f>寻访!AI68+MAX(SUMPRODUCT(门客产销!V68:Z68,门客升级!$D$8:$H$8),0)</f>
        <v>2418.8395412848067</v>
      </c>
      <c r="I68" s="86">
        <f t="shared" si="3"/>
        <v>0.52130162527689805</v>
      </c>
      <c r="K68" s="95">
        <f>IFERROR(寻访!AI68/H68,0)</f>
        <v>0.30853976687262152</v>
      </c>
      <c r="L68" s="95">
        <f>IFERROR(MAX(SUMPRODUCT(门客产销!L68:P68-门客产销!G68:K68,门客升级!$D$8:$H$8),0)/H68,0)</f>
        <v>0.42069514822096388</v>
      </c>
      <c r="N68" s="95">
        <f>门客升级!T68/G68</f>
        <v>1</v>
      </c>
      <c r="O68" s="95">
        <f>门客进修!T68/G68</f>
        <v>0</v>
      </c>
    </row>
    <row r="69" spans="3:15" x14ac:dyDescent="0.15">
      <c r="C69" s="72">
        <v>5</v>
      </c>
      <c r="D69" s="78">
        <f>基础信息!D74</f>
        <v>31.5</v>
      </c>
      <c r="E69" s="79">
        <f>基础信息!E74</f>
        <v>14.515695505432269</v>
      </c>
      <c r="F69" s="79">
        <f>基础信息!F74</f>
        <v>48.246535012671018</v>
      </c>
      <c r="G69" s="72">
        <f>门客升级!T69+门客进修!T69</f>
        <v>8400</v>
      </c>
      <c r="H69" s="98">
        <f>寻访!AI69+MAX(SUMPRODUCT(门客产销!V69:Z69,门客升级!$D$8:$H$8),0)</f>
        <v>5421.3018598813187</v>
      </c>
      <c r="I69" s="86">
        <f t="shared" si="3"/>
        <v>0.64539307855729988</v>
      </c>
      <c r="K69" s="95">
        <f>IFERROR(寻访!AI69/H69,0)</f>
        <v>0.3497247097583841</v>
      </c>
      <c r="L69" s="95">
        <f>IFERROR(MAX(SUMPRODUCT(门客产销!L69:P69-门客产销!G69:K69,门客升级!$D$8:$H$8),0)/H69,0)</f>
        <v>0</v>
      </c>
      <c r="N69" s="95">
        <f>门客升级!T69/G69</f>
        <v>1</v>
      </c>
      <c r="O69" s="95">
        <f>门客进修!T69/G69</f>
        <v>0</v>
      </c>
    </row>
    <row r="70" spans="3:15" x14ac:dyDescent="0.15">
      <c r="C70" s="72">
        <v>6</v>
      </c>
      <c r="D70" s="78">
        <f>基础信息!D75</f>
        <v>35.5</v>
      </c>
      <c r="E70" s="79">
        <f>基础信息!E75</f>
        <v>27.449372333401666</v>
      </c>
      <c r="F70" s="79">
        <f>基础信息!F75</f>
        <v>57.411337115405701</v>
      </c>
      <c r="G70" s="72">
        <f>门客升级!T70+门客进修!T70</f>
        <v>14880</v>
      </c>
      <c r="H70" s="98">
        <f>寻访!AI70+MAX(SUMPRODUCT(门客产销!V70:Z70,门客升级!$D$8:$H$8),0)</f>
        <v>11592.512113458051</v>
      </c>
      <c r="I70" s="86">
        <f t="shared" si="3"/>
        <v>0.77906667429153575</v>
      </c>
      <c r="K70" s="95">
        <f>IFERROR(寻访!AI70/H70,0)</f>
        <v>0.39338329788994619</v>
      </c>
      <c r="L70" s="95">
        <f>IFERROR(MAX(SUMPRODUCT(门客产销!L70:P70-门客产销!G70:K70,门客升级!$D$8:$H$8),0)/H70,0)</f>
        <v>8.5839872172711728E-3</v>
      </c>
      <c r="N70" s="95">
        <f>门客升级!T70/G70</f>
        <v>1</v>
      </c>
      <c r="O70" s="95">
        <f>门客进修!T70/G70</f>
        <v>0</v>
      </c>
    </row>
    <row r="71" spans="3:15" x14ac:dyDescent="0.15">
      <c r="C71" s="72">
        <v>7</v>
      </c>
      <c r="D71" s="78">
        <f>基础信息!D76</f>
        <v>39.5</v>
      </c>
      <c r="E71" s="79">
        <f>基础信息!E76</f>
        <v>49.848538197196007</v>
      </c>
      <c r="F71" s="79">
        <f>基础信息!F76</f>
        <v>65.902718877121345</v>
      </c>
      <c r="G71" s="72">
        <f>门客升级!T71+门客进修!T71</f>
        <v>31360</v>
      </c>
      <c r="H71" s="98">
        <f>寻访!AI71+MAX(SUMPRODUCT(门客产销!V71:Z71,门客升级!$D$8:$H$8),0)</f>
        <v>25048.973632839181</v>
      </c>
      <c r="I71" s="86">
        <f t="shared" si="3"/>
        <v>0.7987555367614535</v>
      </c>
      <c r="K71" s="95">
        <f>IFERROR(寻访!AI71/H71,0)</f>
        <v>0.41656325112346115</v>
      </c>
      <c r="L71" s="95">
        <f>IFERROR(MAX(SUMPRODUCT(门客产销!L71:P71-门客产销!G71:K71,门客升级!$D$8:$H$8),0)/H71,0)</f>
        <v>0</v>
      </c>
      <c r="N71" s="95">
        <f>门客升级!T71/G71</f>
        <v>1</v>
      </c>
      <c r="O71" s="95">
        <f>门客进修!T71/G71</f>
        <v>0</v>
      </c>
    </row>
    <row r="72" spans="3:15" x14ac:dyDescent="0.15">
      <c r="C72" s="72">
        <v>8</v>
      </c>
      <c r="D72" s="78">
        <f>基础信息!D77</f>
        <v>43.5</v>
      </c>
      <c r="E72" s="79">
        <f>基础信息!E77</f>
        <v>90.273217467309593</v>
      </c>
      <c r="F72" s="79">
        <f>基础信息!F77</f>
        <v>74.536451869422805</v>
      </c>
      <c r="G72" s="72">
        <f>门客升级!T72+门客进修!T72</f>
        <v>87040</v>
      </c>
      <c r="H72" s="98">
        <f>寻访!AI72+MAX(SUMPRODUCT(门客产销!V72:Z72,门客升级!$D$8:$H$8),0)</f>
        <v>49385.574771724139</v>
      </c>
      <c r="I72" s="86">
        <f t="shared" si="3"/>
        <v>0.56738941603543358</v>
      </c>
      <c r="K72" s="95">
        <f>IFERROR(寻访!AI72/H72,0)</f>
        <v>0.4513265096698601</v>
      </c>
      <c r="L72" s="95">
        <f>IFERROR(MAX(SUMPRODUCT(门客产销!L72:P72-门客产销!G72:K72,门客升级!$D$8:$H$8),0)/H72,0)</f>
        <v>0.22474383052058305</v>
      </c>
      <c r="N72" s="95">
        <f>门客升级!T72/G72</f>
        <v>1</v>
      </c>
      <c r="O72" s="95">
        <f>门客进修!T72/G72</f>
        <v>0</v>
      </c>
    </row>
    <row r="73" spans="3:15" x14ac:dyDescent="0.15">
      <c r="C73" s="72">
        <v>9</v>
      </c>
      <c r="D73" s="78">
        <f>基础信息!D78</f>
        <v>47.5</v>
      </c>
      <c r="E73" s="79">
        <f>基础信息!E78</f>
        <v>163.13415930738643</v>
      </c>
      <c r="F73" s="79">
        <f>基础信息!F78</f>
        <v>83.136424497546074</v>
      </c>
      <c r="G73" s="72">
        <f>门客升级!T73+门客进修!T73</f>
        <v>184320</v>
      </c>
      <c r="H73" s="98">
        <f>寻访!AI73+MAX(SUMPRODUCT(门客产销!V73:Z73,门客升级!$D$8:$H$8),0)</f>
        <v>98977.58529396588</v>
      </c>
      <c r="I73" s="86">
        <f t="shared" si="3"/>
        <v>0.53698776743688081</v>
      </c>
      <c r="K73" s="95">
        <f>IFERROR(寻访!AI73/H73,0)</f>
        <v>0.47124597717026129</v>
      </c>
      <c r="L73" s="95">
        <f>IFERROR(MAX(SUMPRODUCT(门客产销!L73:P73-门客产销!G73:K73,门客升级!$D$8:$H$8),0)/H73,0)</f>
        <v>0.52512386502940323</v>
      </c>
      <c r="N73" s="95">
        <f>门客升级!T73/G73</f>
        <v>1</v>
      </c>
      <c r="O73" s="95">
        <f>门客进修!T73/G73</f>
        <v>0</v>
      </c>
    </row>
    <row r="74" spans="3:15" x14ac:dyDescent="0.15">
      <c r="C74" s="72">
        <v>10</v>
      </c>
      <c r="D74" s="78">
        <f>基础信息!D79</f>
        <v>52</v>
      </c>
      <c r="E74" s="79">
        <f>基础信息!E79</f>
        <v>315.94120754775781</v>
      </c>
      <c r="F74" s="79">
        <f>基础信息!F79</f>
        <v>93.208444061349098</v>
      </c>
      <c r="G74" s="72">
        <f>门客升级!T74+门客进修!T74</f>
        <v>407466.66666666669</v>
      </c>
      <c r="H74" s="98">
        <f>寻访!AI74+MAX(SUMPRODUCT(门客产销!V74:Z74,门客升级!$D$8:$H$8),0)</f>
        <v>241279.37743790005</v>
      </c>
      <c r="I74" s="86">
        <f t="shared" si="3"/>
        <v>0.59214506897390384</v>
      </c>
      <c r="K74" s="95">
        <f>IFERROR(寻访!AI74/H74,0)</f>
        <v>0.43096776382710233</v>
      </c>
      <c r="L74" s="95">
        <f>IFERROR(MAX(SUMPRODUCT(门客产销!L74:P74-门客产销!G74:K74,门客升级!$D$8:$H$8),0)/H74,0)</f>
        <v>0.56903223617289767</v>
      </c>
      <c r="N74" s="95">
        <f>门客升级!T74/G74</f>
        <v>0.73821989528795806</v>
      </c>
      <c r="O74" s="95">
        <f>门客进修!T74/G74</f>
        <v>0.26178010471204188</v>
      </c>
    </row>
    <row r="75" spans="3:15" x14ac:dyDescent="0.15">
      <c r="C75" s="72">
        <v>11</v>
      </c>
      <c r="D75" s="78">
        <f>基础信息!D80</f>
        <v>57</v>
      </c>
      <c r="E75" s="79">
        <f>基础信息!E80</f>
        <v>659.12993710814465</v>
      </c>
      <c r="F75" s="79">
        <f>基础信息!F80</f>
        <v>103.87052361677672</v>
      </c>
      <c r="G75" s="72">
        <f>门客升级!T75+门客进修!T75</f>
        <v>437546.66666666669</v>
      </c>
      <c r="H75" s="98">
        <f>寻访!AI75+MAX(SUMPRODUCT(门客产销!V75:Z75,门客升级!$D$8:$H$8),0)</f>
        <v>577567.97842870792</v>
      </c>
      <c r="I75" s="86">
        <f t="shared" si="3"/>
        <v>1.3200145777106622</v>
      </c>
      <c r="K75" s="95">
        <f>IFERROR(寻访!AI75/H75,0)</f>
        <v>0.43001541213164507</v>
      </c>
      <c r="L75" s="95">
        <f>IFERROR(MAX(SUMPRODUCT(门客产销!L75:P75-门客产销!G75:K75,门客升级!$D$8:$H$8),0)/H75,0)</f>
        <v>0.56998458786835504</v>
      </c>
      <c r="N75" s="95">
        <f>门客升级!T75/G75</f>
        <v>0.75621647976596784</v>
      </c>
      <c r="O75" s="95">
        <f>门客进修!T75/G75</f>
        <v>0.24378352023403219</v>
      </c>
    </row>
    <row r="76" spans="3:15" x14ac:dyDescent="0.15">
      <c r="C76" s="72">
        <v>12</v>
      </c>
      <c r="D76" s="78">
        <f>基础信息!D81</f>
        <v>62</v>
      </c>
      <c r="E76" s="79">
        <f>基础信息!E81</f>
        <v>1372.540918241546</v>
      </c>
      <c r="F76" s="79">
        <f>基础信息!F81</f>
        <v>114.60606674176169</v>
      </c>
      <c r="G76" s="72">
        <f>门客升级!T76+门客进修!T76</f>
        <v>467626.66666666669</v>
      </c>
      <c r="H76" s="98">
        <f>寻访!AI76+MAX(SUMPRODUCT(门客产销!V76:Z76,门客升级!$D$8:$H$8),0)</f>
        <v>1297371.9332608017</v>
      </c>
      <c r="I76" s="86">
        <f t="shared" si="3"/>
        <v>2.7743754275365</v>
      </c>
      <c r="K76" s="95">
        <f>IFERROR(寻访!AI76/H76,0)</f>
        <v>0.44075538900146405</v>
      </c>
      <c r="L76" s="95">
        <f>IFERROR(MAX(SUMPRODUCT(门客产销!L76:P76-门客产销!G76:K76,门客升级!$D$8:$H$8),0)/H76,0)</f>
        <v>0.55924461099853595</v>
      </c>
      <c r="N76" s="95">
        <f>门客升级!T76/G76</f>
        <v>0.77189781021897808</v>
      </c>
      <c r="O76" s="95">
        <f>门客进修!T76/G76</f>
        <v>0.2281021897810219</v>
      </c>
    </row>
    <row r="77" spans="3:15" x14ac:dyDescent="0.15">
      <c r="C77" s="72">
        <v>13</v>
      </c>
      <c r="D77" s="78">
        <f>基础信息!D82</f>
        <v>67</v>
      </c>
      <c r="E77" s="79">
        <f>基础信息!E82</f>
        <v>2853.4199245336076</v>
      </c>
      <c r="F77" s="79">
        <f>基础信息!F82</f>
        <v>125.19410714767859</v>
      </c>
      <c r="G77" s="72">
        <f>门客升级!T77+门客进修!T77</f>
        <v>714373.33333333337</v>
      </c>
      <c r="H77" s="98">
        <f>寻访!AI77+MAX(SUMPRODUCT(门客产销!V77:Z77,门客升级!$D$8:$H$8),0)</f>
        <v>2796007.7486604806</v>
      </c>
      <c r="I77" s="86">
        <f t="shared" si="3"/>
        <v>3.9139307392873199</v>
      </c>
      <c r="K77" s="95">
        <f>IFERROR(寻访!AI77/H77,0)</f>
        <v>0.4576030609691894</v>
      </c>
      <c r="L77" s="95">
        <f>IFERROR(MAX(SUMPRODUCT(门客产销!L77:P77-门客产销!G77:K77,门客升级!$D$8:$H$8),0)/H77,0)</f>
        <v>0.54239693903081065</v>
      </c>
      <c r="N77" s="95">
        <f>门客升级!T77/G77</f>
        <v>0.54738885363395418</v>
      </c>
      <c r="O77" s="95">
        <f>门客进修!T77/G77</f>
        <v>0.45261114636604577</v>
      </c>
    </row>
    <row r="78" spans="3:15" x14ac:dyDescent="0.15">
      <c r="C78" s="72">
        <v>14</v>
      </c>
      <c r="D78" s="78">
        <f>基础信息!D83</f>
        <v>72</v>
      </c>
      <c r="E78" s="79">
        <f>基础信息!E83</f>
        <v>5923.2820251682469</v>
      </c>
      <c r="F78" s="79">
        <f>基础信息!F83</f>
        <v>135.89542876835631</v>
      </c>
      <c r="G78" s="72">
        <f>门客升级!T78+门客进修!T78</f>
        <v>1927786.6666666667</v>
      </c>
      <c r="H78" s="98">
        <f>寻访!AI78+MAX(SUMPRODUCT(门客产销!V78:Z78,门客升级!$D$8:$H$8),0)</f>
        <v>5994761.8629521206</v>
      </c>
      <c r="I78" s="86">
        <f t="shared" si="3"/>
        <v>3.1096604030972239</v>
      </c>
      <c r="K78" s="95">
        <f>IFERROR(寻访!AI78/H78,0)</f>
        <v>0.47065313050483082</v>
      </c>
      <c r="L78" s="95">
        <f>IFERROR(MAX(SUMPRODUCT(门客产销!L78:P78-门客产销!G78:K78,门客升级!$D$8:$H$8),0)/H78,0)</f>
        <v>0.52934686949516907</v>
      </c>
      <c r="N78" s="95">
        <f>门客升级!T78/G78</f>
        <v>0.21844740773529572</v>
      </c>
      <c r="O78" s="95">
        <f>门客进修!T78/G78</f>
        <v>0.7815525922647043</v>
      </c>
    </row>
    <row r="79" spans="3:15" x14ac:dyDescent="0.15">
      <c r="C79" s="72">
        <v>15</v>
      </c>
      <c r="D79" s="78">
        <f>基础信息!D84</f>
        <v>77</v>
      </c>
      <c r="E79" s="79">
        <f>基础信息!E84</f>
        <v>12279.204402538555</v>
      </c>
      <c r="F79" s="79">
        <f>基础信息!F84</f>
        <v>146.55064673623977</v>
      </c>
      <c r="G79" s="72">
        <f>门客升级!T79+门客进修!T79</f>
        <v>2807866.6666666665</v>
      </c>
      <c r="H79" s="98">
        <f>寻访!AI79+MAX(SUMPRODUCT(门客产销!V79:Z79,门客升级!$D$8:$H$8),0)</f>
        <v>12784547.989904687</v>
      </c>
      <c r="I79" s="86">
        <f t="shared" si="3"/>
        <v>4.5531179032378155</v>
      </c>
      <c r="K79" s="95">
        <f>IFERROR(寻访!AI79/H79,0)</f>
        <v>0.48256970481716593</v>
      </c>
      <c r="L79" s="95">
        <f>IFERROR(MAX(SUMPRODUCT(门客产销!L79:P79-门客产销!G79:K79,门客升级!$D$8:$H$8),0)/H79,0)</f>
        <v>0.51743029518283401</v>
      </c>
      <c r="N79" s="95">
        <f>门客升级!T79/G79</f>
        <v>0.16069139085426659</v>
      </c>
      <c r="O79" s="95">
        <f>门客进修!T79/G79</f>
        <v>0.83930860914573335</v>
      </c>
    </row>
    <row r="80" spans="3:15" x14ac:dyDescent="0.15">
      <c r="C80" s="72">
        <v>16</v>
      </c>
      <c r="D80" s="78">
        <f>基础信息!D85</f>
        <v>80</v>
      </c>
      <c r="E80" s="79">
        <f>基础信息!E85</f>
        <v>19005.150000000001</v>
      </c>
      <c r="F80" s="79">
        <f>基础信息!F85</f>
        <v>152.12605579164665</v>
      </c>
      <c r="G80" s="72">
        <f>门客升级!T80+门客进修!T80</f>
        <v>3787946.6666666665</v>
      </c>
      <c r="H80" s="98">
        <f>寻访!AI80+MAX(SUMPRODUCT(门客产销!V80:Z80,门客升级!$D$8:$H$8),0)</f>
        <v>20096879.55816593</v>
      </c>
      <c r="I80" s="86">
        <f t="shared" si="3"/>
        <v>5.3054811291339714</v>
      </c>
      <c r="K80" s="95">
        <f>IFERROR(寻访!AI80/H80,0)</f>
        <v>0.48996891664806697</v>
      </c>
      <c r="L80" s="95">
        <f>IFERROR(MAX(SUMPRODUCT(门客产销!L80:P80-门客产销!G80:K80,门客升级!$D$8:$H$8),0)/H80,0)</f>
        <v>0.51003108335193315</v>
      </c>
      <c r="N80" s="95">
        <f>门客升级!T80/G80</f>
        <v>0.12705564316287452</v>
      </c>
      <c r="O80" s="95">
        <f>门客进修!T80/G80</f>
        <v>0.87294435683712546</v>
      </c>
    </row>
    <row r="83" spans="3:15" x14ac:dyDescent="0.15">
      <c r="C83" s="72" t="s">
        <v>4</v>
      </c>
    </row>
    <row r="84" spans="3:15" x14ac:dyDescent="0.15">
      <c r="C84" s="72" t="s">
        <v>21</v>
      </c>
      <c r="D84" s="72" t="s">
        <v>121</v>
      </c>
      <c r="E84" s="76" t="s">
        <v>122</v>
      </c>
      <c r="F84" s="76" t="s">
        <v>103</v>
      </c>
      <c r="G84" s="72" t="s">
        <v>173</v>
      </c>
      <c r="H84" s="86" t="s">
        <v>174</v>
      </c>
      <c r="I84" s="86" t="s">
        <v>198</v>
      </c>
      <c r="K84" s="95" t="s">
        <v>248</v>
      </c>
      <c r="L84" s="95" t="s">
        <v>249</v>
      </c>
      <c r="N84" s="95" t="s">
        <v>251</v>
      </c>
      <c r="O84" s="95" t="s">
        <v>252</v>
      </c>
    </row>
    <row r="85" spans="3:15" x14ac:dyDescent="0.15">
      <c r="C85" s="72">
        <v>1</v>
      </c>
      <c r="D85" s="78">
        <f>基础信息!D90</f>
        <v>16</v>
      </c>
      <c r="E85" s="79">
        <f>基础信息!E90</f>
        <v>0.50775438407852935</v>
      </c>
      <c r="F85" s="79">
        <f>基础信息!F90</f>
        <v>14.671687356650759</v>
      </c>
      <c r="G85" s="72">
        <f>门客升级!T85+门客进修!T85</f>
        <v>120</v>
      </c>
      <c r="H85" s="98">
        <f>寻访!AI85+MAX(SUMPRODUCT(门客产销!V85:Z85,门客升级!$D$8:$H$8),0)</f>
        <v>100</v>
      </c>
      <c r="I85" s="86">
        <f>H85/G85</f>
        <v>0.83333333333333337</v>
      </c>
      <c r="K85" s="95">
        <f>IFERROR(寻访!AI85/H85,0)</f>
        <v>0</v>
      </c>
      <c r="L85" s="95">
        <f>IFERROR(MAX(SUMPRODUCT(门客产销!L85:P85-门客产销!G85:K85,门客升级!$D$8:$H$8),0)/H85,0)</f>
        <v>3.0930526089423527</v>
      </c>
      <c r="N85" s="95">
        <f>门客升级!T85/G85</f>
        <v>1</v>
      </c>
      <c r="O85" s="95">
        <f>门客进修!T85/G85</f>
        <v>0</v>
      </c>
    </row>
    <row r="86" spans="3:15" x14ac:dyDescent="0.15">
      <c r="C86" s="72">
        <v>2</v>
      </c>
      <c r="D86" s="78">
        <f>基础信息!D91</f>
        <v>19.5</v>
      </c>
      <c r="E86" s="79">
        <f>基础信息!E91</f>
        <v>0.96457950643309154</v>
      </c>
      <c r="F86" s="79">
        <f>基础信息!F91</f>
        <v>20.922787117743994</v>
      </c>
      <c r="G86" s="72">
        <f>门客升级!T86+门客进修!T86</f>
        <v>760</v>
      </c>
      <c r="H86" s="98">
        <f>寻访!AI86+MAX(SUMPRODUCT(门客产销!V86:Z86,门客升级!$D$8:$H$8),0)</f>
        <v>245.68251223545622</v>
      </c>
      <c r="I86" s="86">
        <f t="shared" ref="I86:I100" si="4">H86/G86</f>
        <v>0.32326646346770554</v>
      </c>
      <c r="K86" s="95">
        <f>IFERROR(寻访!AI86/H86,0)</f>
        <v>0.18594124514517824</v>
      </c>
      <c r="L86" s="95">
        <f>IFERROR(MAX(SUMPRODUCT(门客产销!L86:P86-门客产销!G86:K86,门客升级!$D$8:$H$8),0)/H86,0)</f>
        <v>2.2691700872279408</v>
      </c>
      <c r="N86" s="95">
        <f>门客升级!T86/G86</f>
        <v>1</v>
      </c>
      <c r="O86" s="95">
        <f>门客进修!T86/G86</f>
        <v>0</v>
      </c>
    </row>
    <row r="87" spans="3:15" x14ac:dyDescent="0.15">
      <c r="C87" s="72">
        <v>3</v>
      </c>
      <c r="D87" s="78">
        <f>基础信息!D92</f>
        <v>23.5</v>
      </c>
      <c r="E87" s="79">
        <f>基础信息!E92</f>
        <v>1.9310027754318846</v>
      </c>
      <c r="F87" s="79">
        <f>基础信息!F92</f>
        <v>28.96506192552858</v>
      </c>
      <c r="G87" s="72">
        <f>门客升级!T87+门客进修!T87</f>
        <v>2160</v>
      </c>
      <c r="H87" s="98">
        <f>寻访!AI87+MAX(SUMPRODUCT(门客产销!V87:Z87,门客升级!$D$8:$H$8),0)</f>
        <v>624.39018199807731</v>
      </c>
      <c r="I87" s="86">
        <f t="shared" si="4"/>
        <v>0.28906952870281355</v>
      </c>
      <c r="K87" s="95">
        <f>IFERROR(寻访!AI87/H87,0)</f>
        <v>0.24342002197880724</v>
      </c>
      <c r="L87" s="95">
        <f>IFERROR(MAX(SUMPRODUCT(门客产销!L87:P87-门客产销!G87:K87,门客升级!$D$8:$H$8),0)/H87,0)</f>
        <v>1.3088023387926653</v>
      </c>
      <c r="N87" s="95">
        <f>门客升级!T87/G87</f>
        <v>1</v>
      </c>
      <c r="O87" s="95">
        <f>门客进修!T87/G87</f>
        <v>0</v>
      </c>
    </row>
    <row r="88" spans="3:15" x14ac:dyDescent="0.15">
      <c r="C88" s="72">
        <v>4</v>
      </c>
      <c r="D88" s="78">
        <f>基础信息!D93</f>
        <v>27.5</v>
      </c>
      <c r="E88" s="79">
        <f>基础信息!E93</f>
        <v>3.7740446275970769</v>
      </c>
      <c r="F88" s="79">
        <f>基础信息!F93</f>
        <v>37.642488096871389</v>
      </c>
      <c r="G88" s="72">
        <f>门客升级!T88+门客进修!T88</f>
        <v>4640</v>
      </c>
      <c r="H88" s="98">
        <f>寻访!AI88+MAX(SUMPRODUCT(门客产销!V88:Z88,门客升级!$D$8:$H$8),0)</f>
        <v>2282.7719451239773</v>
      </c>
      <c r="I88" s="86">
        <f t="shared" si="4"/>
        <v>0.49197671231120199</v>
      </c>
      <c r="K88" s="95">
        <f>IFERROR(寻访!AI88/H88,0)</f>
        <v>0.16346534084677503</v>
      </c>
      <c r="L88" s="95">
        <f>IFERROR(MAX(SUMPRODUCT(门客产销!L88:P88-门客产销!G88:K88,门客升级!$D$8:$H$8),0)/H88,0)</f>
        <v>0.75734834432731679</v>
      </c>
      <c r="N88" s="95">
        <f>门客升级!T88/G88</f>
        <v>1</v>
      </c>
      <c r="O88" s="95">
        <f>门客进修!T88/G88</f>
        <v>0</v>
      </c>
    </row>
    <row r="89" spans="3:15" x14ac:dyDescent="0.15">
      <c r="C89" s="72">
        <v>5</v>
      </c>
      <c r="D89" s="78">
        <f>基础信息!D94</f>
        <v>31.5</v>
      </c>
      <c r="E89" s="79">
        <f>基础信息!E94</f>
        <v>7.2578477527161347</v>
      </c>
      <c r="F89" s="79">
        <f>基础信息!F94</f>
        <v>46.621425173369133</v>
      </c>
      <c r="G89" s="72">
        <f>门客升级!T89+门客进修!T89</f>
        <v>8400</v>
      </c>
      <c r="H89" s="98">
        <f>寻访!AI89+MAX(SUMPRODUCT(门客产销!V89:Z89,门客升级!$D$8:$H$8),0)</f>
        <v>4769.1770858305326</v>
      </c>
      <c r="I89" s="86">
        <f t="shared" si="4"/>
        <v>0.56775917688458721</v>
      </c>
      <c r="K89" s="95">
        <f>IFERROR(寻访!AI89/H89,0)</f>
        <v>0.19877257494721523</v>
      </c>
      <c r="L89" s="95">
        <f>IFERROR(MAX(SUMPRODUCT(门客产销!L89:P89-门客产销!G89:K89,门客升级!$D$8:$H$8),0)/H89,0)</f>
        <v>0.34124832208662526</v>
      </c>
      <c r="N89" s="95">
        <f>门客升级!T89/G89</f>
        <v>1</v>
      </c>
      <c r="O89" s="95">
        <f>门客进修!T89/G89</f>
        <v>0</v>
      </c>
    </row>
    <row r="90" spans="3:15" x14ac:dyDescent="0.15">
      <c r="C90" s="72">
        <v>6</v>
      </c>
      <c r="D90" s="78">
        <f>基础信息!D95</f>
        <v>35.5</v>
      </c>
      <c r="E90" s="79">
        <f>基础信息!E95</f>
        <v>13.724686166700833</v>
      </c>
      <c r="F90" s="79">
        <f>基础信息!F95</f>
        <v>55.873561913262044</v>
      </c>
      <c r="G90" s="72">
        <f>门客升级!T90+门客进修!T90</f>
        <v>14880</v>
      </c>
      <c r="H90" s="98">
        <f>寻访!AI90+MAX(SUMPRODUCT(门客产销!V90:Z90,门客升级!$D$8:$H$8),0)</f>
        <v>9719.305896319056</v>
      </c>
      <c r="I90" s="86">
        <f t="shared" si="4"/>
        <v>0.65317915969886131</v>
      </c>
      <c r="K90" s="95">
        <f>IFERROR(寻访!AI90/H90,0)</f>
        <v>0.23460011932273775</v>
      </c>
      <c r="L90" s="95">
        <f>IFERROR(MAX(SUMPRODUCT(门客产销!L90:P90-门客产销!G90:K90,门客升级!$D$8:$H$8),0)/H90,0)</f>
        <v>0.41349706959950133</v>
      </c>
      <c r="N90" s="95">
        <f>门客升级!T90/G90</f>
        <v>1</v>
      </c>
      <c r="O90" s="95">
        <f>门客进修!T90/G90</f>
        <v>0</v>
      </c>
    </row>
    <row r="91" spans="3:15" x14ac:dyDescent="0.15">
      <c r="C91" s="72">
        <v>7</v>
      </c>
      <c r="D91" s="78">
        <f>基础信息!D96</f>
        <v>39.5</v>
      </c>
      <c r="E91" s="79">
        <f>基础信息!E96</f>
        <v>24.924269098598003</v>
      </c>
      <c r="F91" s="79">
        <f>基础信息!F96</f>
        <v>64.352574598751431</v>
      </c>
      <c r="G91" s="72">
        <f>门客升级!T91+门客进修!T91</f>
        <v>31360</v>
      </c>
      <c r="H91" s="98">
        <f>寻访!AI91+MAX(SUMPRODUCT(门客产销!V91:Z91,门客升级!$D$8:$H$8),0)</f>
        <v>19273.757540186169</v>
      </c>
      <c r="I91" s="86">
        <f t="shared" si="4"/>
        <v>0.61459686033756911</v>
      </c>
      <c r="K91" s="95">
        <f>IFERROR(寻访!AI91/H91,0)</f>
        <v>0.27069142776247035</v>
      </c>
      <c r="L91" s="95">
        <f>IFERROR(MAX(SUMPRODUCT(门客产销!L91:P91-门客产销!G91:K91,门客升级!$D$8:$H$8),0)/H91,0)</f>
        <v>0.31341735991523412</v>
      </c>
      <c r="N91" s="95">
        <f>门客升级!T91/G91</f>
        <v>1</v>
      </c>
      <c r="O91" s="95">
        <f>门客进修!T91/G91</f>
        <v>0</v>
      </c>
    </row>
    <row r="92" spans="3:15" x14ac:dyDescent="0.15">
      <c r="C92" s="72">
        <v>8</v>
      </c>
      <c r="D92" s="78">
        <f>基础信息!D97</f>
        <v>43.5</v>
      </c>
      <c r="E92" s="79">
        <f>基础信息!E97</f>
        <v>45.136608733654796</v>
      </c>
      <c r="F92" s="79">
        <f>基础信息!F97</f>
        <v>73.078652735991781</v>
      </c>
      <c r="G92" s="72">
        <f>门客升级!T92+门客进修!T92</f>
        <v>87040</v>
      </c>
      <c r="H92" s="98">
        <f>寻访!AI92+MAX(SUMPRODUCT(门客产销!V92:Z92,门客升级!$D$8:$H$8),0)</f>
        <v>39516.987909676936</v>
      </c>
      <c r="I92" s="86">
        <f t="shared" si="4"/>
        <v>0.45400951182992805</v>
      </c>
      <c r="K92" s="95">
        <f>IFERROR(寻访!AI92/H92,0)</f>
        <v>0.28201819355143726</v>
      </c>
      <c r="L92" s="95">
        <f>IFERROR(MAX(SUMPRODUCT(门客产销!L92:P92-门客产销!G92:K92,门客升级!$D$8:$H$8),0)/H92,0)</f>
        <v>0.66737066157660663</v>
      </c>
      <c r="N92" s="95">
        <f>门客升级!T92/G92</f>
        <v>1</v>
      </c>
      <c r="O92" s="95">
        <f>门客进修!T92/G92</f>
        <v>0</v>
      </c>
    </row>
    <row r="93" spans="3:15" x14ac:dyDescent="0.15">
      <c r="C93" s="72">
        <v>9</v>
      </c>
      <c r="D93" s="78">
        <f>基础信息!D98</f>
        <v>47.5</v>
      </c>
      <c r="E93" s="79">
        <f>基础信息!E98</f>
        <v>81.567079653693213</v>
      </c>
      <c r="F93" s="79">
        <f>基础信息!F98</f>
        <v>81.690385070357735</v>
      </c>
      <c r="G93" s="72">
        <f>门客升级!T93+门客进修!T93</f>
        <v>184320</v>
      </c>
      <c r="H93" s="98">
        <f>寻访!AI93+MAX(SUMPRODUCT(门客产销!V93:Z93,门客升级!$D$8:$H$8),0)</f>
        <v>97885.505129946774</v>
      </c>
      <c r="I93" s="86">
        <f t="shared" si="4"/>
        <v>0.53106285335257586</v>
      </c>
      <c r="K93" s="95">
        <f>IFERROR(寻访!AI93/H93,0)</f>
        <v>0.23825176586608884</v>
      </c>
      <c r="L93" s="95">
        <f>IFERROR(MAX(SUMPRODUCT(门客产销!L93:P93-门客产销!G93:K93,门客升级!$D$8:$H$8),0)/H93,0)</f>
        <v>0.74845197985548462</v>
      </c>
      <c r="N93" s="95">
        <f>门客升级!T93/G93</f>
        <v>1</v>
      </c>
      <c r="O93" s="95">
        <f>门客进修!T93/G93</f>
        <v>0</v>
      </c>
    </row>
    <row r="94" spans="3:15" x14ac:dyDescent="0.15">
      <c r="C94" s="72">
        <v>10</v>
      </c>
      <c r="D94" s="78">
        <f>基础信息!D99</f>
        <v>52</v>
      </c>
      <c r="E94" s="79">
        <f>基础信息!E99</f>
        <v>157.97060377387891</v>
      </c>
      <c r="F94" s="79">
        <f>基础信息!F99</f>
        <v>92.03038330510195</v>
      </c>
      <c r="G94" s="72">
        <f>门客升级!T94+门客进修!T94</f>
        <v>367466.66666666669</v>
      </c>
      <c r="H94" s="98">
        <f>寻访!AI94+MAX(SUMPRODUCT(门客产销!V94:Z94,门客升级!$D$8:$H$8),0)</f>
        <v>218955.25175693037</v>
      </c>
      <c r="I94" s="86">
        <f t="shared" si="4"/>
        <v>0.59585064883054339</v>
      </c>
      <c r="K94" s="95">
        <f>IFERROR(寻访!AI94/H94,0)</f>
        <v>0.23745407547347377</v>
      </c>
      <c r="L94" s="95">
        <f>IFERROR(MAX(SUMPRODUCT(门客产销!L94:P94-门客产销!G94:K94,门客升级!$D$8:$H$8),0)/H94,0)</f>
        <v>0.76254592452652614</v>
      </c>
      <c r="N94" s="95">
        <f>门客升级!T94/G94</f>
        <v>0.81857764876632799</v>
      </c>
      <c r="O94" s="95">
        <f>门客进修!T94/G94</f>
        <v>0.18142235123367198</v>
      </c>
    </row>
    <row r="95" spans="3:15" x14ac:dyDescent="0.15">
      <c r="C95" s="72">
        <v>11</v>
      </c>
      <c r="D95" s="78">
        <f>基础信息!D100</f>
        <v>57</v>
      </c>
      <c r="E95" s="79">
        <f>基础信息!E100</f>
        <v>329.56496855407232</v>
      </c>
      <c r="F95" s="79">
        <f>基础信息!F100</f>
        <v>102.71853803916484</v>
      </c>
      <c r="G95" s="72">
        <f>门客升级!T95+门客进修!T95</f>
        <v>397546.66666666669</v>
      </c>
      <c r="H95" s="98">
        <f>寻访!AI95+MAX(SUMPRODUCT(门客产销!V95:Z95,门客升级!$D$8:$H$8),0)</f>
        <v>495215.53372612363</v>
      </c>
      <c r="I95" s="86">
        <f t="shared" si="4"/>
        <v>1.2456789988415371</v>
      </c>
      <c r="K95" s="95">
        <f>IFERROR(寻访!AI95/H95,0)</f>
        <v>0.25076266328856506</v>
      </c>
      <c r="L95" s="95">
        <f>IFERROR(MAX(SUMPRODUCT(门客产销!L95:P95-门客产销!G95:K95,门客升级!$D$8:$H$8),0)/H95,0)</f>
        <v>0.749237336711435</v>
      </c>
      <c r="N95" s="95">
        <f>门客升级!T95/G95</f>
        <v>0.83230480279044805</v>
      </c>
      <c r="O95" s="95">
        <f>门客进修!T95/G95</f>
        <v>0.16769519720955192</v>
      </c>
    </row>
    <row r="96" spans="3:15" x14ac:dyDescent="0.15">
      <c r="C96" s="72">
        <v>12</v>
      </c>
      <c r="D96" s="78">
        <f>基础信息!D101</f>
        <v>62</v>
      </c>
      <c r="E96" s="79">
        <f>基础信息!E101</f>
        <v>686.27045912077301</v>
      </c>
      <c r="F96" s="79">
        <f>基础信息!F101</f>
        <v>113.4549371467006</v>
      </c>
      <c r="G96" s="72">
        <f>门客升级!T96+门客进修!T96</f>
        <v>827626.66666666674</v>
      </c>
      <c r="H96" s="98">
        <f>寻访!AI96+MAX(SUMPRODUCT(门客产销!V96:Z96,门客升级!$D$8:$H$8),0)</f>
        <v>1035309.4578546335</v>
      </c>
      <c r="I96" s="86">
        <f t="shared" si="4"/>
        <v>1.2509377712833081</v>
      </c>
      <c r="K96" s="95">
        <f>IFERROR(寻访!AI96/H96,0)</f>
        <v>0.27616074922607109</v>
      </c>
      <c r="L96" s="95">
        <f>IFERROR(MAX(SUMPRODUCT(门客产销!L96:P96-门客产销!G96:K96,门客升级!$D$8:$H$8),0)/H96,0)</f>
        <v>0.72383925077392897</v>
      </c>
      <c r="N96" s="95">
        <f>门客升级!T96/G96</f>
        <v>0.43613867766464748</v>
      </c>
      <c r="O96" s="95">
        <f>门客进修!T96/G96</f>
        <v>0.56386132233535247</v>
      </c>
    </row>
    <row r="97" spans="3:15" x14ac:dyDescent="0.15">
      <c r="C97" s="72">
        <v>13</v>
      </c>
      <c r="D97" s="78">
        <f>基础信息!D102</f>
        <v>67</v>
      </c>
      <c r="E97" s="79">
        <f>基础信息!E102</f>
        <v>1426.7099622668038</v>
      </c>
      <c r="F97" s="79">
        <f>基础信息!F102</f>
        <v>124.11624751239822</v>
      </c>
      <c r="G97" s="72">
        <f>门客升级!T97+门客进修!T97</f>
        <v>1324373.3333333335</v>
      </c>
      <c r="H97" s="98">
        <f>寻访!AI97+MAX(SUMPRODUCT(门客产销!V97:Z97,门客升级!$D$8:$H$8),0)</f>
        <v>2170377.6333978754</v>
      </c>
      <c r="I97" s="86">
        <f t="shared" si="4"/>
        <v>1.6387959337230251</v>
      </c>
      <c r="K97" s="95">
        <f>IFERROR(寻访!AI97/H97,0)</f>
        <v>0.29475554958551675</v>
      </c>
      <c r="L97" s="95">
        <f>IFERROR(MAX(SUMPRODUCT(门客产销!L97:P97-门客产销!G97:K97,门客升级!$D$8:$H$8),0)/H97,0)</f>
        <v>0.70524445041448325</v>
      </c>
      <c r="N97" s="95">
        <f>门客升级!T97/G97</f>
        <v>0.29526417525773191</v>
      </c>
      <c r="O97" s="95">
        <f>门客进修!T97/G97</f>
        <v>0.70473582474226804</v>
      </c>
    </row>
    <row r="98" spans="3:15" x14ac:dyDescent="0.15">
      <c r="C98" s="72">
        <v>14</v>
      </c>
      <c r="D98" s="78">
        <f>基础信息!D103</f>
        <v>72</v>
      </c>
      <c r="E98" s="79">
        <f>基础信息!E103</f>
        <v>2961.6410125841235</v>
      </c>
      <c r="F98" s="79">
        <f>基础信息!F103</f>
        <v>134.91256595481366</v>
      </c>
      <c r="G98" s="72">
        <f>门客升级!T98+门客进修!T98</f>
        <v>3287786.6666666665</v>
      </c>
      <c r="H98" s="98">
        <f>寻访!AI98+MAX(SUMPRODUCT(门客产销!V98:Z98,门客升级!$D$8:$H$8),0)</f>
        <v>4667553.9099052045</v>
      </c>
      <c r="I98" s="86">
        <f t="shared" si="4"/>
        <v>1.4196644682659474</v>
      </c>
      <c r="K98" s="95">
        <f>IFERROR(寻访!AI98/H98,0)</f>
        <v>0.3022411194268016</v>
      </c>
      <c r="L98" s="95">
        <f>IFERROR(MAX(SUMPRODUCT(门客产销!L98:P98-门客产销!G98:K98,门客升级!$D$8:$H$8),0)/H98,0)</f>
        <v>0.69775888057319835</v>
      </c>
      <c r="N98" s="95">
        <f>门客升级!T98/G98</f>
        <v>0.12808616941894041</v>
      </c>
      <c r="O98" s="95">
        <f>门客进修!T98/G98</f>
        <v>0.87191383058105965</v>
      </c>
    </row>
    <row r="99" spans="3:15" x14ac:dyDescent="0.15">
      <c r="C99" s="72">
        <v>15</v>
      </c>
      <c r="D99" s="78">
        <f>基础信息!D104</f>
        <v>77</v>
      </c>
      <c r="E99" s="79">
        <f>基础信息!E104</f>
        <v>6139.6022012692774</v>
      </c>
      <c r="F99" s="79">
        <f>基础信息!F104</f>
        <v>145.53468456757108</v>
      </c>
      <c r="G99" s="72">
        <f>门客升级!T99+门客进修!T99</f>
        <v>3517866.6666666665</v>
      </c>
      <c r="H99" s="98">
        <f>寻访!AI99+MAX(SUMPRODUCT(门客产销!V99:Z99,门客升级!$D$8:$H$8),0)</f>
        <v>9925375.3624772038</v>
      </c>
      <c r="I99" s="86">
        <f t="shared" si="4"/>
        <v>2.821418860619278</v>
      </c>
      <c r="K99" s="95">
        <f>IFERROR(寻访!AI99/H99,0)</f>
        <v>0.310791044388744</v>
      </c>
      <c r="L99" s="95">
        <f>IFERROR(MAX(SUMPRODUCT(门客产销!L99:P99-门客产销!G99:K99,门客升级!$D$8:$H$8),0)/H99,0)</f>
        <v>0.68920895561125606</v>
      </c>
      <c r="N99" s="95">
        <f>门客升级!T99/G99</f>
        <v>0.1282595512431777</v>
      </c>
      <c r="O99" s="95">
        <f>门客进修!T99/G99</f>
        <v>0.87174044875682233</v>
      </c>
    </row>
    <row r="100" spans="3:15" x14ac:dyDescent="0.15">
      <c r="C100" s="72">
        <v>16</v>
      </c>
      <c r="D100" s="78">
        <f>基础信息!D105</f>
        <v>80</v>
      </c>
      <c r="E100" s="79">
        <f>基础信息!E105</f>
        <v>9502.5750000000007</v>
      </c>
      <c r="F100" s="79">
        <f>基础信息!F105</f>
        <v>151.0810487166913</v>
      </c>
      <c r="G100" s="72">
        <f>门客升级!T100+门客进修!T100</f>
        <v>3747946.6666666665</v>
      </c>
      <c r="H100" s="98">
        <f>寻访!AI100+MAX(SUMPRODUCT(门客产销!V100:Z100,门客升级!$D$8:$H$8),0)</f>
        <v>15552055.47278587</v>
      </c>
      <c r="I100" s="86">
        <f t="shared" si="4"/>
        <v>4.1494868673298102</v>
      </c>
      <c r="K100" s="95">
        <f>IFERROR(寻访!AI100/H100,0)</f>
        <v>0.31657700560392094</v>
      </c>
      <c r="L100" s="95">
        <f>IFERROR(MAX(SUMPRODUCT(门客产销!L100:P100-门客产销!G100:K100,门客升级!$D$8:$H$8),0)/H100,0)</f>
        <v>0.68342299439607912</v>
      </c>
      <c r="N100" s="95">
        <f>门客升级!T100/G100</f>
        <v>0.12841164584341294</v>
      </c>
      <c r="O100" s="95">
        <f>门客进修!T100/G100</f>
        <v>0.87158835415658709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E404F-A278-48B9-B9A7-F1980CAF9C2D}">
  <sheetPr codeName="Sheet14"/>
  <dimension ref="C2:AI100"/>
  <sheetViews>
    <sheetView workbookViewId="0">
      <selection activeCell="R5" sqref="R5:U19"/>
    </sheetView>
  </sheetViews>
  <sheetFormatPr defaultRowHeight="11.25" x14ac:dyDescent="0.15"/>
  <cols>
    <col min="1" max="2" width="9" style="9"/>
    <col min="3" max="4" width="10.5" style="72" bestFit="1" customWidth="1"/>
    <col min="5" max="5" width="8.25" style="76" bestFit="1" customWidth="1"/>
    <col min="6" max="6" width="10.5" style="76" bestFit="1" customWidth="1"/>
    <col min="7" max="7" width="5.25" style="69" bestFit="1" customWidth="1"/>
    <col min="8" max="9" width="5.25" style="9" bestFit="1" customWidth="1"/>
    <col min="10" max="10" width="6" style="9" bestFit="1" customWidth="1"/>
    <col min="11" max="11" width="6.75" style="9" bestFit="1" customWidth="1"/>
    <col min="12" max="16" width="6.625" style="9" customWidth="1"/>
    <col min="17" max="21" width="6.625" style="83" customWidth="1"/>
    <col min="22" max="22" width="7.5" style="100" customWidth="1"/>
    <col min="23" max="24" width="8.25" style="100" bestFit="1" customWidth="1"/>
    <col min="25" max="26" width="6.625" style="100" customWidth="1"/>
    <col min="27" max="16384" width="9" style="9"/>
  </cols>
  <sheetData>
    <row r="2" spans="3:35" x14ac:dyDescent="0.15">
      <c r="V2" s="106" t="s">
        <v>256</v>
      </c>
    </row>
    <row r="3" spans="3:35" x14ac:dyDescent="0.15">
      <c r="C3" s="70" t="s">
        <v>0</v>
      </c>
      <c r="D3" s="70"/>
      <c r="E3" s="69"/>
      <c r="F3" s="69"/>
      <c r="G3" s="122" t="s">
        <v>195</v>
      </c>
      <c r="H3" s="122"/>
      <c r="I3" s="122"/>
      <c r="J3" s="122"/>
      <c r="K3" s="122"/>
      <c r="L3" s="122" t="s">
        <v>196</v>
      </c>
      <c r="M3" s="122"/>
      <c r="N3" s="122"/>
      <c r="O3" s="122"/>
      <c r="P3" s="122"/>
      <c r="Q3" s="122" t="s">
        <v>198</v>
      </c>
      <c r="R3" s="122"/>
      <c r="S3" s="122"/>
      <c r="T3" s="122"/>
      <c r="U3" s="122"/>
      <c r="V3" s="122" t="s">
        <v>255</v>
      </c>
      <c r="W3" s="122"/>
      <c r="X3" s="122"/>
      <c r="Y3" s="122"/>
      <c r="Z3" s="122"/>
      <c r="AB3" s="127" t="s">
        <v>211</v>
      </c>
      <c r="AC3" s="127"/>
      <c r="AD3" s="127"/>
      <c r="AE3" s="127"/>
      <c r="AF3" s="127" t="s">
        <v>215</v>
      </c>
      <c r="AG3" s="127"/>
      <c r="AH3" s="127"/>
      <c r="AI3" s="127"/>
    </row>
    <row r="4" spans="3:35" x14ac:dyDescent="0.15">
      <c r="C4" s="70" t="s">
        <v>21</v>
      </c>
      <c r="D4" s="70" t="s">
        <v>121</v>
      </c>
      <c r="E4" s="69" t="s">
        <v>122</v>
      </c>
      <c r="F4" s="69" t="s">
        <v>103</v>
      </c>
      <c r="G4" s="69" t="s">
        <v>104</v>
      </c>
      <c r="H4" s="69" t="s">
        <v>105</v>
      </c>
      <c r="I4" s="69" t="s">
        <v>106</v>
      </c>
      <c r="J4" s="69" t="s">
        <v>107</v>
      </c>
      <c r="K4" s="69" t="s">
        <v>108</v>
      </c>
      <c r="L4" s="69" t="s">
        <v>104</v>
      </c>
      <c r="M4" s="69" t="s">
        <v>105</v>
      </c>
      <c r="N4" s="69" t="s">
        <v>106</v>
      </c>
      <c r="O4" s="69" t="s">
        <v>107</v>
      </c>
      <c r="P4" s="69" t="s">
        <v>108</v>
      </c>
      <c r="Q4" s="81" t="s">
        <v>104</v>
      </c>
      <c r="R4" s="81" t="s">
        <v>105</v>
      </c>
      <c r="S4" s="81" t="s">
        <v>106</v>
      </c>
      <c r="T4" s="81" t="s">
        <v>107</v>
      </c>
      <c r="U4" s="81" t="s">
        <v>108</v>
      </c>
      <c r="V4" s="99" t="s">
        <v>104</v>
      </c>
      <c r="W4" s="99" t="s">
        <v>105</v>
      </c>
      <c r="X4" s="99" t="s">
        <v>106</v>
      </c>
      <c r="Y4" s="99" t="s">
        <v>107</v>
      </c>
      <c r="Z4" s="99" t="s">
        <v>108</v>
      </c>
      <c r="AB4" s="9" t="s">
        <v>212</v>
      </c>
      <c r="AC4" s="9" t="s">
        <v>213</v>
      </c>
      <c r="AD4" s="9" t="s">
        <v>214</v>
      </c>
      <c r="AE4" s="9" t="s">
        <v>254</v>
      </c>
      <c r="AF4" s="83" t="s">
        <v>212</v>
      </c>
      <c r="AG4" s="83" t="s">
        <v>213</v>
      </c>
      <c r="AH4" s="83" t="s">
        <v>214</v>
      </c>
      <c r="AI4" s="83" t="s">
        <v>254</v>
      </c>
    </row>
    <row r="5" spans="3:35" x14ac:dyDescent="0.15">
      <c r="C5" s="70">
        <v>1</v>
      </c>
      <c r="D5" s="60">
        <f>基础信息!D10</f>
        <v>16</v>
      </c>
      <c r="E5" s="61">
        <f>基础信息!E10</f>
        <v>2.5387719203926467</v>
      </c>
      <c r="F5" s="61">
        <f>基础信息!F10</f>
        <v>18.226342304552581</v>
      </c>
      <c r="G5" s="69">
        <f>基础信息!$G10*基础信息!I10*(1+求节点(门客进修!$C$23:$C$25,门客进修!D$23:D$25,基础信息!N10))</f>
        <v>1</v>
      </c>
      <c r="H5" s="69">
        <f>基础信息!$G10*基础信息!J10*(1+求节点(门客进修!$C$23:$C$25,门客进修!E$23:E$25,基础信息!O10))</f>
        <v>0</v>
      </c>
      <c r="I5" s="69">
        <f>基础信息!$G10*基础信息!K10*(1+求节点(门客进修!$C$23:$C$25,门客进修!F$23:F$25,基础信息!P10))</f>
        <v>0</v>
      </c>
      <c r="J5" s="69">
        <f>基础信息!$G10*基础信息!L10*(1+求节点(门客进修!$C$23:$C$25,门客进修!G$23:G$25,基础信息!Q10))</f>
        <v>0</v>
      </c>
      <c r="K5" s="69">
        <f>基础信息!$G10*基础信息!M10*(1+求节点(门客进修!$C$23:$C$25,门客进修!H$23:H$25,基础信息!R10))</f>
        <v>0</v>
      </c>
      <c r="L5" s="9">
        <f>寻访!AD5+基础投放!N5+基础投放!AL5+付费投放!T5+寻访!AM5</f>
        <v>1</v>
      </c>
      <c r="M5" s="103">
        <f>寻访!AE5+基础投放!O5+基础投放!AM5+付费投放!U5+寻访!AN5</f>
        <v>0</v>
      </c>
      <c r="N5" s="103">
        <f>寻访!AF5+基础投放!P5+基础投放!AN5+付费投放!V5+寻访!AO5</f>
        <v>6.2788344982445454E-2</v>
      </c>
      <c r="O5" s="103">
        <f>寻访!AG5+基础投放!Q5+基础投放!AO5+付费投放!W5+寻访!AP5</f>
        <v>6.2788344982445454E-2</v>
      </c>
      <c r="P5" s="103">
        <f>寻访!AH5+基础投放!R5+基础投放!AP5+付费投放!X5+寻访!AQ5</f>
        <v>0</v>
      </c>
      <c r="Q5" s="83">
        <f>IFERROR(L5/G5,0)</f>
        <v>1</v>
      </c>
      <c r="R5" s="83">
        <f t="shared" ref="R5:U5" si="0">IFERROR(M5/H5,0)</f>
        <v>0</v>
      </c>
      <c r="S5" s="83">
        <f t="shared" si="0"/>
        <v>0</v>
      </c>
      <c r="T5" s="83">
        <f t="shared" si="0"/>
        <v>0</v>
      </c>
      <c r="U5" s="83">
        <f t="shared" si="0"/>
        <v>0</v>
      </c>
      <c r="V5" s="99">
        <f>IF(V6=0,0,MAX(L5-G5,0))</f>
        <v>0</v>
      </c>
      <c r="W5" s="99">
        <f t="shared" ref="W5:Z5" si="1">IF(W6=0,0,MAX(M5-H5,0))</f>
        <v>0</v>
      </c>
      <c r="X5" s="99">
        <f t="shared" si="1"/>
        <v>0</v>
      </c>
      <c r="Y5" s="99">
        <f t="shared" si="1"/>
        <v>0</v>
      </c>
      <c r="Z5" s="99">
        <f t="shared" si="1"/>
        <v>0</v>
      </c>
      <c r="AB5" s="9">
        <f>寻访!AG5/$O5</f>
        <v>0</v>
      </c>
      <c r="AC5" s="83">
        <f>基础投放!Q5/$O5</f>
        <v>0</v>
      </c>
      <c r="AD5" s="83">
        <f>基础投放!AO5/$O5</f>
        <v>0</v>
      </c>
      <c r="AE5" s="83">
        <f>付费投放!W5/$O5</f>
        <v>1</v>
      </c>
      <c r="AF5" s="83">
        <f>IFERROR(寻访!AH5/$P5,0)</f>
        <v>0</v>
      </c>
      <c r="AG5" s="83">
        <f>IFERROR(基础投放!R5/$P5,0)</f>
        <v>0</v>
      </c>
      <c r="AH5" s="83">
        <f>IFERROR(基础投放!AP5/$P5,0)</f>
        <v>0</v>
      </c>
      <c r="AI5" s="83">
        <f>IFERROR(付费投放!X5/$P5,0)</f>
        <v>0</v>
      </c>
    </row>
    <row r="6" spans="3:35" x14ac:dyDescent="0.15">
      <c r="C6" s="70">
        <v>2</v>
      </c>
      <c r="D6" s="60">
        <f>基础信息!D11</f>
        <v>19.5</v>
      </c>
      <c r="E6" s="61">
        <f>基础信息!E11</f>
        <v>4.8228975321654577</v>
      </c>
      <c r="F6" s="61">
        <f>基础信息!F11</f>
        <v>25.408961498441148</v>
      </c>
      <c r="G6" s="69">
        <f>基础信息!$G11*基础信息!I11*(1+求节点(门客进修!$C$23:$C$25,门客进修!D$23:D$25,基础信息!N11))</f>
        <v>2</v>
      </c>
      <c r="H6" s="69">
        <f>基础信息!$G11*基础信息!J11*(1+求节点(门客进修!$C$23:$C$25,门客进修!E$23:E$25,基础信息!O11))</f>
        <v>0</v>
      </c>
      <c r="I6" s="69">
        <f>基础信息!$G11*基础信息!K11*(1+求节点(门客进修!$C$23:$C$25,门客进修!F$23:F$25,基础信息!P11))</f>
        <v>0</v>
      </c>
      <c r="J6" s="69">
        <f>基础信息!$G11*基础信息!L11*(1+求节点(门客进修!$C$23:$C$25,门客进修!G$23:G$25,基础信息!Q11))</f>
        <v>0</v>
      </c>
      <c r="K6" s="69">
        <f>基础信息!$G11*基础信息!M11*(1+求节点(门客进修!$C$23:$C$25,门客进修!H$23:H$25,基础信息!R11))</f>
        <v>0</v>
      </c>
      <c r="L6" s="103">
        <f>寻访!AD6+基础投放!N6+基础投放!AL6+付费投放!T6+寻访!AM6</f>
        <v>2</v>
      </c>
      <c r="M6" s="103">
        <f>寻访!AE6+基础投放!O6+基础投放!AM6+付费投放!U6+寻访!AN6</f>
        <v>0</v>
      </c>
      <c r="N6" s="103">
        <f>寻访!AF6+基础投放!P6+基础投放!AN6+付费投放!V6+寻访!AO6</f>
        <v>0.10706747263205874</v>
      </c>
      <c r="O6" s="103">
        <f>寻访!AG6+基础投放!Q6+基础投放!AO6+付费投放!W6+寻访!AP6</f>
        <v>0.10706747263205874</v>
      </c>
      <c r="P6" s="103">
        <f>寻访!AH6+基础投放!R6+基础投放!AP6+付费投放!X6+寻访!AQ6</f>
        <v>0</v>
      </c>
      <c r="Q6" s="83">
        <f t="shared" ref="Q6:Q20" si="2">IFERROR(L6/G6,0)</f>
        <v>1</v>
      </c>
      <c r="R6" s="83">
        <f t="shared" ref="R6:R20" si="3">IFERROR(M6/H6,0)</f>
        <v>0</v>
      </c>
      <c r="S6" s="83">
        <f t="shared" ref="S6:S20" si="4">IFERROR(N6/I6,0)</f>
        <v>0</v>
      </c>
      <c r="T6" s="83">
        <f t="shared" ref="T6:T20" si="5">IFERROR(O6/J6,0)</f>
        <v>0</v>
      </c>
      <c r="U6" s="83">
        <f t="shared" ref="U6:U20" si="6">IFERROR(P6/K6,0)</f>
        <v>0</v>
      </c>
      <c r="V6" s="99">
        <f t="shared" ref="V6:V19" si="7">IF(V7=0,0,MAX(L6-G6,0))</f>
        <v>0</v>
      </c>
      <c r="W6" s="99">
        <f t="shared" ref="W6:W19" si="8">IF(W7=0,0,MAX(M6-H6,0))</f>
        <v>0</v>
      </c>
      <c r="X6" s="99">
        <f t="shared" ref="X6:X19" si="9">IF(X7=0,0,MAX(N6-I6,0))</f>
        <v>0</v>
      </c>
      <c r="Y6" s="99">
        <f t="shared" ref="Y6:Y19" si="10">IF(Y7=0,0,MAX(O6-J6,0))</f>
        <v>0</v>
      </c>
      <c r="Z6" s="99">
        <f t="shared" ref="Z6:Z19" si="11">IF(Z7=0,0,MAX(P6-K6,0))</f>
        <v>0</v>
      </c>
      <c r="AB6" s="83">
        <f>寻访!AG6/$O6</f>
        <v>0</v>
      </c>
      <c r="AC6" s="83">
        <f>基础投放!Q6/$O6</f>
        <v>0</v>
      </c>
      <c r="AD6" s="83">
        <f>基础投放!AO6/$O6</f>
        <v>0</v>
      </c>
      <c r="AE6" s="83">
        <f>付费投放!W6/$O6</f>
        <v>1</v>
      </c>
      <c r="AF6" s="83">
        <f>IFERROR(寻访!AH6/$P6,0)</f>
        <v>0</v>
      </c>
      <c r="AG6" s="83">
        <f>IFERROR(基础投放!R6/$P6,0)</f>
        <v>0</v>
      </c>
      <c r="AH6" s="83">
        <f>IFERROR(基础投放!AP6/$P6,0)</f>
        <v>0</v>
      </c>
      <c r="AI6" s="83">
        <f>IFERROR(付费投放!X6/$P6,0)</f>
        <v>0</v>
      </c>
    </row>
    <row r="7" spans="3:35" x14ac:dyDescent="0.15">
      <c r="C7" s="70">
        <v>3</v>
      </c>
      <c r="D7" s="60">
        <f>基础信息!D12</f>
        <v>23.5</v>
      </c>
      <c r="E7" s="61">
        <f>基础信息!E12</f>
        <v>9.6550138771594227</v>
      </c>
      <c r="F7" s="61">
        <f>基础信息!F12</f>
        <v>34.130602806306101</v>
      </c>
      <c r="G7" s="69">
        <f>基础信息!$G12*基础信息!I12*(1+求节点(门客进修!$C$23:$C$25,门客进修!D$23:D$25,基础信息!N12))</f>
        <v>3</v>
      </c>
      <c r="H7" s="69">
        <f>基础信息!$G12*基础信息!J12*(1+求节点(门客进修!$C$23:$C$25,门客进修!E$23:E$25,基础信息!O12))</f>
        <v>0</v>
      </c>
      <c r="I7" s="69">
        <f>基础信息!$G12*基础信息!K12*(1+求节点(门客进修!$C$23:$C$25,门客进修!F$23:F$25,基础信息!P12))</f>
        <v>0</v>
      </c>
      <c r="J7" s="69">
        <f>基础信息!$G12*基础信息!L12*(1+求节点(门客进修!$C$23:$C$25,门客进修!G$23:G$25,基础信息!Q12))</f>
        <v>0</v>
      </c>
      <c r="K7" s="69">
        <f>基础信息!$G12*基础信息!M12*(1+求节点(门客进修!$C$23:$C$25,门客进修!H$23:H$25,基础信息!R12))</f>
        <v>0</v>
      </c>
      <c r="L7" s="103">
        <f>寻访!AD7+基础投放!N7+基础投放!AL7+付费投放!T7+寻访!AM7</f>
        <v>3</v>
      </c>
      <c r="M7" s="103">
        <f>寻访!AE7+基础投放!O7+基础投放!AM7+付费投放!U7+寻访!AN7</f>
        <v>0</v>
      </c>
      <c r="N7" s="103">
        <f>寻访!AF7+基础投放!P7+基础投放!AN7+付费投放!V7+寻访!AO7</f>
        <v>0.18360240730746702</v>
      </c>
      <c r="O7" s="103">
        <f>寻访!AG7+基础投放!Q7+基础投放!AO7+付费投放!W7+寻访!AP7</f>
        <v>0.18360240730746702</v>
      </c>
      <c r="P7" s="103">
        <f>寻访!AH7+基础投放!R7+基础投放!AP7+付费投放!X7+寻访!AQ7</f>
        <v>0</v>
      </c>
      <c r="Q7" s="83">
        <f t="shared" si="2"/>
        <v>1</v>
      </c>
      <c r="R7" s="83">
        <f t="shared" si="3"/>
        <v>0</v>
      </c>
      <c r="S7" s="83">
        <f t="shared" si="4"/>
        <v>0</v>
      </c>
      <c r="T7" s="83">
        <f t="shared" si="5"/>
        <v>0</v>
      </c>
      <c r="U7" s="83">
        <f t="shared" si="6"/>
        <v>0</v>
      </c>
      <c r="V7" s="99">
        <f t="shared" si="7"/>
        <v>0</v>
      </c>
      <c r="W7" s="99">
        <f t="shared" si="8"/>
        <v>0</v>
      </c>
      <c r="X7" s="99">
        <f t="shared" si="9"/>
        <v>0</v>
      </c>
      <c r="Y7" s="99">
        <f t="shared" si="10"/>
        <v>0</v>
      </c>
      <c r="Z7" s="99">
        <f t="shared" si="11"/>
        <v>0</v>
      </c>
      <c r="AB7" s="83">
        <f>寻访!AG7/$O7</f>
        <v>0</v>
      </c>
      <c r="AC7" s="83">
        <f>基础投放!Q7/$O7</f>
        <v>0</v>
      </c>
      <c r="AD7" s="83">
        <f>基础投放!AO7/$O7</f>
        <v>0</v>
      </c>
      <c r="AE7" s="83">
        <f>付费投放!W7/$O7</f>
        <v>1</v>
      </c>
      <c r="AF7" s="83">
        <f>IFERROR(寻访!AH7/$P7,0)</f>
        <v>0</v>
      </c>
      <c r="AG7" s="83">
        <f>IFERROR(基础投放!R7/$P7,0)</f>
        <v>0</v>
      </c>
      <c r="AH7" s="83">
        <f>IFERROR(基础投放!AP7/$P7,0)</f>
        <v>0</v>
      </c>
      <c r="AI7" s="83">
        <f>IFERROR(付费投放!X7/$P7,0)</f>
        <v>0</v>
      </c>
    </row>
    <row r="8" spans="3:35" x14ac:dyDescent="0.15">
      <c r="C8" s="70">
        <v>4</v>
      </c>
      <c r="D8" s="60">
        <f>基础信息!D13</f>
        <v>27.5</v>
      </c>
      <c r="E8" s="61">
        <f>基础信息!E13</f>
        <v>18.870223137985384</v>
      </c>
      <c r="F8" s="61">
        <f>基础信息!F13</f>
        <v>43.121594697945582</v>
      </c>
      <c r="G8" s="69">
        <f>基础信息!$G13*基础信息!I13*(1+求节点(门客进修!$C$23:$C$25,门客进修!D$23:D$25,基础信息!N13))</f>
        <v>2</v>
      </c>
      <c r="H8" s="69">
        <f>基础信息!$G13*基础信息!J13*(1+求节点(门客进修!$C$23:$C$25,门客进修!E$23:E$25,基础信息!O13))</f>
        <v>2</v>
      </c>
      <c r="I8" s="69">
        <f>基础信息!$G13*基础信息!K13*(1+求节点(门客进修!$C$23:$C$25,门客进修!F$23:F$25,基础信息!P13))</f>
        <v>0</v>
      </c>
      <c r="J8" s="69">
        <f>基础信息!$G13*基础信息!L13*(1+求节点(门客进修!$C$23:$C$25,门客进修!G$23:G$25,基础信息!Q13))</f>
        <v>0</v>
      </c>
      <c r="K8" s="69">
        <f>基础信息!$G13*基础信息!M13*(1+求节点(门客进修!$C$23:$C$25,门客进修!H$23:H$25,基础信息!R13))</f>
        <v>0</v>
      </c>
      <c r="L8" s="103">
        <f>寻访!AD8+基础投放!N8+基础投放!AL8+付费投放!T8+寻访!AM8</f>
        <v>4</v>
      </c>
      <c r="M8" s="103">
        <f>寻访!AE8+基础投放!O8+基础投放!AM8+付费投放!U8+寻访!AN8</f>
        <v>0</v>
      </c>
      <c r="N8" s="103">
        <f>寻访!AF8+基础投放!P8+基础投放!AN8+付费投放!V8+寻访!AO8</f>
        <v>0.30275763790567967</v>
      </c>
      <c r="O8" s="103">
        <f>寻访!AG8+基础投放!Q8+基础投放!AO8+付费投放!W8+寻访!AP8</f>
        <v>0.30275763790567967</v>
      </c>
      <c r="P8" s="103">
        <f>寻访!AH8+基础投放!R8+基础投放!AP8+付费投放!X8+寻访!AQ8</f>
        <v>0</v>
      </c>
      <c r="Q8" s="83">
        <f t="shared" si="2"/>
        <v>2</v>
      </c>
      <c r="R8" s="83">
        <f t="shared" si="3"/>
        <v>0</v>
      </c>
      <c r="S8" s="83">
        <f t="shared" si="4"/>
        <v>0</v>
      </c>
      <c r="T8" s="83">
        <f t="shared" si="5"/>
        <v>0</v>
      </c>
      <c r="U8" s="83">
        <f t="shared" si="6"/>
        <v>0</v>
      </c>
      <c r="V8" s="99">
        <f t="shared" si="7"/>
        <v>2</v>
      </c>
      <c r="W8" s="99">
        <f t="shared" si="8"/>
        <v>0</v>
      </c>
      <c r="X8" s="99">
        <f t="shared" si="9"/>
        <v>0</v>
      </c>
      <c r="Y8" s="99">
        <f t="shared" si="10"/>
        <v>0</v>
      </c>
      <c r="Z8" s="99">
        <f t="shared" si="11"/>
        <v>0</v>
      </c>
      <c r="AB8" s="83">
        <f>寻访!AG8/$O8</f>
        <v>0</v>
      </c>
      <c r="AC8" s="83">
        <f>基础投放!Q8/$O8</f>
        <v>0</v>
      </c>
      <c r="AD8" s="83">
        <f>基础投放!AO8/$O8</f>
        <v>0</v>
      </c>
      <c r="AE8" s="83">
        <f>付费投放!W8/$O8</f>
        <v>1</v>
      </c>
      <c r="AF8" s="83">
        <f>IFERROR(寻访!AH8/$P8,0)</f>
        <v>0</v>
      </c>
      <c r="AG8" s="83">
        <f>IFERROR(基础投放!R8/$P8,0)</f>
        <v>0</v>
      </c>
      <c r="AH8" s="83">
        <f>IFERROR(基础投放!AP8/$P8,0)</f>
        <v>0</v>
      </c>
      <c r="AI8" s="83">
        <f>IFERROR(付费投放!X8/$P8,0)</f>
        <v>0</v>
      </c>
    </row>
    <row r="9" spans="3:35" x14ac:dyDescent="0.15">
      <c r="C9" s="70">
        <v>5</v>
      </c>
      <c r="D9" s="60">
        <f>基础信息!D14</f>
        <v>31.5</v>
      </c>
      <c r="E9" s="61">
        <f>基础信息!E14</f>
        <v>36.28923876358067</v>
      </c>
      <c r="F9" s="61">
        <f>基础信息!F14</f>
        <v>52.20122679843417</v>
      </c>
      <c r="G9" s="69">
        <f>基础信息!$G14*基础信息!I14*(1+求节点(门客进修!$C$23:$C$25,门客进修!D$23:D$25,基础信息!N14))</f>
        <v>0</v>
      </c>
      <c r="H9" s="69">
        <f>基础信息!$G14*基础信息!J14*(1+求节点(门客进修!$C$23:$C$25,门客进修!E$23:E$25,基础信息!O14))</f>
        <v>2.5</v>
      </c>
      <c r="I9" s="69">
        <f>基础信息!$G14*基础信息!K14*(1+求节点(门客进修!$C$23:$C$25,门客进修!F$23:F$25,基础信息!P14))</f>
        <v>2.5</v>
      </c>
      <c r="J9" s="69">
        <f>基础信息!$G14*基础信息!L14*(1+求节点(门客进修!$C$23:$C$25,门客进修!G$23:G$25,基础信息!Q14))</f>
        <v>0</v>
      </c>
      <c r="K9" s="69">
        <f>基础信息!$G14*基础信息!M14*(1+求节点(门客进修!$C$23:$C$25,门客进修!H$23:H$25,基础信息!R14))</f>
        <v>0</v>
      </c>
      <c r="L9" s="103">
        <f>寻访!AD9+基础投放!N9+基础投放!AL9+付费投放!T9+寻访!AM9</f>
        <v>18.935212500476229</v>
      </c>
      <c r="M9" s="103">
        <f>寻访!AE9+基础投放!O9+基础投放!AM9+付费投放!U9+寻访!AN9</f>
        <v>3.4838031251190573</v>
      </c>
      <c r="N9" s="103">
        <f>寻访!AF9+基础投放!P9+基础投放!AN9+付费投放!V9+寻访!AO9</f>
        <v>0.72495830060154365</v>
      </c>
      <c r="O9" s="103">
        <f>寻访!AG9+基础投放!Q9+基础投放!AO9+付费投放!W9+寻访!AP9</f>
        <v>0.53138950754467185</v>
      </c>
      <c r="P9" s="103">
        <f>寻访!AH9+基础投放!R9+基础投放!AP9+付费投放!X9+寻访!AQ9</f>
        <v>0</v>
      </c>
      <c r="Q9" s="83">
        <f t="shared" si="2"/>
        <v>0</v>
      </c>
      <c r="R9" s="83">
        <f t="shared" si="3"/>
        <v>1.3935212500476228</v>
      </c>
      <c r="S9" s="83">
        <f t="shared" si="4"/>
        <v>0.28998332024061746</v>
      </c>
      <c r="T9" s="83">
        <f t="shared" si="5"/>
        <v>0</v>
      </c>
      <c r="U9" s="83">
        <f t="shared" si="6"/>
        <v>0</v>
      </c>
      <c r="V9" s="99">
        <f t="shared" si="7"/>
        <v>18.935212500476229</v>
      </c>
      <c r="W9" s="99">
        <f t="shared" si="8"/>
        <v>0.98380312511905732</v>
      </c>
      <c r="X9" s="99">
        <f t="shared" si="9"/>
        <v>0</v>
      </c>
      <c r="Y9" s="99">
        <f t="shared" si="10"/>
        <v>0</v>
      </c>
      <c r="Z9" s="99">
        <f t="shared" si="11"/>
        <v>0</v>
      </c>
      <c r="AB9" s="83">
        <f>寻访!AG9/$O9</f>
        <v>0</v>
      </c>
      <c r="AC9" s="83">
        <f>基础投放!Q9/$O9</f>
        <v>0</v>
      </c>
      <c r="AD9" s="83">
        <f>基础投放!AO9/$O9</f>
        <v>0</v>
      </c>
      <c r="AE9" s="83">
        <f>付费投放!W9/$O9</f>
        <v>1</v>
      </c>
      <c r="AF9" s="83">
        <f>IFERROR(寻访!AH9/$P9,0)</f>
        <v>0</v>
      </c>
      <c r="AG9" s="83">
        <f>IFERROR(基础投放!R9/$P9,0)</f>
        <v>0</v>
      </c>
      <c r="AH9" s="83">
        <f>IFERROR(基础投放!AP9/$P9,0)</f>
        <v>0</v>
      </c>
      <c r="AI9" s="83">
        <f>IFERROR(付费投放!X9/$P9,0)</f>
        <v>0</v>
      </c>
    </row>
    <row r="10" spans="3:35" x14ac:dyDescent="0.15">
      <c r="C10" s="70">
        <v>6</v>
      </c>
      <c r="D10" s="60">
        <f>基础信息!D15</f>
        <v>35.5</v>
      </c>
      <c r="E10" s="61">
        <f>基础信息!E15</f>
        <v>68.623430833504159</v>
      </c>
      <c r="F10" s="61">
        <f>基础信息!F15</f>
        <v>61.20919943756077</v>
      </c>
      <c r="G10" s="69">
        <f>基础信息!$G15*基础信息!I15*(1+求节点(门客进修!$C$23:$C$25,门客进修!D$23:D$25,基础信息!N15))</f>
        <v>0</v>
      </c>
      <c r="H10" s="69">
        <f>基础信息!$G15*基础信息!J15*(1+求节点(门客进修!$C$23:$C$25,门客进修!E$23:E$25,基础信息!O15))</f>
        <v>0</v>
      </c>
      <c r="I10" s="69">
        <f>基础信息!$G15*基础信息!K15*(1+求节点(门客进修!$C$23:$C$25,门客进修!F$23:F$25,基础信息!P15))</f>
        <v>6</v>
      </c>
      <c r="J10" s="69">
        <f>基础信息!$G15*基础信息!L15*(1+求节点(门客进修!$C$23:$C$25,门客进修!G$23:G$25,基础信息!Q15))</f>
        <v>0</v>
      </c>
      <c r="K10" s="69">
        <f>基础信息!$G15*基础信息!M15*(1+求节点(门客进修!$C$23:$C$25,门客进修!H$23:H$25,基础信息!R15))</f>
        <v>0</v>
      </c>
      <c r="L10" s="103">
        <f>寻访!AD10+基础投放!N10+基础投放!AL10+付费投放!T10+寻访!AM10</f>
        <v>41.922463108024203</v>
      </c>
      <c r="M10" s="103">
        <f>寻访!AE10+基础投放!O10+基础投放!AM10+付费投放!U10+寻访!AN10</f>
        <v>11.890693063299164</v>
      </c>
      <c r="N10" s="103">
        <f>寻访!AF10+基础投放!P10+基础投放!AN10+付费投放!V10+寻访!AO10</f>
        <v>3.9468443717458745</v>
      </c>
      <c r="O10" s="103">
        <f>寻访!AG10+基础投放!Q10+基础投放!AO10+付费投放!W10+寻访!AP10</f>
        <v>0.8180494763415036</v>
      </c>
      <c r="P10" s="103">
        <f>寻访!AH10+基础投放!R10+基础投放!AP10+付费投放!X10+寻访!AQ10</f>
        <v>4.0951424113833103E-2</v>
      </c>
      <c r="Q10" s="83">
        <f t="shared" si="2"/>
        <v>0</v>
      </c>
      <c r="R10" s="83">
        <f t="shared" si="3"/>
        <v>0</v>
      </c>
      <c r="S10" s="83">
        <f t="shared" si="4"/>
        <v>0.65780739529097909</v>
      </c>
      <c r="T10" s="83">
        <f t="shared" si="5"/>
        <v>0</v>
      </c>
      <c r="U10" s="83">
        <f t="shared" si="6"/>
        <v>0</v>
      </c>
      <c r="V10" s="99">
        <f t="shared" si="7"/>
        <v>41.922463108024203</v>
      </c>
      <c r="W10" s="99">
        <f t="shared" si="8"/>
        <v>11.890693063299164</v>
      </c>
      <c r="X10" s="99">
        <f t="shared" si="9"/>
        <v>0</v>
      </c>
      <c r="Y10" s="99">
        <f t="shared" si="10"/>
        <v>0</v>
      </c>
      <c r="Z10" s="99">
        <f t="shared" si="11"/>
        <v>0</v>
      </c>
      <c r="AB10" s="83">
        <f>寻访!AG10/$O10</f>
        <v>0</v>
      </c>
      <c r="AC10" s="83">
        <f>基础投放!Q10/$O10</f>
        <v>0</v>
      </c>
      <c r="AD10" s="83">
        <f>基础投放!AO10/$O10</f>
        <v>0</v>
      </c>
      <c r="AE10" s="83">
        <f>付费投放!W10/$O10</f>
        <v>1</v>
      </c>
      <c r="AF10" s="83">
        <f>IFERROR(寻访!AH10/$P10,0)</f>
        <v>0</v>
      </c>
      <c r="AG10" s="83">
        <f>IFERROR(基础投放!R10/$P10,0)</f>
        <v>0</v>
      </c>
      <c r="AH10" s="83">
        <f>IFERROR(基础投放!AP10/$P10,0)</f>
        <v>0</v>
      </c>
      <c r="AI10" s="83">
        <f>IFERROR(付费投放!X10/$P10,0)</f>
        <v>1</v>
      </c>
    </row>
    <row r="11" spans="3:35" x14ac:dyDescent="0.15">
      <c r="C11" s="70">
        <v>7</v>
      </c>
      <c r="D11" s="60">
        <f>基础信息!D16</f>
        <v>39.5</v>
      </c>
      <c r="E11" s="61">
        <f>基础信息!E16</f>
        <v>124.62134549299002</v>
      </c>
      <c r="F11" s="61">
        <f>基础信息!F16</f>
        <v>69.722501590522299</v>
      </c>
      <c r="G11" s="69">
        <f>基础信息!$G16*基础信息!I16*(1+求节点(门客进修!$C$23:$C$25,门客进修!D$23:D$25,基础信息!N16))</f>
        <v>0</v>
      </c>
      <c r="H11" s="69">
        <f>基础信息!$G16*基础信息!J16*(1+求节点(门客进修!$C$23:$C$25,门客进修!E$23:E$25,基础信息!O16))</f>
        <v>0</v>
      </c>
      <c r="I11" s="69">
        <f>基础信息!$G16*基础信息!K16*(1+求节点(门客进修!$C$23:$C$25,门客进修!F$23:F$25,基础信息!P16))</f>
        <v>10.5</v>
      </c>
      <c r="J11" s="69">
        <f>基础信息!$G16*基础信息!L16*(1+求节点(门客进修!$C$23:$C$25,门客进修!G$23:G$25,基础信息!Q16))</f>
        <v>1.75</v>
      </c>
      <c r="K11" s="69">
        <f>基础信息!$G16*基础信息!M16*(1+求节点(门客进修!$C$23:$C$25,门客进修!H$23:H$25,基础信息!R16))</f>
        <v>0</v>
      </c>
      <c r="L11" s="103">
        <f>寻访!AD11+基础投放!N11+基础投放!AL11+付费投放!T11+寻访!AM11</f>
        <v>69.921420437767125</v>
      </c>
      <c r="M11" s="103">
        <f>寻访!AE11+基础投放!O11+基础投放!AM11+付费投放!U11+寻访!AN11</f>
        <v>33.889911060606366</v>
      </c>
      <c r="N11" s="103">
        <f>寻访!AF11+基础投放!P11+基础投放!AN11+付费投放!V11+寻访!AO11</f>
        <v>12.803993444365254</v>
      </c>
      <c r="O11" s="103">
        <f>寻访!AG11+基础投放!Q11+基础投放!AO11+付费投放!W11+寻访!AP11</f>
        <v>1.5119469897113913</v>
      </c>
      <c r="P11" s="103">
        <f>寻访!AH11+基础投放!R11+基础投放!AP11+付费投放!X11+寻访!AQ11</f>
        <v>0.10008112983847001</v>
      </c>
      <c r="Q11" s="83">
        <f t="shared" si="2"/>
        <v>0</v>
      </c>
      <c r="R11" s="83">
        <f t="shared" si="3"/>
        <v>0</v>
      </c>
      <c r="S11" s="83">
        <f t="shared" si="4"/>
        <v>1.2194279470824052</v>
      </c>
      <c r="T11" s="83">
        <f t="shared" si="5"/>
        <v>0.86396970840650933</v>
      </c>
      <c r="U11" s="83">
        <f t="shared" si="6"/>
        <v>0</v>
      </c>
      <c r="V11" s="99">
        <f t="shared" si="7"/>
        <v>69.921420437767125</v>
      </c>
      <c r="W11" s="99">
        <f t="shared" si="8"/>
        <v>33.889911060606366</v>
      </c>
      <c r="X11" s="99">
        <f t="shared" si="9"/>
        <v>2.3039934443652541</v>
      </c>
      <c r="Y11" s="99">
        <f t="shared" si="10"/>
        <v>0</v>
      </c>
      <c r="Z11" s="99">
        <f t="shared" si="11"/>
        <v>0</v>
      </c>
      <c r="AB11" s="83">
        <f>寻访!AG11/$O11</f>
        <v>0.1851847817434891</v>
      </c>
      <c r="AC11" s="83">
        <f>基础投放!Q11/$O11</f>
        <v>0</v>
      </c>
      <c r="AD11" s="83">
        <f>基础投放!AO11/$O11</f>
        <v>0</v>
      </c>
      <c r="AE11" s="83">
        <f>付费投放!W11/$O11</f>
        <v>0.81481521825651093</v>
      </c>
      <c r="AF11" s="83">
        <f>IFERROR(寻访!AH11/$P11,0)</f>
        <v>0</v>
      </c>
      <c r="AG11" s="83">
        <f>IFERROR(基础投放!R11/$P11,0)</f>
        <v>0</v>
      </c>
      <c r="AH11" s="83">
        <f>IFERROR(基础投放!AP11/$P11,0)</f>
        <v>0</v>
      </c>
      <c r="AI11" s="83">
        <f>IFERROR(付费投放!X11/$P11,0)</f>
        <v>1</v>
      </c>
    </row>
    <row r="12" spans="3:35" x14ac:dyDescent="0.15">
      <c r="C12" s="70">
        <v>8</v>
      </c>
      <c r="D12" s="60">
        <f>基础信息!D17</f>
        <v>43.5</v>
      </c>
      <c r="E12" s="61">
        <f>基础信息!E17</f>
        <v>225.68304366827394</v>
      </c>
      <c r="F12" s="61">
        <f>基础信息!F17</f>
        <v>78.238948396428512</v>
      </c>
      <c r="G12" s="69">
        <f>基础信息!$G17*基础信息!I17*(1+求节点(门客进修!$C$23:$C$25,门客进修!D$23:D$25,基础信息!N17))</f>
        <v>0</v>
      </c>
      <c r="H12" s="69">
        <f>基础信息!$G17*基础信息!J17*(1+求节点(门客进修!$C$23:$C$25,门客进修!E$23:E$25,基础信息!O17))</f>
        <v>0</v>
      </c>
      <c r="I12" s="69">
        <f>基础信息!$G17*基础信息!K17*(1+求节点(门客进修!$C$23:$C$25,门客进修!F$23:F$25,基础信息!P17))</f>
        <v>12</v>
      </c>
      <c r="J12" s="69">
        <f>基础信息!$G17*基础信息!L17*(1+求节点(门客进修!$C$23:$C$25,门客进修!G$23:G$25,基础信息!Q17))</f>
        <v>4</v>
      </c>
      <c r="K12" s="69">
        <f>基础信息!$G17*基础信息!M17*(1+求节点(门客进修!$C$23:$C$25,门客进修!H$23:H$25,基础信息!R17))</f>
        <v>0</v>
      </c>
      <c r="L12" s="103">
        <f>寻访!AD12+基础投放!N12+基础投放!AL12+付费投放!T12+寻访!AM12</f>
        <v>115.3991846166449</v>
      </c>
      <c r="M12" s="103">
        <f>寻访!AE12+基础投放!O12+基础投放!AM12+付费投放!U12+寻访!AN12</f>
        <v>72.788047876337828</v>
      </c>
      <c r="N12" s="103">
        <f>寻访!AF12+基础投放!P12+基础投放!AN12+付费投放!V12+寻访!AO12</f>
        <v>33.214178041552358</v>
      </c>
      <c r="O12" s="103">
        <f>寻访!AG12+基础投放!Q12+基础投放!AO12+付费投放!W12+寻访!AP12</f>
        <v>3.1471138814457422</v>
      </c>
      <c r="P12" s="103">
        <f>寻访!AH12+基础投放!R12+基础投放!AP12+付费投放!X12+寻访!AQ12</f>
        <v>0.1893025455501145</v>
      </c>
      <c r="Q12" s="83">
        <f t="shared" si="2"/>
        <v>0</v>
      </c>
      <c r="R12" s="83">
        <f t="shared" si="3"/>
        <v>0</v>
      </c>
      <c r="S12" s="83">
        <f t="shared" si="4"/>
        <v>2.7678481701293633</v>
      </c>
      <c r="T12" s="83">
        <f t="shared" si="5"/>
        <v>0.78677847036143556</v>
      </c>
      <c r="U12" s="83">
        <f t="shared" si="6"/>
        <v>0</v>
      </c>
      <c r="V12" s="99">
        <f t="shared" si="7"/>
        <v>115.3991846166449</v>
      </c>
      <c r="W12" s="99">
        <f t="shared" si="8"/>
        <v>72.788047876337828</v>
      </c>
      <c r="X12" s="99">
        <f t="shared" si="9"/>
        <v>21.214178041552358</v>
      </c>
      <c r="Y12" s="99">
        <f t="shared" si="10"/>
        <v>0</v>
      </c>
      <c r="Z12" s="99">
        <f t="shared" si="11"/>
        <v>0</v>
      </c>
      <c r="AB12" s="83">
        <f>寻访!AG12/$O12</f>
        <v>0.4100921045975563</v>
      </c>
      <c r="AC12" s="83">
        <f>基础投放!Q12/$O12</f>
        <v>0</v>
      </c>
      <c r="AD12" s="83">
        <f>基础投放!AO12/$O12</f>
        <v>0</v>
      </c>
      <c r="AE12" s="83">
        <f>付费投放!W12/$O12</f>
        <v>0.5899078954024437</v>
      </c>
      <c r="AF12" s="83">
        <f>IFERROR(寻访!AH12/$P12,0)</f>
        <v>0</v>
      </c>
      <c r="AG12" s="83">
        <f>IFERROR(基础投放!R12/$P12,0)</f>
        <v>0</v>
      </c>
      <c r="AH12" s="83">
        <f>IFERROR(基础投放!AP12/$P12,0)</f>
        <v>0</v>
      </c>
      <c r="AI12" s="83">
        <f>IFERROR(付费投放!X12/$P12,0)</f>
        <v>1</v>
      </c>
    </row>
    <row r="13" spans="3:35" x14ac:dyDescent="0.15">
      <c r="C13" s="70">
        <v>9</v>
      </c>
      <c r="D13" s="60">
        <f>基础信息!D18</f>
        <v>47.5</v>
      </c>
      <c r="E13" s="61">
        <f>基础信息!E18</f>
        <v>407.83539826846607</v>
      </c>
      <c r="F13" s="61">
        <f>基础信息!F18</f>
        <v>86.747293257864058</v>
      </c>
      <c r="G13" s="69">
        <f>基础信息!$G18*基础信息!I18*(1+求节点(门客进修!$C$23:$C$25,门客进修!D$23:D$25,基础信息!N18))</f>
        <v>0</v>
      </c>
      <c r="H13" s="69">
        <f>基础信息!$G18*基础信息!J18*(1+求节点(门客进修!$C$23:$C$25,门客进修!E$23:E$25,基础信息!O18))</f>
        <v>0</v>
      </c>
      <c r="I13" s="69">
        <f>基础信息!$G18*基础信息!K18*(1+求节点(门客进修!$C$23:$C$25,门客进修!F$23:F$25,基础信息!P18))</f>
        <v>6.75</v>
      </c>
      <c r="J13" s="69">
        <f>基础信息!$G18*基础信息!L18*(1+求节点(门客进修!$C$23:$C$25,门客进修!G$23:G$25,基础信息!Q18))</f>
        <v>6.75</v>
      </c>
      <c r="K13" s="69">
        <f>基础信息!$G18*基础信息!M18*(1+求节点(门客进修!$C$23:$C$25,门客进修!H$23:H$25,基础信息!R18))</f>
        <v>0</v>
      </c>
      <c r="L13" s="103">
        <f>寻访!AD13+基础投放!N13+基础投放!AL13+付费投放!T13+寻访!AM13</f>
        <v>188.26012645672176</v>
      </c>
      <c r="M13" s="103">
        <f>寻访!AE13+基础投放!O13+基础投放!AM13+付费投放!U13+寻访!AN13</f>
        <v>142.09518085140988</v>
      </c>
      <c r="N13" s="103">
        <f>寻访!AF13+基础投放!P13+基础投放!AN13+付费投放!V13+寻访!AO13</f>
        <v>78.106295992523172</v>
      </c>
      <c r="O13" s="103">
        <f>寻访!AG13+基础投放!Q13+基础投放!AO13+付费投放!W13+寻访!AP13</f>
        <v>6.9132779937954005</v>
      </c>
      <c r="P13" s="103">
        <f>寻访!AH13+基础投放!R13+基础投放!AP13+付费投放!X13+寻访!AQ13</f>
        <v>0.33699951602822537</v>
      </c>
      <c r="Q13" s="83">
        <f t="shared" si="2"/>
        <v>0</v>
      </c>
      <c r="R13" s="83">
        <f t="shared" si="3"/>
        <v>0</v>
      </c>
      <c r="S13" s="83">
        <f t="shared" si="4"/>
        <v>11.571303110003432</v>
      </c>
      <c r="T13" s="83">
        <f t="shared" si="5"/>
        <v>1.0241893324141333</v>
      </c>
      <c r="U13" s="83">
        <f t="shared" si="6"/>
        <v>0</v>
      </c>
      <c r="V13" s="99">
        <f t="shared" si="7"/>
        <v>188.26012645672176</v>
      </c>
      <c r="W13" s="99">
        <f t="shared" si="8"/>
        <v>142.09518085140988</v>
      </c>
      <c r="X13" s="99">
        <f t="shared" si="9"/>
        <v>71.356295992523172</v>
      </c>
      <c r="Y13" s="99">
        <f t="shared" si="10"/>
        <v>0.16327799379540053</v>
      </c>
      <c r="Z13" s="99">
        <f t="shared" si="11"/>
        <v>0</v>
      </c>
      <c r="AB13" s="83">
        <f>寻访!AG13/$O13</f>
        <v>0.58190801493353184</v>
      </c>
      <c r="AC13" s="83">
        <f>基础投放!Q13/$O13</f>
        <v>0</v>
      </c>
      <c r="AD13" s="83">
        <f>基础投放!AO13/$O13</f>
        <v>0</v>
      </c>
      <c r="AE13" s="83">
        <f>付费投放!W13/$O13</f>
        <v>0.41809198506646811</v>
      </c>
      <c r="AF13" s="83">
        <f>IFERROR(寻访!AH13/$P13,0)</f>
        <v>0</v>
      </c>
      <c r="AG13" s="83">
        <f>IFERROR(基础投放!R13/$P13,0)</f>
        <v>0</v>
      </c>
      <c r="AH13" s="83">
        <f>IFERROR(基础投放!AP13/$P13,0)</f>
        <v>0</v>
      </c>
      <c r="AI13" s="83">
        <f>IFERROR(付费投放!X13/$P13,0)</f>
        <v>1</v>
      </c>
    </row>
    <row r="14" spans="3:35" x14ac:dyDescent="0.15">
      <c r="C14" s="70">
        <v>10</v>
      </c>
      <c r="D14" s="60">
        <f>基础信息!D19</f>
        <v>52</v>
      </c>
      <c r="E14" s="61">
        <f>基础信息!E19</f>
        <v>789.85301886939453</v>
      </c>
      <c r="F14" s="61">
        <f>基础信息!F19</f>
        <v>96.265821375882837</v>
      </c>
      <c r="G14" s="69">
        <f>基础信息!$G19*基础信息!I19*(1+求节点(门客进修!$C$23:$C$25,门客进修!D$23:D$25,基础信息!N19))</f>
        <v>0</v>
      </c>
      <c r="H14" s="69">
        <f>基础信息!$G19*基础信息!J19*(1+求节点(门客进修!$C$23:$C$25,门客进修!E$23:E$25,基础信息!O19))</f>
        <v>0</v>
      </c>
      <c r="I14" s="69">
        <f>基础信息!$G19*基础信息!K19*(1+求节点(门客进修!$C$23:$C$25,门客进修!F$23:F$25,基础信息!P19))</f>
        <v>0</v>
      </c>
      <c r="J14" s="69">
        <f>基础信息!$G19*基础信息!L19*(1+求节点(门客进修!$C$23:$C$25,门客进修!G$23:G$25,基础信息!Q19))</f>
        <v>10</v>
      </c>
      <c r="K14" s="69">
        <f>基础信息!$G19*基础信息!M19*(1+求节点(门客进修!$C$23:$C$25,门客进修!H$23:H$25,基础信息!R19))</f>
        <v>0</v>
      </c>
      <c r="L14" s="103">
        <f>寻访!AD14+基础投放!N14+基础投放!AL14+付费投放!T14+寻访!AM14</f>
        <v>321.96629366704673</v>
      </c>
      <c r="M14" s="103">
        <f>寻访!AE14+基础投放!O14+基础投放!AM14+付费投放!U14+寻访!AN14</f>
        <v>286.35178857675805</v>
      </c>
      <c r="N14" s="103">
        <f>寻访!AF14+基础投放!P14+基础投放!AN14+付费投放!V14+寻访!AO14</f>
        <v>189.26995220719661</v>
      </c>
      <c r="O14" s="103">
        <f>寻访!AG14+基础投放!Q14+基础投放!AO14+付费投放!W14+寻访!AP14</f>
        <v>16.545139933199827</v>
      </c>
      <c r="P14" s="103">
        <f>寻访!AH14+基础投放!R14+基础投放!AP14+付费投放!X14+寻访!AQ14</f>
        <v>0.62150087708334767</v>
      </c>
      <c r="Q14" s="83">
        <f t="shared" si="2"/>
        <v>0</v>
      </c>
      <c r="R14" s="83">
        <f t="shared" si="3"/>
        <v>0</v>
      </c>
      <c r="S14" s="83">
        <f t="shared" si="4"/>
        <v>0</v>
      </c>
      <c r="T14" s="83">
        <f t="shared" si="5"/>
        <v>1.6545139933199828</v>
      </c>
      <c r="U14" s="83">
        <f t="shared" si="6"/>
        <v>0</v>
      </c>
      <c r="V14" s="99">
        <f t="shared" si="7"/>
        <v>321.96629366704673</v>
      </c>
      <c r="W14" s="99">
        <f t="shared" si="8"/>
        <v>286.35178857675805</v>
      </c>
      <c r="X14" s="99">
        <f t="shared" si="9"/>
        <v>189.26995220719661</v>
      </c>
      <c r="Y14" s="99">
        <f t="shared" si="10"/>
        <v>6.5451399331998275</v>
      </c>
      <c r="Z14" s="99">
        <f t="shared" si="11"/>
        <v>0</v>
      </c>
      <c r="AB14" s="83">
        <f>寻访!AG14/$O14</f>
        <v>0.70493476230249397</v>
      </c>
      <c r="AC14" s="83">
        <f>基础投放!Q14/$O14</f>
        <v>0</v>
      </c>
      <c r="AD14" s="83">
        <f>基础投放!AO14/$O14</f>
        <v>0</v>
      </c>
      <c r="AE14" s="83">
        <f>付费投放!W14/$O14</f>
        <v>0.29506523769750603</v>
      </c>
      <c r="AF14" s="83">
        <f>IFERROR(寻访!AH14/$P14,0)</f>
        <v>0</v>
      </c>
      <c r="AG14" s="83">
        <f>IFERROR(基础投放!R14/$P14,0)</f>
        <v>0</v>
      </c>
      <c r="AH14" s="83">
        <f>IFERROR(基础投放!AP14/$P14,0)</f>
        <v>0</v>
      </c>
      <c r="AI14" s="83">
        <f>IFERROR(付费投放!X14/$P14,0)</f>
        <v>1</v>
      </c>
    </row>
    <row r="15" spans="3:35" x14ac:dyDescent="0.15">
      <c r="C15" s="70">
        <v>11</v>
      </c>
      <c r="D15" s="60">
        <f>基础信息!D20</f>
        <v>57</v>
      </c>
      <c r="E15" s="61">
        <f>基础信息!E20</f>
        <v>1647.8248427703616</v>
      </c>
      <c r="F15" s="61">
        <f>基础信息!F20</f>
        <v>106.86832874572353</v>
      </c>
      <c r="G15" s="69">
        <f>基础信息!$G20*基础信息!I20*(1+求节点(门客进修!$C$23:$C$25,门客进修!D$23:D$25,基础信息!N20))</f>
        <v>0</v>
      </c>
      <c r="H15" s="69">
        <f>基础信息!$G20*基础信息!J20*(1+求节点(门客进修!$C$23:$C$25,门客进修!E$23:E$25,基础信息!O20))</f>
        <v>0</v>
      </c>
      <c r="I15" s="69">
        <f>基础信息!$G20*基础信息!K20*(1+求节点(门客进修!$C$23:$C$25,门客进修!F$23:F$25,基础信息!P20))</f>
        <v>0</v>
      </c>
      <c r="J15" s="69">
        <f>基础信息!$G20*基础信息!L20*(1+求节点(门客进修!$C$23:$C$25,门客进修!G$23:G$25,基础信息!Q20))</f>
        <v>17.600000000000001</v>
      </c>
      <c r="K15" s="69">
        <f>基础信息!$G20*基础信息!M20*(1+求节点(门客进修!$C$23:$C$25,门客进修!H$23:H$25,基础信息!R20))</f>
        <v>2.2000000000000002</v>
      </c>
      <c r="L15" s="103">
        <f>寻访!AD15+基础投放!N15+基础投放!AL15+付费投放!T15+寻访!AM15</f>
        <v>575.92595354173295</v>
      </c>
      <c r="M15" s="103">
        <f>寻访!AE15+基础投放!O15+基础投放!AM15+付费投放!U15+寻访!AN15</f>
        <v>606.51730706791795</v>
      </c>
      <c r="N15" s="103">
        <f>寻访!AF15+基础投放!P15+基础投放!AN15+付费投放!V15+寻访!AO15</f>
        <v>480.54509333330213</v>
      </c>
      <c r="O15" s="103">
        <f>寻访!AG15+基础投放!Q15+基础投放!AO15+付费投放!W15+寻访!AP15</f>
        <v>44.699388709409931</v>
      </c>
      <c r="P15" s="103">
        <f>寻访!AH15+基础投放!R15+基础投放!AP15+付费投放!X15+寻访!AQ15</f>
        <v>1.2974463033281629</v>
      </c>
      <c r="Q15" s="83">
        <f t="shared" si="2"/>
        <v>0</v>
      </c>
      <c r="R15" s="83">
        <f t="shared" si="3"/>
        <v>0</v>
      </c>
      <c r="S15" s="83">
        <f t="shared" si="4"/>
        <v>0</v>
      </c>
      <c r="T15" s="83">
        <f t="shared" si="5"/>
        <v>2.5397379948528367</v>
      </c>
      <c r="U15" s="83">
        <f t="shared" si="6"/>
        <v>0.58974831969461949</v>
      </c>
      <c r="V15" s="99">
        <f t="shared" si="7"/>
        <v>575.92595354173295</v>
      </c>
      <c r="W15" s="99">
        <f t="shared" si="8"/>
        <v>606.51730706791795</v>
      </c>
      <c r="X15" s="99">
        <f t="shared" si="9"/>
        <v>480.54509333330213</v>
      </c>
      <c r="Y15" s="99">
        <f t="shared" si="10"/>
        <v>27.099388709409929</v>
      </c>
      <c r="Z15" s="99">
        <f t="shared" si="11"/>
        <v>0</v>
      </c>
      <c r="AB15" s="83">
        <f>寻访!AG15/$O15</f>
        <v>0.79836562390810129</v>
      </c>
      <c r="AC15" s="83">
        <f>基础投放!Q15/$O15</f>
        <v>0</v>
      </c>
      <c r="AD15" s="83">
        <f>基础投放!AO15/$O15</f>
        <v>0</v>
      </c>
      <c r="AE15" s="83">
        <f>付费投放!W15/$O15</f>
        <v>0.20163437609189871</v>
      </c>
      <c r="AF15" s="83">
        <f>IFERROR(寻访!AH15/$P15,0)</f>
        <v>6.6127732739314785E-2</v>
      </c>
      <c r="AG15" s="83">
        <f>IFERROR(基础投放!R15/$P15,0)</f>
        <v>0</v>
      </c>
      <c r="AH15" s="83">
        <f>IFERROR(基础投放!AP15/$P15,0)</f>
        <v>0</v>
      </c>
      <c r="AI15" s="83">
        <f>IFERROR(付费投放!X15/$P15,0)</f>
        <v>0.93387226726068517</v>
      </c>
    </row>
    <row r="16" spans="3:35" x14ac:dyDescent="0.15">
      <c r="C16" s="70">
        <v>12</v>
      </c>
      <c r="D16" s="60">
        <f>基础信息!D21</f>
        <v>62</v>
      </c>
      <c r="E16" s="61">
        <f>基础信息!E21</f>
        <v>3431.3522956038646</v>
      </c>
      <c r="F16" s="61">
        <f>基础信息!F21</f>
        <v>117.44125295293078</v>
      </c>
      <c r="G16" s="69">
        <f>基础信息!$G21*基础信息!I21*(1+求节点(门客进修!$C$23:$C$25,门客进修!D$23:D$25,基础信息!N21))</f>
        <v>0</v>
      </c>
      <c r="H16" s="69">
        <f>基础信息!$G21*基础信息!J21*(1+求节点(门客进修!$C$23:$C$25,门客进修!E$23:E$25,基础信息!O21))</f>
        <v>0</v>
      </c>
      <c r="I16" s="69">
        <f>基础信息!$G21*基础信息!K21*(1+求节点(门客进修!$C$23:$C$25,门客进修!F$23:F$25,基础信息!P21))</f>
        <v>0</v>
      </c>
      <c r="J16" s="69">
        <f>基础信息!$G21*基础信息!L21*(1+求节点(门客进修!$C$23:$C$25,门客进修!G$23:G$25,基础信息!Q21))</f>
        <v>21.599999999999998</v>
      </c>
      <c r="K16" s="69">
        <f>基础信息!$G21*基础信息!M21*(1+求节点(门客进修!$C$23:$C$25,门客进修!H$23:H$25,基础信息!R21))</f>
        <v>4.8000000000000007</v>
      </c>
      <c r="L16" s="103">
        <f>寻访!AD16+基础投放!N16+基础投放!AL16+付费投放!T16+寻访!AM16</f>
        <v>1061.0454207124458</v>
      </c>
      <c r="M16" s="103">
        <f>寻访!AE16+基础投放!O16+基础投放!AM16+付费投放!U16+寻访!AN16</f>
        <v>1292.3918489559833</v>
      </c>
      <c r="N16" s="103">
        <f>寻访!AF16+基础投放!P16+基础投放!AN16+付费投放!V16+寻访!AO16</f>
        <v>1092.4964673617158</v>
      </c>
      <c r="O16" s="103">
        <f>寻访!AG16+基础投放!Q16+基础投放!AO16+付费投放!W16+寻访!AP16</f>
        <v>116.99498945380152</v>
      </c>
      <c r="P16" s="103">
        <f>寻访!AH16+基础投放!R16+基础投放!AP16+付费投放!X16+寻访!AQ16</f>
        <v>2.809667857092788</v>
      </c>
      <c r="Q16" s="83">
        <f t="shared" si="2"/>
        <v>0</v>
      </c>
      <c r="R16" s="83">
        <f t="shared" si="3"/>
        <v>0</v>
      </c>
      <c r="S16" s="83">
        <f t="shared" si="4"/>
        <v>0</v>
      </c>
      <c r="T16" s="83">
        <f t="shared" si="5"/>
        <v>5.4164346969352559</v>
      </c>
      <c r="U16" s="83">
        <f t="shared" si="6"/>
        <v>0.58534747022766409</v>
      </c>
      <c r="V16" s="99">
        <f t="shared" si="7"/>
        <v>1061.0454207124458</v>
      </c>
      <c r="W16" s="99">
        <f t="shared" si="8"/>
        <v>1292.3918489559833</v>
      </c>
      <c r="X16" s="99">
        <f t="shared" si="9"/>
        <v>1092.4964673617158</v>
      </c>
      <c r="Y16" s="99">
        <f t="shared" si="10"/>
        <v>95.394989453801529</v>
      </c>
      <c r="Z16" s="99">
        <f t="shared" si="11"/>
        <v>0</v>
      </c>
      <c r="AB16" s="83">
        <f>寻访!AG16/$O16</f>
        <v>0.85382668201145828</v>
      </c>
      <c r="AC16" s="83">
        <f>基础投放!Q16/$O16</f>
        <v>0</v>
      </c>
      <c r="AD16" s="83">
        <f>基础投放!AO16/$O16</f>
        <v>0</v>
      </c>
      <c r="AE16" s="83">
        <f>付费投放!W16/$O16</f>
        <v>0.14617331798854166</v>
      </c>
      <c r="AF16" s="83">
        <f>IFERROR(寻访!AH16/$P16,0)</f>
        <v>0.1574928765475726</v>
      </c>
      <c r="AG16" s="83">
        <f>IFERROR(基础投放!R16/$P16,0)</f>
        <v>0</v>
      </c>
      <c r="AH16" s="83">
        <f>IFERROR(基础投放!AP16/$P16,0)</f>
        <v>0</v>
      </c>
      <c r="AI16" s="83">
        <f>IFERROR(付费投放!X16/$P16,0)</f>
        <v>0.84250712345242751</v>
      </c>
    </row>
    <row r="17" spans="3:35" x14ac:dyDescent="0.15">
      <c r="C17" s="70">
        <v>13</v>
      </c>
      <c r="D17" s="60">
        <f>基础信息!D22</f>
        <v>67</v>
      </c>
      <c r="E17" s="61">
        <f>基础信息!E22</f>
        <v>7133.5498113340191</v>
      </c>
      <c r="F17" s="61">
        <f>基础信息!F22</f>
        <v>128.00586023511804</v>
      </c>
      <c r="G17" s="69">
        <f>基础信息!$G22*基础信息!I22*(1+求节点(门客进修!$C$23:$C$25,门客进修!D$23:D$25,基础信息!N22))</f>
        <v>0</v>
      </c>
      <c r="H17" s="69">
        <f>基础信息!$G22*基础信息!J22*(1+求节点(门客进修!$C$23:$C$25,门客进修!E$23:E$25,基础信息!O22))</f>
        <v>0</v>
      </c>
      <c r="I17" s="69">
        <f>基础信息!$G22*基础信息!K22*(1+求节点(门客进修!$C$23:$C$25,门客进修!F$23:F$25,基础信息!P22))</f>
        <v>0</v>
      </c>
      <c r="J17" s="69">
        <f>基础信息!$G22*基础信息!L22*(1+求节点(门客进修!$C$23:$C$25,门客进修!G$23:G$25,基础信息!Q22))</f>
        <v>26</v>
      </c>
      <c r="K17" s="69">
        <f>基础信息!$G22*基础信息!M22*(1+求节点(门客进修!$C$23:$C$25,门客进修!H$23:H$25,基础信息!R22))</f>
        <v>7.8</v>
      </c>
      <c r="L17" s="103">
        <f>寻访!AD17+基础投放!N17+基础投放!AL17+付费投放!T17+寻访!AM17</f>
        <v>2053.2343549281272</v>
      </c>
      <c r="M17" s="103">
        <f>寻访!AE17+基础投放!O17+基础投放!AM17+付费投放!U17+寻访!AN17</f>
        <v>2702.9291024491722</v>
      </c>
      <c r="N17" s="103">
        <f>寻访!AF17+基础投放!P17+基础投放!AN17+付费投放!V17+寻访!AO17</f>
        <v>2377.4504506099506</v>
      </c>
      <c r="O17" s="103">
        <f>寻访!AG17+基础投放!Q17+基础投放!AO17+付费投放!W17+寻访!AP17</f>
        <v>277.4142977338397</v>
      </c>
      <c r="P17" s="103">
        <f>寻访!AH17+基础投放!R17+基础投放!AP17+付费投放!X17+寻访!AQ17</f>
        <v>6.2108421356064234</v>
      </c>
      <c r="Q17" s="83">
        <f t="shared" si="2"/>
        <v>0</v>
      </c>
      <c r="R17" s="83">
        <f t="shared" si="3"/>
        <v>0</v>
      </c>
      <c r="S17" s="83">
        <f t="shared" si="4"/>
        <v>0</v>
      </c>
      <c r="T17" s="83">
        <f t="shared" si="5"/>
        <v>10.669780682070758</v>
      </c>
      <c r="U17" s="83">
        <f t="shared" si="6"/>
        <v>0.7962618122572338</v>
      </c>
      <c r="V17" s="99">
        <f t="shared" si="7"/>
        <v>2053.2343549281272</v>
      </c>
      <c r="W17" s="99">
        <f t="shared" si="8"/>
        <v>2702.9291024491722</v>
      </c>
      <c r="X17" s="99">
        <f t="shared" si="9"/>
        <v>2377.4504506099506</v>
      </c>
      <c r="Y17" s="99">
        <f t="shared" si="10"/>
        <v>251.4142977338397</v>
      </c>
      <c r="Z17" s="99">
        <f t="shared" si="11"/>
        <v>0</v>
      </c>
      <c r="AB17" s="83">
        <f>寻访!AG17/$O17</f>
        <v>0.88055716221645619</v>
      </c>
      <c r="AC17" s="83">
        <f>基础投放!Q17/$O17</f>
        <v>0</v>
      </c>
      <c r="AD17" s="83">
        <f>基础投放!AO17/$O17</f>
        <v>0</v>
      </c>
      <c r="AE17" s="83">
        <f>付费投放!W17/$O17</f>
        <v>0.11944283778354378</v>
      </c>
      <c r="AF17" s="83">
        <f>IFERROR(寻访!AH17/$P17,0)</f>
        <v>0.25007267835252966</v>
      </c>
      <c r="AG17" s="83">
        <f>IFERROR(基础投放!R17/$P17,0)</f>
        <v>0</v>
      </c>
      <c r="AH17" s="83">
        <f>IFERROR(基础投放!AP17/$P17,0)</f>
        <v>0</v>
      </c>
      <c r="AI17" s="83">
        <f>IFERROR(付费投放!X17/$P17,0)</f>
        <v>0.74992732164747045</v>
      </c>
    </row>
    <row r="18" spans="3:35" x14ac:dyDescent="0.15">
      <c r="C18" s="70">
        <v>14</v>
      </c>
      <c r="D18" s="60">
        <f>基础信息!D23</f>
        <v>72</v>
      </c>
      <c r="E18" s="61">
        <f>基础信息!E23</f>
        <v>14808.205062920617</v>
      </c>
      <c r="F18" s="61">
        <f>基础信息!F23</f>
        <v>138.53345528648683</v>
      </c>
      <c r="G18" s="69">
        <f>基础信息!$G23*基础信息!I23*(1+求节点(门客进修!$C$23:$C$25,门客进修!D$23:D$25,基础信息!N23))</f>
        <v>0</v>
      </c>
      <c r="H18" s="69">
        <f>基础信息!$G23*基础信息!J23*(1+求节点(门客进修!$C$23:$C$25,门客进修!E$23:E$25,基础信息!O23))</f>
        <v>0</v>
      </c>
      <c r="I18" s="69">
        <f>基础信息!$G23*基础信息!K23*(1+求节点(门客进修!$C$23:$C$25,门客进修!F$23:F$25,基础信息!P23))</f>
        <v>0</v>
      </c>
      <c r="J18" s="69">
        <f>基础信息!$G23*基础信息!L23*(1+求节点(门客进修!$C$23:$C$25,门客进修!G$23:G$25,基础信息!Q23))</f>
        <v>19.600000000000001</v>
      </c>
      <c r="K18" s="69">
        <f>基础信息!$G23*基础信息!M23*(1+求节点(门客进修!$C$23:$C$25,门客进修!H$23:H$25,基础信息!R23))</f>
        <v>11.200000000000001</v>
      </c>
      <c r="L18" s="103">
        <f>寻访!AD18+基础投放!N18+基础投放!AL18+付费投放!T18+寻访!AM18</f>
        <v>4079.3433413469893</v>
      </c>
      <c r="M18" s="103">
        <f>寻访!AE18+基础投放!O18+基础投放!AM18+付费投放!U18+寻访!AN18</f>
        <v>5603.9487875489058</v>
      </c>
      <c r="N18" s="103">
        <f>寻访!AF18+基础投放!P18+基础投放!AN18+付费投放!V18+寻访!AO18</f>
        <v>5068.8621292757998</v>
      </c>
      <c r="O18" s="103">
        <f>寻访!AG18+基础投放!Q18+基础投放!AO18+付费投放!W18+寻访!AP18</f>
        <v>631.83146571120812</v>
      </c>
      <c r="P18" s="103">
        <f>寻访!AH18+基础投放!R18+基础投放!AP18+付费投放!X18+寻访!AQ18</f>
        <v>13.863796723488385</v>
      </c>
      <c r="Q18" s="83">
        <f t="shared" si="2"/>
        <v>0</v>
      </c>
      <c r="R18" s="83">
        <f t="shared" si="3"/>
        <v>0</v>
      </c>
      <c r="S18" s="83">
        <f t="shared" si="4"/>
        <v>0</v>
      </c>
      <c r="T18" s="83">
        <f t="shared" si="5"/>
        <v>32.236299270980005</v>
      </c>
      <c r="U18" s="83">
        <f t="shared" si="6"/>
        <v>1.2378389931686056</v>
      </c>
      <c r="V18" s="99">
        <f t="shared" si="7"/>
        <v>4079.3433413469893</v>
      </c>
      <c r="W18" s="99">
        <f t="shared" si="8"/>
        <v>5603.9487875489058</v>
      </c>
      <c r="X18" s="99">
        <f t="shared" si="9"/>
        <v>5068.8621292757998</v>
      </c>
      <c r="Y18" s="99">
        <f t="shared" si="10"/>
        <v>612.2314657112081</v>
      </c>
      <c r="Z18" s="99">
        <f t="shared" si="11"/>
        <v>2.6637967234883835</v>
      </c>
      <c r="AB18" s="83">
        <f>寻访!AG18/$O18</f>
        <v>0.89678133820008465</v>
      </c>
      <c r="AC18" s="83">
        <f>基础投放!Q18/$O18</f>
        <v>0</v>
      </c>
      <c r="AD18" s="83">
        <f>基础投放!AO18/$O18</f>
        <v>0</v>
      </c>
      <c r="AE18" s="83">
        <f>付费投放!W18/$O18</f>
        <v>0.10321866179991535</v>
      </c>
      <c r="AF18" s="83">
        <f>IFERROR(寻访!AH18/$P18,0)</f>
        <v>0.33346017115773502</v>
      </c>
      <c r="AG18" s="83">
        <f>IFERROR(基础投放!R18/$P18,0)</f>
        <v>0</v>
      </c>
      <c r="AH18" s="83">
        <f>IFERROR(基础投放!AP18/$P18,0)</f>
        <v>0</v>
      </c>
      <c r="AI18" s="83">
        <f>IFERROR(付费投放!X18/$P18,0)</f>
        <v>0.66653982884226504</v>
      </c>
    </row>
    <row r="19" spans="3:35" x14ac:dyDescent="0.15">
      <c r="C19" s="70">
        <v>15</v>
      </c>
      <c r="D19" s="60">
        <f>基础信息!D24</f>
        <v>77</v>
      </c>
      <c r="E19" s="61">
        <f>基础信息!E24</f>
        <v>30698.011006346387</v>
      </c>
      <c r="F19" s="61">
        <f>基础信息!F24</f>
        <v>149.05713970651243</v>
      </c>
      <c r="G19" s="69">
        <f>基础信息!$G24*基础信息!I24*(1+求节点(门客进修!$C$23:$C$25,门客进修!D$23:D$25,基础信息!N24))</f>
        <v>0</v>
      </c>
      <c r="H19" s="69">
        <f>基础信息!$G24*基础信息!J24*(1+求节点(门客进修!$C$23:$C$25,门客进修!E$23:E$25,基础信息!O24))</f>
        <v>0</v>
      </c>
      <c r="I19" s="69">
        <f>基础信息!$G24*基础信息!K24*(1+求节点(门客进修!$C$23:$C$25,门客进修!F$23:F$25,基础信息!P24))</f>
        <v>0</v>
      </c>
      <c r="J19" s="69">
        <f>基础信息!$G24*基础信息!L24*(1+求节点(门客进修!$C$23:$C$25,门客进修!G$23:G$25,基础信息!Q24))</f>
        <v>0</v>
      </c>
      <c r="K19" s="69">
        <f>基础信息!$G24*基础信息!M24*(1+求节点(门客进修!$C$23:$C$25,门客进修!H$23:H$25,基础信息!R24))</f>
        <v>15</v>
      </c>
      <c r="L19" s="103">
        <f>寻访!AD19+基础投放!N19+基础投放!AL19+付费投放!T19+寻访!AM19</f>
        <v>8210.6928866376893</v>
      </c>
      <c r="M19" s="103">
        <f>寻访!AE19+基础投放!O19+基础投放!AM19+付费投放!U19+寻访!AN19</f>
        <v>11562.626016333568</v>
      </c>
      <c r="N19" s="103">
        <f>寻访!AF19+基础投放!P19+基础投放!AN19+付费投放!V19+寻访!AO19</f>
        <v>10700.369477960505</v>
      </c>
      <c r="O19" s="103">
        <f>寻访!AG19+基础投放!Q19+基础投放!AO19+付费投放!W19+寻访!AP19</f>
        <v>1411.5341666667664</v>
      </c>
      <c r="P19" s="103">
        <f>寻访!AH19+基础投放!R19+基础投放!AP19+付费投放!X19+寻访!AQ19</f>
        <v>31.046047338258234</v>
      </c>
      <c r="Q19" s="83">
        <f t="shared" si="2"/>
        <v>0</v>
      </c>
      <c r="R19" s="83">
        <f t="shared" si="3"/>
        <v>0</v>
      </c>
      <c r="S19" s="83">
        <f t="shared" si="4"/>
        <v>0</v>
      </c>
      <c r="T19" s="83">
        <f t="shared" si="5"/>
        <v>0</v>
      </c>
      <c r="U19" s="83">
        <f t="shared" si="6"/>
        <v>2.0697364892172154</v>
      </c>
      <c r="V19" s="99">
        <f t="shared" si="7"/>
        <v>8210.6928866376893</v>
      </c>
      <c r="W19" s="99">
        <f t="shared" si="8"/>
        <v>11562.626016333568</v>
      </c>
      <c r="X19" s="99">
        <f t="shared" si="9"/>
        <v>10700.369477960505</v>
      </c>
      <c r="Y19" s="99">
        <f t="shared" si="10"/>
        <v>1411.5341666667664</v>
      </c>
      <c r="Z19" s="99">
        <f t="shared" si="11"/>
        <v>16.046047338258234</v>
      </c>
      <c r="AB19" s="83">
        <f>寻访!AG19/$O19</f>
        <v>0.90798789363924037</v>
      </c>
      <c r="AC19" s="83">
        <f>基础投放!Q19/$O19</f>
        <v>0</v>
      </c>
      <c r="AD19" s="83">
        <f>基础投放!AO19/$O19</f>
        <v>0</v>
      </c>
      <c r="AE19" s="83">
        <f>付费投放!W19/$O19</f>
        <v>9.2012106360759655E-2</v>
      </c>
      <c r="AF19" s="83">
        <f>IFERROR(寻访!AH19/$P19,0)</f>
        <v>0.40481568758467473</v>
      </c>
      <c r="AG19" s="83">
        <f>IFERROR(基础投放!R19/$P19,0)</f>
        <v>0</v>
      </c>
      <c r="AH19" s="83">
        <f>IFERROR(基础投放!AP19/$P19,0)</f>
        <v>0</v>
      </c>
      <c r="AI19" s="83">
        <f>IFERROR(付费投放!X19/$P19,0)</f>
        <v>0.59518431241532532</v>
      </c>
    </row>
    <row r="20" spans="3:35" x14ac:dyDescent="0.15">
      <c r="C20" s="70">
        <v>16</v>
      </c>
      <c r="D20" s="60">
        <f>基础信息!D25</f>
        <v>80</v>
      </c>
      <c r="E20" s="61">
        <f>基础信息!E25</f>
        <v>47512.875</v>
      </c>
      <c r="F20" s="61">
        <f>基础信息!F25</f>
        <v>155.35264798579232</v>
      </c>
      <c r="G20" s="69">
        <f>基础信息!$G25*基础信息!I25*(1+求节点(门客进修!$C$23:$C$25,门客进修!D$23:D$25,基础信息!N25))</f>
        <v>0</v>
      </c>
      <c r="H20" s="69">
        <f>基础信息!$G25*基础信息!J25*(1+求节点(门客进修!$C$23:$C$25,门客进修!E$23:E$25,基础信息!O25))</f>
        <v>0</v>
      </c>
      <c r="I20" s="69">
        <f>基础信息!$G25*基础信息!K25*(1+求节点(门客进修!$C$23:$C$25,门客进修!F$23:F$25,基础信息!P25))</f>
        <v>0</v>
      </c>
      <c r="J20" s="69">
        <f>基础信息!$G25*基础信息!L25*(1+求节点(门客进修!$C$23:$C$25,门客进修!G$23:G$25,基础信息!Q25))</f>
        <v>0</v>
      </c>
      <c r="K20" s="69">
        <f>基础信息!$G25*基础信息!M25*(1+求节点(门客进修!$C$23:$C$25,门客进修!H$23:H$25,基础信息!R25))</f>
        <v>32</v>
      </c>
      <c r="L20" s="103">
        <f>寻访!AD20+基础投放!N20+基础投放!AL20+付费投放!T20+寻访!AM20</f>
        <v>12582.557524987629</v>
      </c>
      <c r="M20" s="103">
        <f>寻访!AE20+基础投放!O20+基础投放!AM20+付费投放!U20+寻访!AN20</f>
        <v>17868.200013953672</v>
      </c>
      <c r="N20" s="103">
        <f>寻访!AF20+基础投放!P20+基础投放!AN20+付费投放!V20+寻访!AO20</f>
        <v>16658.782890026694</v>
      </c>
      <c r="O20" s="103">
        <f>寻访!AG20+基础投放!Q20+基础投放!AO20+付费投放!W20+寻访!AP20</f>
        <v>2235.7432651148106</v>
      </c>
      <c r="P20" s="103">
        <f>寻访!AH20+基础投放!R20+基础投放!AP20+付费投放!X20+寻访!AQ20</f>
        <v>49.102082011318153</v>
      </c>
      <c r="Q20" s="83">
        <f t="shared" si="2"/>
        <v>0</v>
      </c>
      <c r="R20" s="83">
        <f t="shared" si="3"/>
        <v>0</v>
      </c>
      <c r="S20" s="83">
        <f t="shared" si="4"/>
        <v>0</v>
      </c>
      <c r="T20" s="83">
        <f t="shared" si="5"/>
        <v>0</v>
      </c>
      <c r="U20" s="83">
        <f t="shared" si="6"/>
        <v>1.5344400628536923</v>
      </c>
      <c r="V20" s="105">
        <f t="shared" ref="V20" si="12">MAX(L20-G20,0)</f>
        <v>12582.557524987629</v>
      </c>
      <c r="W20" s="105">
        <f t="shared" ref="W20" si="13">MAX(M20-H20,0)</f>
        <v>17868.200013953672</v>
      </c>
      <c r="X20" s="105">
        <f t="shared" ref="X20" si="14">MAX(N20-I20,0)</f>
        <v>16658.782890026694</v>
      </c>
      <c r="Y20" s="105">
        <f t="shared" ref="Y20" si="15">MAX(O20-J20,0)</f>
        <v>2235.7432651148106</v>
      </c>
      <c r="Z20" s="105">
        <f t="shared" ref="Z20" si="16">MAX(P20-K20,0)</f>
        <v>17.102082011318153</v>
      </c>
      <c r="AB20" s="83">
        <f>寻访!AG20/$O20</f>
        <v>0.91169896217995205</v>
      </c>
      <c r="AC20" s="83">
        <f>基础投放!Q20/$O20</f>
        <v>0</v>
      </c>
      <c r="AD20" s="83">
        <f>基础投放!AO20/$O20</f>
        <v>0</v>
      </c>
      <c r="AE20" s="83">
        <f>付费投放!W20/$O20</f>
        <v>8.8301037820048014E-2</v>
      </c>
      <c r="AF20" s="83">
        <f>IFERROR(寻访!AH20/$P20,0)</f>
        <v>0.42717860705000865</v>
      </c>
      <c r="AG20" s="83">
        <f>IFERROR(基础投放!R20/$P20,0)</f>
        <v>0</v>
      </c>
      <c r="AH20" s="83">
        <f>IFERROR(基础投放!AP20/$P20,0)</f>
        <v>0</v>
      </c>
      <c r="AI20" s="83">
        <f>IFERROR(付费投放!X20/$P20,0)</f>
        <v>0.57282139294999135</v>
      </c>
    </row>
    <row r="21" spans="3:35" x14ac:dyDescent="0.15">
      <c r="C21" s="70"/>
      <c r="D21" s="70"/>
      <c r="E21" s="69"/>
      <c r="F21" s="69"/>
    </row>
    <row r="22" spans="3:35" x14ac:dyDescent="0.15">
      <c r="C22" s="70"/>
      <c r="D22" s="70"/>
      <c r="E22" s="69"/>
      <c r="F22" s="69"/>
    </row>
    <row r="23" spans="3:35" x14ac:dyDescent="0.15">
      <c r="C23" s="70" t="s">
        <v>1</v>
      </c>
      <c r="D23" s="70"/>
      <c r="E23" s="69"/>
      <c r="F23" s="69"/>
      <c r="G23" s="122" t="s">
        <v>195</v>
      </c>
      <c r="H23" s="122"/>
      <c r="I23" s="122"/>
      <c r="J23" s="122"/>
      <c r="K23" s="122"/>
      <c r="L23" s="122" t="s">
        <v>196</v>
      </c>
      <c r="M23" s="122"/>
      <c r="N23" s="122"/>
      <c r="O23" s="122"/>
      <c r="P23" s="122"/>
      <c r="Q23" s="122" t="s">
        <v>198</v>
      </c>
      <c r="R23" s="122"/>
      <c r="S23" s="122"/>
      <c r="T23" s="122"/>
      <c r="U23" s="122"/>
      <c r="V23" s="122" t="s">
        <v>255</v>
      </c>
      <c r="W23" s="122"/>
      <c r="X23" s="122"/>
      <c r="Y23" s="122"/>
      <c r="Z23" s="122"/>
      <c r="AB23" s="127" t="s">
        <v>211</v>
      </c>
      <c r="AC23" s="127"/>
      <c r="AD23" s="127"/>
      <c r="AE23" s="127"/>
      <c r="AF23" s="127" t="s">
        <v>215</v>
      </c>
      <c r="AG23" s="127"/>
      <c r="AH23" s="127"/>
      <c r="AI23" s="127"/>
    </row>
    <row r="24" spans="3:35" x14ac:dyDescent="0.15">
      <c r="C24" s="70" t="s">
        <v>21</v>
      </c>
      <c r="D24" s="70" t="s">
        <v>121</v>
      </c>
      <c r="E24" s="69" t="s">
        <v>122</v>
      </c>
      <c r="F24" s="69" t="s">
        <v>103</v>
      </c>
      <c r="G24" s="69" t="s">
        <v>104</v>
      </c>
      <c r="H24" s="69" t="s">
        <v>105</v>
      </c>
      <c r="I24" s="69" t="s">
        <v>106</v>
      </c>
      <c r="J24" s="69" t="s">
        <v>107</v>
      </c>
      <c r="K24" s="69" t="s">
        <v>108</v>
      </c>
      <c r="L24" s="69" t="s">
        <v>104</v>
      </c>
      <c r="M24" s="69" t="s">
        <v>105</v>
      </c>
      <c r="N24" s="69" t="s">
        <v>106</v>
      </c>
      <c r="O24" s="69" t="s">
        <v>107</v>
      </c>
      <c r="P24" s="69" t="s">
        <v>108</v>
      </c>
      <c r="Q24" s="81" t="s">
        <v>104</v>
      </c>
      <c r="R24" s="81" t="s">
        <v>105</v>
      </c>
      <c r="S24" s="81" t="s">
        <v>106</v>
      </c>
      <c r="T24" s="81" t="s">
        <v>107</v>
      </c>
      <c r="U24" s="81" t="s">
        <v>108</v>
      </c>
      <c r="V24" s="99" t="s">
        <v>104</v>
      </c>
      <c r="W24" s="99" t="s">
        <v>105</v>
      </c>
      <c r="X24" s="99" t="s">
        <v>106</v>
      </c>
      <c r="Y24" s="99" t="s">
        <v>107</v>
      </c>
      <c r="Z24" s="99" t="s">
        <v>108</v>
      </c>
      <c r="AB24" s="83" t="s">
        <v>212</v>
      </c>
      <c r="AC24" s="83" t="s">
        <v>213</v>
      </c>
      <c r="AD24" s="83" t="s">
        <v>214</v>
      </c>
      <c r="AE24" s="83" t="s">
        <v>254</v>
      </c>
      <c r="AF24" s="83" t="s">
        <v>212</v>
      </c>
      <c r="AG24" s="83" t="s">
        <v>213</v>
      </c>
      <c r="AH24" s="83" t="s">
        <v>214</v>
      </c>
      <c r="AI24" s="83" t="s">
        <v>254</v>
      </c>
    </row>
    <row r="25" spans="3:35" x14ac:dyDescent="0.15">
      <c r="C25" s="70">
        <v>1</v>
      </c>
      <c r="D25" s="60">
        <f>基础信息!D30</f>
        <v>16</v>
      </c>
      <c r="E25" s="61">
        <f>基础信息!E30</f>
        <v>2.0310175363141174</v>
      </c>
      <c r="F25" s="61">
        <f>基础信息!F30</f>
        <v>17.420973982667814</v>
      </c>
      <c r="G25" s="69">
        <f>基础信息!$G30*基础信息!I30*(1+求节点(门客进修!$C$23:$C$25,门客进修!D$23:D$25,基础信息!N30))</f>
        <v>1</v>
      </c>
      <c r="H25" s="69">
        <f>基础信息!$G30*基础信息!J30*(1+求节点(门客进修!$C$23:$C$25,门客进修!E$23:E$25,基础信息!O30))</f>
        <v>0</v>
      </c>
      <c r="I25" s="69">
        <f>基础信息!$G30*基础信息!K30*(1+求节点(门客进修!$C$23:$C$25,门客进修!F$23:F$25,基础信息!P30))</f>
        <v>0</v>
      </c>
      <c r="J25" s="69">
        <f>基础信息!$G30*基础信息!L30*(1+求节点(门客进修!$C$23:$C$25,门客进修!G$23:G$25,基础信息!Q30))</f>
        <v>0</v>
      </c>
      <c r="K25" s="69">
        <f>基础信息!$G30*基础信息!M30*(1+求节点(门客进修!$C$23:$C$25,门客进修!H$23:H$25,基础信息!R30))</f>
        <v>0</v>
      </c>
      <c r="L25" s="103">
        <f>寻访!AD25+基础投放!N25+基础投放!AL25+付费投放!T25+寻访!AM25</f>
        <v>1</v>
      </c>
      <c r="M25" s="103">
        <f>寻访!AE25+基础投放!O25+基础投放!AM25+付费投放!U25+寻访!AN25</f>
        <v>0</v>
      </c>
      <c r="N25" s="103">
        <f>寻访!AF25+基础投放!P25+基础投放!AN25+付费投放!V25+寻访!AO25</f>
        <v>0.14184110380747469</v>
      </c>
      <c r="O25" s="103">
        <f>寻访!AG25+基础投放!Q25+基础投放!AO25+付费投放!W25+寻访!AP25</f>
        <v>0.14184110380747469</v>
      </c>
      <c r="P25" s="103">
        <f>寻访!AH25+基础投放!R25+基础投放!AP25+付费投放!X25+寻访!AQ25</f>
        <v>0</v>
      </c>
      <c r="Q25" s="83">
        <f>IFERROR(L25/G25,0)</f>
        <v>1</v>
      </c>
      <c r="R25" s="83">
        <f t="shared" ref="R25:R40" si="17">IFERROR(M25/H25,0)</f>
        <v>0</v>
      </c>
      <c r="S25" s="83">
        <f t="shared" ref="S25:S40" si="18">IFERROR(N25/I25,0)</f>
        <v>0</v>
      </c>
      <c r="T25" s="83">
        <f t="shared" ref="T25:T40" si="19">IFERROR(O25/J25,0)</f>
        <v>0</v>
      </c>
      <c r="U25" s="83">
        <f t="shared" ref="U25:U40" si="20">IFERROR(P25/K25,0)</f>
        <v>0</v>
      </c>
      <c r="V25" s="99">
        <f>IF(V26=0,0,MAX(L25-G25,0))</f>
        <v>0</v>
      </c>
      <c r="W25" s="99">
        <f t="shared" ref="W25:W39" si="21">IF(W26=0,0,MAX(M25-H25,0))</f>
        <v>0</v>
      </c>
      <c r="X25" s="99">
        <f t="shared" ref="X25:X39" si="22">IF(X26=0,0,MAX(N25-I25,0))</f>
        <v>0</v>
      </c>
      <c r="Y25" s="99">
        <f t="shared" ref="Y25:Y39" si="23">IF(Y26=0,0,MAX(O25-J25,0))</f>
        <v>0</v>
      </c>
      <c r="Z25" s="99">
        <f t="shared" ref="Z25:Z39" si="24">IF(Z26=0,0,MAX(P25-K25,0))</f>
        <v>0</v>
      </c>
      <c r="AB25" s="83">
        <f>寻访!AG25/$O25</f>
        <v>0</v>
      </c>
      <c r="AC25" s="83">
        <f>基础投放!Q25/$O25</f>
        <v>0</v>
      </c>
      <c r="AD25" s="83">
        <f>基础投放!AO25/$O25</f>
        <v>0</v>
      </c>
      <c r="AE25" s="83">
        <f>付费投放!W25/$O25</f>
        <v>1</v>
      </c>
      <c r="AF25" s="83">
        <f>IFERROR(寻访!AH25/$P25,0)</f>
        <v>0</v>
      </c>
      <c r="AG25" s="83">
        <f>IFERROR(基础投放!R25/$P25,0)</f>
        <v>0</v>
      </c>
      <c r="AH25" s="83">
        <f>IFERROR(基础投放!AP25/$P25,0)</f>
        <v>0</v>
      </c>
      <c r="AI25" s="83">
        <f>IFERROR(付费投放!X25/$P25,0)</f>
        <v>0</v>
      </c>
    </row>
    <row r="26" spans="3:35" x14ac:dyDescent="0.15">
      <c r="C26" s="70">
        <v>2</v>
      </c>
      <c r="D26" s="60">
        <f>基础信息!D31</f>
        <v>19.5</v>
      </c>
      <c r="E26" s="61">
        <f>基础信息!E31</f>
        <v>3.8583180257323662</v>
      </c>
      <c r="F26" s="61">
        <f>基础信息!F31</f>
        <v>24.411235857114818</v>
      </c>
      <c r="G26" s="69">
        <f>基础信息!$G31*基础信息!I31*(1+求节点(门客进修!$C$23:$C$25,门客进修!D$23:D$25,基础信息!N31))</f>
        <v>2</v>
      </c>
      <c r="H26" s="69">
        <f>基础信息!$G31*基础信息!J31*(1+求节点(门客进修!$C$23:$C$25,门客进修!E$23:E$25,基础信息!O31))</f>
        <v>0</v>
      </c>
      <c r="I26" s="69">
        <f>基础信息!$G31*基础信息!K31*(1+求节点(门客进修!$C$23:$C$25,门客进修!F$23:F$25,基础信息!P31))</f>
        <v>0</v>
      </c>
      <c r="J26" s="69">
        <f>基础信息!$G31*基础信息!L31*(1+求节点(门客进修!$C$23:$C$25,门客进修!G$23:G$25,基础信息!Q31))</f>
        <v>0</v>
      </c>
      <c r="K26" s="69">
        <f>基础信息!$G31*基础信息!M31*(1+求节点(门客进修!$C$23:$C$25,门客进修!H$23:H$25,基础信息!R31))</f>
        <v>0</v>
      </c>
      <c r="L26" s="103">
        <f>寻访!AD26+基础投放!N26+基础投放!AL26+付费投放!T26+寻访!AM26</f>
        <v>2</v>
      </c>
      <c r="M26" s="103">
        <f>寻访!AE26+基础投放!O26+基础投放!AM26+付费投放!U26+寻访!AN26</f>
        <v>0</v>
      </c>
      <c r="N26" s="103">
        <f>寻访!AF26+基础投放!P26+基础投放!AN26+付费投放!V26+寻访!AO26</f>
        <v>0.23571971819662593</v>
      </c>
      <c r="O26" s="103">
        <f>寻访!AG26+基础投放!Q26+基础投放!AO26+付费投放!W26+寻访!AP26</f>
        <v>0.23571971819662593</v>
      </c>
      <c r="P26" s="103">
        <f>寻访!AH26+基础投放!R26+基础投放!AP26+付费投放!X26+寻访!AQ26</f>
        <v>0</v>
      </c>
      <c r="Q26" s="83">
        <f t="shared" ref="Q26:Q40" si="25">IFERROR(L26/G26,0)</f>
        <v>1</v>
      </c>
      <c r="R26" s="83">
        <f t="shared" si="17"/>
        <v>0</v>
      </c>
      <c r="S26" s="83">
        <f t="shared" si="18"/>
        <v>0</v>
      </c>
      <c r="T26" s="83">
        <f t="shared" si="19"/>
        <v>0</v>
      </c>
      <c r="U26" s="83">
        <f t="shared" si="20"/>
        <v>0</v>
      </c>
      <c r="V26" s="99">
        <f t="shared" ref="V26:V39" si="26">IF(V27=0,0,MAX(L26-G26,0))</f>
        <v>0</v>
      </c>
      <c r="W26" s="99">
        <f t="shared" si="21"/>
        <v>0</v>
      </c>
      <c r="X26" s="99">
        <f t="shared" si="22"/>
        <v>0</v>
      </c>
      <c r="Y26" s="99">
        <f t="shared" si="23"/>
        <v>0</v>
      </c>
      <c r="Z26" s="99">
        <f t="shared" si="24"/>
        <v>0</v>
      </c>
      <c r="AB26" s="83">
        <f>寻访!AG26/$O26</f>
        <v>0</v>
      </c>
      <c r="AC26" s="83">
        <f>基础投放!Q26/$O26</f>
        <v>0</v>
      </c>
      <c r="AD26" s="83">
        <f>基础投放!AO26/$O26</f>
        <v>0</v>
      </c>
      <c r="AE26" s="83">
        <f>付费投放!W26/$O26</f>
        <v>1</v>
      </c>
      <c r="AF26" s="83">
        <f>IFERROR(寻访!AH26/$P26,0)</f>
        <v>0</v>
      </c>
      <c r="AG26" s="83">
        <f>IFERROR(基础投放!R26/$P26,0)</f>
        <v>0</v>
      </c>
      <c r="AH26" s="83">
        <f>IFERROR(基础投放!AP26/$P26,0)</f>
        <v>0</v>
      </c>
      <c r="AI26" s="83">
        <f>IFERROR(付费投放!X26/$P26,0)</f>
        <v>0</v>
      </c>
    </row>
    <row r="27" spans="3:35" x14ac:dyDescent="0.15">
      <c r="C27" s="70">
        <v>3</v>
      </c>
      <c r="D27" s="60">
        <f>基础信息!D32</f>
        <v>23.5</v>
      </c>
      <c r="E27" s="61">
        <f>基础信息!E32</f>
        <v>7.7240111017275384</v>
      </c>
      <c r="F27" s="61">
        <f>基础信息!F32</f>
        <v>33.019343244153319</v>
      </c>
      <c r="G27" s="69">
        <f>基础信息!$G32*基础信息!I32*(1+求节点(门客进修!$C$23:$C$25,门客进修!D$23:D$25,基础信息!N32))</f>
        <v>1.5</v>
      </c>
      <c r="H27" s="69">
        <f>基础信息!$G32*基础信息!J32*(1+求节点(门客进修!$C$23:$C$25,门客进修!E$23:E$25,基础信息!O32))</f>
        <v>1.5</v>
      </c>
      <c r="I27" s="69">
        <f>基础信息!$G32*基础信息!K32*(1+求节点(门客进修!$C$23:$C$25,门客进修!F$23:F$25,基础信息!P32))</f>
        <v>0</v>
      </c>
      <c r="J27" s="69">
        <f>基础信息!$G32*基础信息!L32*(1+求节点(门客进修!$C$23:$C$25,门客进修!G$23:G$25,基础信息!Q32))</f>
        <v>0</v>
      </c>
      <c r="K27" s="69">
        <f>基础信息!$G32*基础信息!M32*(1+求节点(门客进修!$C$23:$C$25,门客进修!H$23:H$25,基础信息!R32))</f>
        <v>0</v>
      </c>
      <c r="L27" s="103">
        <f>寻访!AD27+基础投放!N27+基础投放!AL27+付费投放!T27+寻访!AM27</f>
        <v>3</v>
      </c>
      <c r="M27" s="103">
        <f>寻访!AE27+基础投放!O27+基础投放!AM27+付费投放!U27+寻访!AN27</f>
        <v>0</v>
      </c>
      <c r="N27" s="103">
        <f>寻访!AF27+基础投放!P27+基础投放!AN27+付费投放!V27+寻访!AO27</f>
        <v>0.42364509557764107</v>
      </c>
      <c r="O27" s="103">
        <f>寻访!AG27+基础投放!Q27+基础投放!AO27+付费投放!W27+寻访!AP27</f>
        <v>0.42364509557764107</v>
      </c>
      <c r="P27" s="103">
        <f>寻访!AH27+基础投放!R27+基础投放!AP27+付费投放!X27+寻访!AQ27</f>
        <v>0</v>
      </c>
      <c r="Q27" s="83">
        <f t="shared" si="25"/>
        <v>2</v>
      </c>
      <c r="R27" s="83">
        <f>IFERROR(M27/H27,0)</f>
        <v>0</v>
      </c>
      <c r="S27" s="83">
        <f t="shared" si="18"/>
        <v>0</v>
      </c>
      <c r="T27" s="83">
        <f t="shared" si="19"/>
        <v>0</v>
      </c>
      <c r="U27" s="83">
        <f t="shared" si="20"/>
        <v>0</v>
      </c>
      <c r="V27" s="99">
        <f t="shared" si="26"/>
        <v>1.5</v>
      </c>
      <c r="W27" s="99">
        <f t="shared" si="21"/>
        <v>0</v>
      </c>
      <c r="X27" s="99">
        <f t="shared" si="22"/>
        <v>0</v>
      </c>
      <c r="Y27" s="99">
        <f t="shared" si="23"/>
        <v>0</v>
      </c>
      <c r="Z27" s="99">
        <f t="shared" si="24"/>
        <v>0</v>
      </c>
      <c r="AB27" s="83">
        <f>寻访!AG27/$O27</f>
        <v>0</v>
      </c>
      <c r="AC27" s="83">
        <f>基础投放!Q27/$O27</f>
        <v>0</v>
      </c>
      <c r="AD27" s="83">
        <f>基础投放!AO27/$O27</f>
        <v>0</v>
      </c>
      <c r="AE27" s="83">
        <f>付费投放!W27/$O27</f>
        <v>1</v>
      </c>
      <c r="AF27" s="83">
        <f>IFERROR(寻访!AH27/$P27,0)</f>
        <v>0</v>
      </c>
      <c r="AG27" s="83">
        <f>IFERROR(基础投放!R27/$P27,0)</f>
        <v>0</v>
      </c>
      <c r="AH27" s="83">
        <f>IFERROR(基础投放!AP27/$P27,0)</f>
        <v>0</v>
      </c>
      <c r="AI27" s="83">
        <f>IFERROR(付费投放!X27/$P27,0)</f>
        <v>0</v>
      </c>
    </row>
    <row r="28" spans="3:35" x14ac:dyDescent="0.15">
      <c r="C28" s="70">
        <v>4</v>
      </c>
      <c r="D28" s="60">
        <f>基础信息!D33</f>
        <v>27.5</v>
      </c>
      <c r="E28" s="61">
        <f>基础信息!E33</f>
        <v>15.096178510388308</v>
      </c>
      <c r="F28" s="61">
        <f>基础信息!F33</f>
        <v>41.92278306907852</v>
      </c>
      <c r="G28" s="69">
        <f>基础信息!$G33*基础信息!I33*(1+求节点(门客进修!$C$23:$C$25,门客进修!D$23:D$25,基础信息!N33))</f>
        <v>0</v>
      </c>
      <c r="H28" s="69">
        <f>基础信息!$G33*基础信息!J33*(1+求节点(门客进修!$C$23:$C$25,门客进修!E$23:E$25,基础信息!O33))</f>
        <v>2</v>
      </c>
      <c r="I28" s="69">
        <f>基础信息!$G33*基础信息!K33*(1+求节点(门客进修!$C$23:$C$25,门客进修!F$23:F$25,基础信息!P33))</f>
        <v>2</v>
      </c>
      <c r="J28" s="69">
        <f>基础信息!$G33*基础信息!L33*(1+求节点(门客进修!$C$23:$C$25,门客进修!G$23:G$25,基础信息!Q33))</f>
        <v>0</v>
      </c>
      <c r="K28" s="69">
        <f>基础信息!$G33*基础信息!M33*(1+求节点(门客进修!$C$23:$C$25,门客进修!H$23:H$25,基础信息!R33))</f>
        <v>0</v>
      </c>
      <c r="L28" s="103">
        <f>寻访!AD28+基础投放!N28+基础投放!AL28+付费投放!T28+寻访!AM28</f>
        <v>4</v>
      </c>
      <c r="M28" s="103">
        <f>寻访!AE28+基础投放!O28+基础投放!AM28+付费投放!U28+寻访!AN28</f>
        <v>0</v>
      </c>
      <c r="N28" s="103">
        <f>寻访!AF28+基础投放!P28+基础投放!AN28+付费投放!V28+寻访!AO28</f>
        <v>0.69255688690833628</v>
      </c>
      <c r="O28" s="103">
        <f>寻访!AG28+基础投放!Q28+基础投放!AO28+付费投放!W28+寻访!AP28</f>
        <v>0.69255688690833628</v>
      </c>
      <c r="P28" s="103">
        <f>寻访!AH28+基础投放!R28+基础投放!AP28+付费投放!X28+寻访!AQ28</f>
        <v>0</v>
      </c>
      <c r="Q28" s="83">
        <f t="shared" si="25"/>
        <v>0</v>
      </c>
      <c r="R28" s="83">
        <f>IFERROR(M28/H28,0)</f>
        <v>0</v>
      </c>
      <c r="S28" s="83">
        <f t="shared" si="18"/>
        <v>0.34627844345416814</v>
      </c>
      <c r="T28" s="83">
        <f t="shared" si="19"/>
        <v>0</v>
      </c>
      <c r="U28" s="83">
        <f t="shared" si="20"/>
        <v>0</v>
      </c>
      <c r="V28" s="99">
        <f t="shared" si="26"/>
        <v>4</v>
      </c>
      <c r="W28" s="99">
        <f t="shared" si="21"/>
        <v>0</v>
      </c>
      <c r="X28" s="99">
        <f t="shared" si="22"/>
        <v>0</v>
      </c>
      <c r="Y28" s="99">
        <f t="shared" si="23"/>
        <v>0</v>
      </c>
      <c r="Z28" s="99">
        <f t="shared" si="24"/>
        <v>0</v>
      </c>
      <c r="AB28" s="83">
        <f>寻访!AG28/$O28</f>
        <v>0</v>
      </c>
      <c r="AC28" s="83">
        <f>基础投放!Q28/$O28</f>
        <v>0</v>
      </c>
      <c r="AD28" s="83">
        <f>基础投放!AO28/$O28</f>
        <v>0</v>
      </c>
      <c r="AE28" s="83">
        <f>付费投放!W28/$O28</f>
        <v>1</v>
      </c>
      <c r="AF28" s="83">
        <f>IFERROR(寻访!AH28/$P28,0)</f>
        <v>0</v>
      </c>
      <c r="AG28" s="83">
        <f>IFERROR(基础投放!R28/$P28,0)</f>
        <v>0</v>
      </c>
      <c r="AH28" s="83">
        <f>IFERROR(基础投放!AP28/$P28,0)</f>
        <v>0</v>
      </c>
      <c r="AI28" s="83">
        <f>IFERROR(付费投放!X28/$P28,0)</f>
        <v>0</v>
      </c>
    </row>
    <row r="29" spans="3:35" x14ac:dyDescent="0.15">
      <c r="C29" s="70">
        <v>5</v>
      </c>
      <c r="D29" s="60">
        <f>基础信息!D34</f>
        <v>31.5</v>
      </c>
      <c r="E29" s="61">
        <f>基础信息!E34</f>
        <v>29.031391010864539</v>
      </c>
      <c r="F29" s="61">
        <f>基础信息!F34</f>
        <v>51.047922371312225</v>
      </c>
      <c r="G29" s="69">
        <f>基础信息!$G34*基础信息!I34*(1+求节点(门客进修!$C$23:$C$25,门客进修!D$23:D$25,基础信息!N34))</f>
        <v>0</v>
      </c>
      <c r="H29" s="69">
        <f>基础信息!$G34*基础信息!J34*(1+求节点(门客进修!$C$23:$C$25,门客进修!E$23:E$25,基础信息!O34))</f>
        <v>0</v>
      </c>
      <c r="I29" s="69">
        <f>基础信息!$G34*基础信息!K34*(1+求节点(门客进修!$C$23:$C$25,门客进修!F$23:F$25,基础信息!P34))</f>
        <v>10</v>
      </c>
      <c r="J29" s="69">
        <f>基础信息!$G34*基础信息!L34*(1+求节点(门客进修!$C$23:$C$25,门客进修!G$23:G$25,基础信息!Q34))</f>
        <v>0</v>
      </c>
      <c r="K29" s="69">
        <f>基础信息!$G34*基础信息!M34*(1+求节点(门客进修!$C$23:$C$25,门客进修!H$23:H$25,基础信息!R34))</f>
        <v>0</v>
      </c>
      <c r="L29" s="103">
        <f>寻访!AD29+基础投放!N29+基础投放!AL29+付费投放!T29+寻访!AM29</f>
        <v>16.148170000380986</v>
      </c>
      <c r="M29" s="103">
        <f>寻访!AE29+基础投放!O29+基础投放!AM29+付费投放!U29+寻访!AN29</f>
        <v>2.7870425000952466</v>
      </c>
      <c r="N29" s="103">
        <f>寻访!AF29+基础投放!P29+基础投放!AN29+付费投放!V29+寻访!AO29</f>
        <v>1.1912181382929221</v>
      </c>
      <c r="O29" s="103">
        <f>寻访!AG29+基础投放!Q29+基础投放!AO29+付费投放!W29+寻访!AP29</f>
        <v>1.1888117802631444</v>
      </c>
      <c r="P29" s="103">
        <f>寻访!AH29+基础投放!R29+基础投放!AP29+付费投放!X29+寻访!AQ29</f>
        <v>0</v>
      </c>
      <c r="Q29" s="83">
        <f t="shared" si="25"/>
        <v>0</v>
      </c>
      <c r="R29" s="83">
        <f t="shared" si="17"/>
        <v>0</v>
      </c>
      <c r="S29" s="83">
        <f t="shared" si="18"/>
        <v>0.11912181382929221</v>
      </c>
      <c r="T29" s="83">
        <f t="shared" si="19"/>
        <v>0</v>
      </c>
      <c r="U29" s="83">
        <f t="shared" si="20"/>
        <v>0</v>
      </c>
      <c r="V29" s="99">
        <f t="shared" si="26"/>
        <v>16.148170000380986</v>
      </c>
      <c r="W29" s="99">
        <f t="shared" si="21"/>
        <v>2.7870425000952466</v>
      </c>
      <c r="X29" s="99">
        <f t="shared" si="22"/>
        <v>0</v>
      </c>
      <c r="Y29" s="99">
        <f t="shared" si="23"/>
        <v>0</v>
      </c>
      <c r="Z29" s="99">
        <f t="shared" si="24"/>
        <v>0</v>
      </c>
      <c r="AB29" s="83">
        <f>寻访!AG29/$O29</f>
        <v>0</v>
      </c>
      <c r="AC29" s="83">
        <f>基础投放!Q29/$O29</f>
        <v>0</v>
      </c>
      <c r="AD29" s="83">
        <f>基础投放!AO29/$O29</f>
        <v>0</v>
      </c>
      <c r="AE29" s="83">
        <f>付费投放!W29/$O29</f>
        <v>1</v>
      </c>
      <c r="AF29" s="83">
        <f>IFERROR(寻访!AH29/$P29,0)</f>
        <v>0</v>
      </c>
      <c r="AG29" s="83">
        <f>IFERROR(基础投放!R29/$P29,0)</f>
        <v>0</v>
      </c>
      <c r="AH29" s="83">
        <f>IFERROR(基础投放!AP29/$P29,0)</f>
        <v>0</v>
      </c>
      <c r="AI29" s="83">
        <f>IFERROR(付费投放!X29/$P29,0)</f>
        <v>0</v>
      </c>
    </row>
    <row r="30" spans="3:35" x14ac:dyDescent="0.15">
      <c r="C30" s="70">
        <v>6</v>
      </c>
      <c r="D30" s="60">
        <f>基础信息!D35</f>
        <v>35.5</v>
      </c>
      <c r="E30" s="61">
        <f>基础信息!E35</f>
        <v>54.898744666803331</v>
      </c>
      <c r="F30" s="61">
        <f>基础信息!F35</f>
        <v>60.077170204921828</v>
      </c>
      <c r="G30" s="69">
        <f>基础信息!$G35*基础信息!I35*(1+求节点(门客进修!$C$23:$C$25,门客进修!D$23:D$25,基础信息!N35))</f>
        <v>0</v>
      </c>
      <c r="H30" s="69">
        <f>基础信息!$G35*基础信息!J35*(1+求节点(门客进修!$C$23:$C$25,门客进修!E$23:E$25,基础信息!O35))</f>
        <v>0</v>
      </c>
      <c r="I30" s="69">
        <f>基础信息!$G35*基础信息!K35*(1+求节点(门客进修!$C$23:$C$25,门客进修!F$23:F$25,基础信息!P35))</f>
        <v>13.5</v>
      </c>
      <c r="J30" s="69">
        <f>基础信息!$G35*基础信息!L35*(1+求节点(门客进修!$C$23:$C$25,门客进修!G$23:G$25,基础信息!Q35))</f>
        <v>1.5</v>
      </c>
      <c r="K30" s="69">
        <f>基础信息!$G35*基础信息!M35*(1+求节点(门客进修!$C$23:$C$25,门客进修!H$23:H$25,基础信息!R35))</f>
        <v>0</v>
      </c>
      <c r="L30" s="103">
        <f>寻访!AD30+基础投放!N30+基础投放!AL30+付费投放!T30+寻访!AM30</f>
        <v>34.737970486419371</v>
      </c>
      <c r="M30" s="103">
        <f>寻访!AE30+基础投放!O30+基础投放!AM30+付费投放!U30+寻访!AN30</f>
        <v>9.5125544506393318</v>
      </c>
      <c r="N30" s="103">
        <f>寻访!AF30+基础投放!P30+基础投放!AN30+付费投放!V30+寻访!AO30</f>
        <v>4.8597032877388084</v>
      </c>
      <c r="O30" s="103">
        <f>寻访!AG30+基础投放!Q30+基础投放!AO30+付费投放!W30+寻访!AP30</f>
        <v>2.1512537049687257</v>
      </c>
      <c r="P30" s="103">
        <f>寻访!AH30+基础投放!R30+基础投放!AP30+付费投放!X30+寻访!AQ30</f>
        <v>0</v>
      </c>
      <c r="Q30" s="83">
        <f t="shared" si="25"/>
        <v>0</v>
      </c>
      <c r="R30" s="83">
        <f t="shared" si="17"/>
        <v>0</v>
      </c>
      <c r="S30" s="83">
        <f t="shared" si="18"/>
        <v>0.35997802131398582</v>
      </c>
      <c r="T30" s="83">
        <f t="shared" si="19"/>
        <v>1.4341691366458171</v>
      </c>
      <c r="U30" s="83">
        <f t="shared" si="20"/>
        <v>0</v>
      </c>
      <c r="V30" s="99">
        <f t="shared" si="26"/>
        <v>34.737970486419371</v>
      </c>
      <c r="W30" s="99">
        <f t="shared" si="21"/>
        <v>9.5125544506393318</v>
      </c>
      <c r="X30" s="99">
        <f t="shared" si="22"/>
        <v>0</v>
      </c>
      <c r="Y30" s="99">
        <f t="shared" si="23"/>
        <v>0</v>
      </c>
      <c r="Z30" s="99">
        <f t="shared" si="24"/>
        <v>0</v>
      </c>
      <c r="AB30" s="83">
        <f>寻访!AG30/$O30</f>
        <v>0</v>
      </c>
      <c r="AC30" s="83">
        <f>基础投放!Q30/$O30</f>
        <v>0</v>
      </c>
      <c r="AD30" s="83">
        <f>基础投放!AO30/$O30</f>
        <v>0</v>
      </c>
      <c r="AE30" s="83">
        <f>付费投放!W30/$O30</f>
        <v>1</v>
      </c>
      <c r="AF30" s="83">
        <f>IFERROR(寻访!AH30/$P30,0)</f>
        <v>0</v>
      </c>
      <c r="AG30" s="83">
        <f>IFERROR(基础投放!R30/$P30,0)</f>
        <v>0</v>
      </c>
      <c r="AH30" s="83">
        <f>IFERROR(基础投放!AP30/$P30,0)</f>
        <v>0</v>
      </c>
      <c r="AI30" s="83">
        <f>IFERROR(付费投放!X30/$P30,0)</f>
        <v>0</v>
      </c>
    </row>
    <row r="31" spans="3:35" x14ac:dyDescent="0.15">
      <c r="C31" s="70">
        <v>7</v>
      </c>
      <c r="D31" s="60">
        <f>基础信息!D36</f>
        <v>39.5</v>
      </c>
      <c r="E31" s="61">
        <f>基础信息!E36</f>
        <v>99.697076394392013</v>
      </c>
      <c r="F31" s="61">
        <f>基础信息!F36</f>
        <v>68.578677703814634</v>
      </c>
      <c r="G31" s="69">
        <f>基础信息!$G36*基础信息!I36*(1+求节点(门客进修!$C$23:$C$25,门客进修!D$23:D$25,基础信息!N36))</f>
        <v>0</v>
      </c>
      <c r="H31" s="69">
        <f>基础信息!$G36*基础信息!J36*(1+求节点(门客进修!$C$23:$C$25,门客进修!E$23:E$25,基础信息!O36))</f>
        <v>0</v>
      </c>
      <c r="I31" s="69">
        <f>基础信息!$G36*基础信息!K36*(1+求节点(门客进修!$C$23:$C$25,门客进修!F$23:F$25,基础信息!P36))</f>
        <v>10.5</v>
      </c>
      <c r="J31" s="69">
        <f>基础信息!$G36*基础信息!L36*(1+求节点(门客进修!$C$23:$C$25,门客进修!G$23:G$25,基础信息!Q36))</f>
        <v>3.5</v>
      </c>
      <c r="K31" s="69">
        <f>基础信息!$G36*基础信息!M36*(1+求节点(门客进修!$C$23:$C$25,门客进修!H$23:H$25,基础信息!R36))</f>
        <v>0</v>
      </c>
      <c r="L31" s="103">
        <f>寻访!AD31+基础投放!N31+基础投放!AL31+付费投放!T31+寻访!AM31</f>
        <v>57.137136350213709</v>
      </c>
      <c r="M31" s="103">
        <f>寻访!AE31+基础投放!O31+基础投放!AM31+付费投放!U31+寻访!AN31</f>
        <v>27.311928848485088</v>
      </c>
      <c r="N31" s="103">
        <f>寻访!AF31+基础投放!P31+基础投放!AN31+付费投放!V31+寻访!AO31</f>
        <v>13.364168688633942</v>
      </c>
      <c r="O31" s="103">
        <f>寻访!AG31+基础投放!Q31+基础投放!AO31+付费投放!W31+寻访!AP31</f>
        <v>3.423277328065375</v>
      </c>
      <c r="P31" s="103">
        <f>寻访!AH31+基础投放!R31+基础投放!AP31+付费投放!X31+寻访!AQ31</f>
        <v>0.14971885206552943</v>
      </c>
      <c r="Q31" s="83">
        <f t="shared" si="25"/>
        <v>0</v>
      </c>
      <c r="R31" s="83">
        <f t="shared" si="17"/>
        <v>0</v>
      </c>
      <c r="S31" s="83">
        <f t="shared" si="18"/>
        <v>1.2727779703460897</v>
      </c>
      <c r="T31" s="83">
        <f t="shared" si="19"/>
        <v>0.97807923659010709</v>
      </c>
      <c r="U31" s="83">
        <f t="shared" si="20"/>
        <v>0</v>
      </c>
      <c r="V31" s="99">
        <f t="shared" si="26"/>
        <v>57.137136350213709</v>
      </c>
      <c r="W31" s="99">
        <f t="shared" si="21"/>
        <v>27.311928848485088</v>
      </c>
      <c r="X31" s="99">
        <f t="shared" si="22"/>
        <v>2.8641686886339421</v>
      </c>
      <c r="Y31" s="99">
        <f t="shared" si="23"/>
        <v>0</v>
      </c>
      <c r="Z31" s="99">
        <f t="shared" si="24"/>
        <v>0</v>
      </c>
      <c r="AB31" s="83">
        <f>寻访!AG31/$O31</f>
        <v>6.5431934714015622E-2</v>
      </c>
      <c r="AC31" s="83">
        <f>基础投放!Q31/$O31</f>
        <v>0</v>
      </c>
      <c r="AD31" s="83">
        <f>基础投放!AO31/$O31</f>
        <v>0</v>
      </c>
      <c r="AE31" s="83">
        <f>付费投放!W31/$O31</f>
        <v>0.93456806528598435</v>
      </c>
      <c r="AF31" s="83">
        <f>IFERROR(寻访!AH31/$P31,0)</f>
        <v>0</v>
      </c>
      <c r="AG31" s="83">
        <f>IFERROR(基础投放!R31/$P31,0)</f>
        <v>0</v>
      </c>
      <c r="AH31" s="83">
        <f>IFERROR(基础投放!AP31/$P31,0)</f>
        <v>0</v>
      </c>
      <c r="AI31" s="83">
        <f>IFERROR(付费投放!X31/$P31,0)</f>
        <v>1</v>
      </c>
    </row>
    <row r="32" spans="3:35" x14ac:dyDescent="0.15">
      <c r="C32" s="70">
        <v>8</v>
      </c>
      <c r="D32" s="60">
        <f>基础信息!D37</f>
        <v>43.5</v>
      </c>
      <c r="E32" s="61">
        <f>基础信息!E37</f>
        <v>180.54643493461919</v>
      </c>
      <c r="F32" s="61">
        <f>基础信息!F37</f>
        <v>77.110082613456697</v>
      </c>
      <c r="G32" s="69">
        <f>基础信息!$G37*基础信息!I37*(1+求节点(门客进修!$C$23:$C$25,门客进修!D$23:D$25,基础信息!N37))</f>
        <v>0</v>
      </c>
      <c r="H32" s="69">
        <f>基础信息!$G37*基础信息!J37*(1+求节点(门客进修!$C$23:$C$25,门客进修!E$23:E$25,基础信息!O37))</f>
        <v>0</v>
      </c>
      <c r="I32" s="69">
        <f>基础信息!$G37*基础信息!K37*(1+求节点(门客进修!$C$23:$C$25,门客进修!F$23:F$25,基础信息!P37))</f>
        <v>6</v>
      </c>
      <c r="J32" s="69">
        <f>基础信息!$G37*基础信息!L37*(1+求节点(门客进修!$C$23:$C$25,门客进修!G$23:G$25,基础信息!Q37))</f>
        <v>6</v>
      </c>
      <c r="K32" s="69">
        <f>基础信息!$G37*基础信息!M37*(1+求节点(门客进修!$C$23:$C$25,门客进修!H$23:H$25,基础信息!R37))</f>
        <v>0</v>
      </c>
      <c r="L32" s="103">
        <f>寻访!AD32+基础投放!N32+基础投放!AL32+付费投放!T32+寻访!AM32</f>
        <v>93.519347693315936</v>
      </c>
      <c r="M32" s="103">
        <f>寻访!AE32+基础投放!O32+基础投放!AM32+付费投放!U32+寻访!AN32</f>
        <v>58.630438301070278</v>
      </c>
      <c r="N32" s="103">
        <f>寻访!AF32+基础投放!P32+基础投放!AN32+付费投放!V32+寻访!AO32</f>
        <v>32.01652035659135</v>
      </c>
      <c r="O32" s="103">
        <f>寻访!AG32+基础投放!Q32+基础投放!AO32+付费投放!W32+寻访!AP32</f>
        <v>5.7889748811970172</v>
      </c>
      <c r="P32" s="103">
        <f>寻访!AH32+基础投放!R32+基础投放!AP32+付费投放!X32+寻访!AQ32</f>
        <v>0.37217656174115366</v>
      </c>
      <c r="Q32" s="83">
        <f t="shared" si="25"/>
        <v>0</v>
      </c>
      <c r="R32" s="83">
        <f t="shared" si="17"/>
        <v>0</v>
      </c>
      <c r="S32" s="83">
        <f t="shared" si="18"/>
        <v>5.3360867260985581</v>
      </c>
      <c r="T32" s="83">
        <f t="shared" si="19"/>
        <v>0.9648291468661695</v>
      </c>
      <c r="U32" s="83">
        <f t="shared" si="20"/>
        <v>0</v>
      </c>
      <c r="V32" s="99">
        <f t="shared" si="26"/>
        <v>93.519347693315936</v>
      </c>
      <c r="W32" s="99">
        <f t="shared" si="21"/>
        <v>58.630438301070278</v>
      </c>
      <c r="X32" s="99">
        <f t="shared" si="22"/>
        <v>26.01652035659135</v>
      </c>
      <c r="Y32" s="99">
        <f t="shared" si="23"/>
        <v>0</v>
      </c>
      <c r="Z32" s="99">
        <f t="shared" si="24"/>
        <v>0</v>
      </c>
      <c r="AB32" s="83">
        <f>寻访!AG32/$O32</f>
        <v>0.17835372673559138</v>
      </c>
      <c r="AC32" s="83">
        <f>基础投放!Q32/$O32</f>
        <v>0</v>
      </c>
      <c r="AD32" s="83">
        <f>基础投放!AO32/$O32</f>
        <v>0</v>
      </c>
      <c r="AE32" s="83">
        <f>付费投放!W32/$O32</f>
        <v>0.82164627326440853</v>
      </c>
      <c r="AF32" s="83">
        <f>IFERROR(寻访!AH32/$P32,0)</f>
        <v>0</v>
      </c>
      <c r="AG32" s="83">
        <f>IFERROR(基础投放!R32/$P32,0)</f>
        <v>0</v>
      </c>
      <c r="AH32" s="83">
        <f>IFERROR(基础投放!AP32/$P32,0)</f>
        <v>0</v>
      </c>
      <c r="AI32" s="83">
        <f>IFERROR(付费投放!X32/$P32,0)</f>
        <v>1</v>
      </c>
    </row>
    <row r="33" spans="3:35" x14ac:dyDescent="0.15">
      <c r="C33" s="70">
        <v>9</v>
      </c>
      <c r="D33" s="60">
        <f>基础信息!D38</f>
        <v>47.5</v>
      </c>
      <c r="E33" s="61">
        <f>基础信息!E38</f>
        <v>326.26831861477285</v>
      </c>
      <c r="F33" s="61">
        <f>基础信息!F38</f>
        <v>85.652928267499789</v>
      </c>
      <c r="G33" s="69">
        <f>基础信息!$G38*基础信息!I38*(1+求节点(门客进修!$C$23:$C$25,门客进修!D$23:D$25,基础信息!N38))</f>
        <v>0</v>
      </c>
      <c r="H33" s="69">
        <f>基础信息!$G38*基础信息!J38*(1+求节点(门客进修!$C$23:$C$25,门客进修!E$23:E$25,基础信息!O38))</f>
        <v>0</v>
      </c>
      <c r="I33" s="69">
        <f>基础信息!$G38*基础信息!K38*(1+求节点(门客进修!$C$23:$C$25,门客进修!F$23:F$25,基础信息!P38))</f>
        <v>0</v>
      </c>
      <c r="J33" s="69">
        <f>基础信息!$G38*基础信息!L38*(1+求节点(门客进修!$C$23:$C$25,门客进修!G$23:G$25,基础信息!Q38))</f>
        <v>9</v>
      </c>
      <c r="K33" s="69">
        <f>基础信息!$G38*基础信息!M38*(1+求节点(门客进修!$C$23:$C$25,门客进修!H$23:H$25,基础信息!R38))</f>
        <v>0</v>
      </c>
      <c r="L33" s="103">
        <f>寻访!AD33+基础投放!N33+基础投放!AL33+付费投放!T33+寻访!AM33</f>
        <v>151.80810116537742</v>
      </c>
      <c r="M33" s="103">
        <f>寻访!AE33+基础投放!O33+基础投放!AM33+付费投放!U33+寻访!AN33</f>
        <v>114.2761446811279</v>
      </c>
      <c r="N33" s="103">
        <f>寻访!AF33+基础投放!P33+基础投放!AN33+付费投放!V33+寻访!AO33</f>
        <v>71.983617308796084</v>
      </c>
      <c r="O33" s="103">
        <f>寻访!AG33+基础投放!Q33+基础投放!AO33+付费投放!W33+寻访!AP33</f>
        <v>10.5723325848491</v>
      </c>
      <c r="P33" s="103">
        <f>寻访!AH33+基础投放!R33+基础投放!AP33+付费投放!X33+寻访!AQ33</f>
        <v>0.74325219723397917</v>
      </c>
      <c r="Q33" s="83">
        <f t="shared" si="25"/>
        <v>0</v>
      </c>
      <c r="R33" s="83">
        <f t="shared" si="17"/>
        <v>0</v>
      </c>
      <c r="S33" s="83">
        <f t="shared" si="18"/>
        <v>0</v>
      </c>
      <c r="T33" s="83">
        <f t="shared" si="19"/>
        <v>1.1747036205387889</v>
      </c>
      <c r="U33" s="83">
        <f t="shared" si="20"/>
        <v>0</v>
      </c>
      <c r="V33" s="99">
        <f t="shared" si="26"/>
        <v>151.80810116537742</v>
      </c>
      <c r="W33" s="99">
        <f t="shared" si="21"/>
        <v>114.2761446811279</v>
      </c>
      <c r="X33" s="99">
        <f t="shared" si="22"/>
        <v>71.983617308796084</v>
      </c>
      <c r="Y33" s="99">
        <f t="shared" si="23"/>
        <v>1.5723325848491001</v>
      </c>
      <c r="Z33" s="99">
        <f t="shared" si="24"/>
        <v>0</v>
      </c>
      <c r="AB33" s="83">
        <f>寻访!AG33/$O33</f>
        <v>0.30440902926706931</v>
      </c>
      <c r="AC33" s="83">
        <f>基础投放!Q33/$O33</f>
        <v>0</v>
      </c>
      <c r="AD33" s="83">
        <f>基础投放!AO33/$O33</f>
        <v>0</v>
      </c>
      <c r="AE33" s="83">
        <f>付费投放!W33/$O33</f>
        <v>0.69559097073293075</v>
      </c>
      <c r="AF33" s="83">
        <f>IFERROR(寻访!AH33/$P33,0)</f>
        <v>0</v>
      </c>
      <c r="AG33" s="83">
        <f>IFERROR(基础投放!R33/$P33,0)</f>
        <v>0</v>
      </c>
      <c r="AH33" s="83">
        <f>IFERROR(基础投放!AP33/$P33,0)</f>
        <v>0</v>
      </c>
      <c r="AI33" s="83">
        <f>IFERROR(付费投放!X33/$P33,0)</f>
        <v>1</v>
      </c>
    </row>
    <row r="34" spans="3:35" x14ac:dyDescent="0.15">
      <c r="C34" s="70">
        <v>10</v>
      </c>
      <c r="D34" s="60">
        <f>基础信息!D39</f>
        <v>52</v>
      </c>
      <c r="E34" s="61">
        <f>基础信息!E39</f>
        <v>631.88241509551563</v>
      </c>
      <c r="F34" s="61">
        <f>基础信息!F39</f>
        <v>95.320056465518832</v>
      </c>
      <c r="G34" s="69">
        <f>基础信息!$G39*基础信息!I39*(1+求节点(门客进修!$C$23:$C$25,门客进修!D$23:D$25,基础信息!N39))</f>
        <v>0</v>
      </c>
      <c r="H34" s="69">
        <f>基础信息!$G39*基础信息!J39*(1+求节点(门客进修!$C$23:$C$25,门客进修!E$23:E$25,基础信息!O39))</f>
        <v>0</v>
      </c>
      <c r="I34" s="69">
        <f>基础信息!$G39*基础信息!K39*(1+求节点(门客进修!$C$23:$C$25,门客进修!F$23:F$25,基础信息!P39))</f>
        <v>0</v>
      </c>
      <c r="J34" s="69">
        <f>基础信息!$G39*基础信息!L39*(1+求节点(门客进修!$C$23:$C$25,门客进修!G$23:G$25,基础信息!Q39))</f>
        <v>16</v>
      </c>
      <c r="K34" s="69">
        <f>基础信息!$G39*基础信息!M39*(1+求节点(门客进修!$C$23:$C$25,门客进修!H$23:H$25,基础信息!R39))</f>
        <v>2</v>
      </c>
      <c r="L34" s="103">
        <f>寻访!AD34+基础投放!N34+基础投放!AL34+付费投放!T34+寻访!AM34</f>
        <v>258.7730349336374</v>
      </c>
      <c r="M34" s="103">
        <f>寻访!AE34+基础投放!O34+基础投放!AM34+付费投放!U34+寻访!AN34</f>
        <v>229.88143086140644</v>
      </c>
      <c r="N34" s="103">
        <f>寻访!AF34+基础投放!P34+基础投放!AN34+付费投放!V34+寻访!AO34</f>
        <v>169.24813138061296</v>
      </c>
      <c r="O34" s="103">
        <f>寻访!AG34+基础投放!Q34+基础投放!AO34+付费投放!W34+寻访!AP34</f>
        <v>21.814323261019375</v>
      </c>
      <c r="P34" s="103">
        <f>寻访!AH34+基础投放!R34+基础投放!AP34+付费投放!X34+寻访!AQ34</f>
        <v>1.4760677324561817</v>
      </c>
      <c r="Q34" s="83">
        <f t="shared" si="25"/>
        <v>0</v>
      </c>
      <c r="R34" s="83">
        <f t="shared" si="17"/>
        <v>0</v>
      </c>
      <c r="S34" s="83">
        <f t="shared" si="18"/>
        <v>0</v>
      </c>
      <c r="T34" s="83">
        <f t="shared" si="19"/>
        <v>1.3633952038137109</v>
      </c>
      <c r="U34" s="83">
        <f t="shared" si="20"/>
        <v>0.73803386622809086</v>
      </c>
      <c r="V34" s="99">
        <f t="shared" si="26"/>
        <v>258.7730349336374</v>
      </c>
      <c r="W34" s="99">
        <f t="shared" si="21"/>
        <v>229.88143086140644</v>
      </c>
      <c r="X34" s="99">
        <f t="shared" si="22"/>
        <v>169.24813138061296</v>
      </c>
      <c r="Y34" s="99">
        <f t="shared" si="23"/>
        <v>5.8143232610193749</v>
      </c>
      <c r="Z34" s="99">
        <f t="shared" si="24"/>
        <v>0</v>
      </c>
      <c r="AB34" s="83">
        <f>寻访!AG34/$O34</f>
        <v>0.42772793440401974</v>
      </c>
      <c r="AC34" s="83">
        <f>基础投放!Q34/$O34</f>
        <v>0</v>
      </c>
      <c r="AD34" s="83">
        <f>基础投放!AO34/$O34</f>
        <v>0</v>
      </c>
      <c r="AE34" s="83">
        <f>付费投放!W34/$O34</f>
        <v>0.57227206559598032</v>
      </c>
      <c r="AF34" s="83">
        <f>IFERROR(寻访!AH34/$P34,0)</f>
        <v>0</v>
      </c>
      <c r="AG34" s="83">
        <f>IFERROR(基础投放!R34/$P34,0)</f>
        <v>0</v>
      </c>
      <c r="AH34" s="83">
        <f>IFERROR(基础投放!AP34/$P34,0)</f>
        <v>0</v>
      </c>
      <c r="AI34" s="83">
        <f>IFERROR(付费投放!X34/$P34,0)</f>
        <v>1</v>
      </c>
    </row>
    <row r="35" spans="3:35" x14ac:dyDescent="0.15">
      <c r="C35" s="70">
        <v>11</v>
      </c>
      <c r="D35" s="60">
        <f>基础信息!D40</f>
        <v>57</v>
      </c>
      <c r="E35" s="61">
        <f>基础信息!E40</f>
        <v>1318.2598742162893</v>
      </c>
      <c r="F35" s="61">
        <f>基础信息!F40</f>
        <v>105.93060744042049</v>
      </c>
      <c r="G35" s="69">
        <f>基础信息!$G40*基础信息!I40*(1+求节点(门客进修!$C$23:$C$25,门客进修!D$23:D$25,基础信息!N40))</f>
        <v>0</v>
      </c>
      <c r="H35" s="69">
        <f>基础信息!$G40*基础信息!J40*(1+求节点(门客进修!$C$23:$C$25,门客进修!E$23:E$25,基础信息!O40))</f>
        <v>0</v>
      </c>
      <c r="I35" s="69">
        <f>基础信息!$G40*基础信息!K40*(1+求节点(门客进修!$C$23:$C$25,门客进修!F$23:F$25,基础信息!P40))</f>
        <v>0</v>
      </c>
      <c r="J35" s="69">
        <f>基础信息!$G40*基础信息!L40*(1+求节点(门客进修!$C$23:$C$25,门客进修!G$23:G$25,基础信息!Q40))</f>
        <v>19.799999999999997</v>
      </c>
      <c r="K35" s="69">
        <f>基础信息!$G40*基础信息!M40*(1+求节点(门客进修!$C$23:$C$25,门客进修!H$23:H$25,基础信息!R40))</f>
        <v>4.4000000000000004</v>
      </c>
      <c r="L35" s="103">
        <f>寻访!AD35+基础投放!N35+基础投放!AL35+付费投放!T35+寻访!AM35</f>
        <v>461.94076283338643</v>
      </c>
      <c r="M35" s="103">
        <f>寻访!AE35+基础投放!O35+基础投放!AM35+付费投放!U35+寻访!AN35</f>
        <v>486.21384565433431</v>
      </c>
      <c r="N35" s="103">
        <f>寻访!AF35+基础投放!P35+基础投放!AN35+付费投放!V35+寻访!AO35</f>
        <v>420.60942756109336</v>
      </c>
      <c r="O35" s="103">
        <f>寻访!AG35+基础投放!Q35+基础投放!AO35+付费投放!W35+寻访!AP35</f>
        <v>51.934792499257661</v>
      </c>
      <c r="P35" s="103">
        <f>寻访!AH35+基础投放!R35+基础投放!AP35+付费投放!X35+寻访!AQ35</f>
        <v>3.1021198187763481</v>
      </c>
      <c r="Q35" s="83">
        <f t="shared" si="25"/>
        <v>0</v>
      </c>
      <c r="R35" s="83">
        <f t="shared" si="17"/>
        <v>0</v>
      </c>
      <c r="S35" s="83">
        <f t="shared" si="18"/>
        <v>0</v>
      </c>
      <c r="T35" s="83">
        <f t="shared" si="19"/>
        <v>2.6229693181443268</v>
      </c>
      <c r="U35" s="83">
        <f t="shared" si="20"/>
        <v>0.70502723154007907</v>
      </c>
      <c r="V35" s="99">
        <f t="shared" si="26"/>
        <v>461.94076283338643</v>
      </c>
      <c r="W35" s="99">
        <f t="shared" si="21"/>
        <v>486.21384565433431</v>
      </c>
      <c r="X35" s="99">
        <f t="shared" si="22"/>
        <v>420.60942756109336</v>
      </c>
      <c r="Y35" s="99">
        <f t="shared" si="23"/>
        <v>32.134792499257664</v>
      </c>
      <c r="Z35" s="99">
        <f t="shared" si="24"/>
        <v>0</v>
      </c>
      <c r="AB35" s="83">
        <f>寻访!AG35/$O35</f>
        <v>0.54971172330470197</v>
      </c>
      <c r="AC35" s="83">
        <f>基础投放!Q35/$O35</f>
        <v>0</v>
      </c>
      <c r="AD35" s="83">
        <f>基础投放!AO35/$O35</f>
        <v>0</v>
      </c>
      <c r="AE35" s="83">
        <f>付费投放!W35/$O35</f>
        <v>0.45028827669529797</v>
      </c>
      <c r="AF35" s="83">
        <f>IFERROR(寻访!AH35/$P35,0)</f>
        <v>2.2126078269649813E-2</v>
      </c>
      <c r="AG35" s="83">
        <f>IFERROR(基础投放!R35/$P35,0)</f>
        <v>0</v>
      </c>
      <c r="AH35" s="83">
        <f>IFERROR(基础投放!AP35/$P35,0)</f>
        <v>0</v>
      </c>
      <c r="AI35" s="83">
        <f>IFERROR(付费投放!X35/$P35,0)</f>
        <v>0.97787392173035026</v>
      </c>
    </row>
    <row r="36" spans="3:35" x14ac:dyDescent="0.15">
      <c r="C36" s="70">
        <v>12</v>
      </c>
      <c r="D36" s="60">
        <f>基础信息!D41</f>
        <v>62</v>
      </c>
      <c r="E36" s="61">
        <f>基础信息!E41</f>
        <v>2745.081836483092</v>
      </c>
      <c r="F36" s="61">
        <f>基础信息!F41</f>
        <v>116.57008716694446</v>
      </c>
      <c r="G36" s="69">
        <f>基础信息!$G41*基础信息!I41*(1+求节点(门客进修!$C$23:$C$25,门客进修!D$23:D$25,基础信息!N41))</f>
        <v>0</v>
      </c>
      <c r="H36" s="69">
        <f>基础信息!$G41*基础信息!J41*(1+求节点(门客进修!$C$23:$C$25,门客进修!E$23:E$25,基础信息!O41))</f>
        <v>0</v>
      </c>
      <c r="I36" s="69">
        <f>基础信息!$G41*基础信息!K41*(1+求节点(门客进修!$C$23:$C$25,门客进修!F$23:F$25,基础信息!P41))</f>
        <v>0</v>
      </c>
      <c r="J36" s="69">
        <f>基础信息!$G41*基础信息!L41*(1+求节点(门客进修!$C$23:$C$25,门客进修!G$23:G$25,基础信息!Q41))</f>
        <v>24.000000000000004</v>
      </c>
      <c r="K36" s="69">
        <f>基础信息!$G41*基础信息!M41*(1+求节点(门客进修!$C$23:$C$25,门客进修!H$23:H$25,基础信息!R41))</f>
        <v>7.1999999999999993</v>
      </c>
      <c r="L36" s="103">
        <f>寻访!AD36+基础投放!N36+基础投放!AL36+付费投放!T36+寻访!AM36</f>
        <v>850.0363365699568</v>
      </c>
      <c r="M36" s="103">
        <f>寻访!AE36+基础投放!O36+基础投放!AM36+付费投放!U36+寻访!AN36</f>
        <v>1035.1134791647867</v>
      </c>
      <c r="N36" s="103">
        <f>寻访!AF36+基础投放!P36+基础投放!AN36+付费投放!V36+寻访!AO36</f>
        <v>947.74009372781336</v>
      </c>
      <c r="O36" s="103">
        <f>寻访!AG36+基础投放!Q36+基础投放!AO36+付费投放!W36+寻访!AP36</f>
        <v>124.98729596324675</v>
      </c>
      <c r="P36" s="103">
        <f>寻访!AH36+基础投放!R36+基础投放!AP36+付费投放!X36+寻访!AQ36</f>
        <v>6.4856146144274502</v>
      </c>
      <c r="Q36" s="83">
        <f t="shared" si="25"/>
        <v>0</v>
      </c>
      <c r="R36" s="83">
        <f t="shared" si="17"/>
        <v>0</v>
      </c>
      <c r="S36" s="83">
        <f t="shared" si="18"/>
        <v>0</v>
      </c>
      <c r="T36" s="83">
        <f t="shared" si="19"/>
        <v>5.2078039984686137</v>
      </c>
      <c r="U36" s="83">
        <f t="shared" si="20"/>
        <v>0.90077980755936815</v>
      </c>
      <c r="V36" s="99">
        <f t="shared" si="26"/>
        <v>850.0363365699568</v>
      </c>
      <c r="W36" s="99">
        <f t="shared" si="21"/>
        <v>1035.1134791647867</v>
      </c>
      <c r="X36" s="99">
        <f t="shared" si="22"/>
        <v>947.74009372781336</v>
      </c>
      <c r="Y36" s="99">
        <f t="shared" si="23"/>
        <v>100.98729596324675</v>
      </c>
      <c r="Z36" s="99">
        <f t="shared" si="24"/>
        <v>0</v>
      </c>
      <c r="AB36" s="83">
        <f>寻访!AG36/$O36</f>
        <v>0.6393830213699746</v>
      </c>
      <c r="AC36" s="83">
        <f>基础投放!Q36/$O36</f>
        <v>0</v>
      </c>
      <c r="AD36" s="83">
        <f>基础投放!AO36/$O36</f>
        <v>0</v>
      </c>
      <c r="AE36" s="83">
        <f>付费投放!W36/$O36</f>
        <v>0.3606169786300254</v>
      </c>
      <c r="AF36" s="83">
        <f>IFERROR(寻访!AH36/$P36,0)</f>
        <v>5.4582666317845842E-2</v>
      </c>
      <c r="AG36" s="83">
        <f>IFERROR(基础投放!R36/$P36,0)</f>
        <v>0</v>
      </c>
      <c r="AH36" s="83">
        <f>IFERROR(基础投放!AP36/$P36,0)</f>
        <v>0</v>
      </c>
      <c r="AI36" s="83">
        <f>IFERROR(付费投放!X36/$P36,0)</f>
        <v>0.94541733368215419</v>
      </c>
    </row>
    <row r="37" spans="3:35" x14ac:dyDescent="0.15">
      <c r="C37" s="70">
        <v>13</v>
      </c>
      <c r="D37" s="60">
        <f>基础信息!D42</f>
        <v>67</v>
      </c>
      <c r="E37" s="61">
        <f>基础信息!E42</f>
        <v>5706.8398490672153</v>
      </c>
      <c r="F37" s="61">
        <f>基础信息!F42</f>
        <v>127.12838978012395</v>
      </c>
      <c r="G37" s="69">
        <f>基础信息!$G42*基础信息!I42*(1+求节点(门客进修!$C$23:$C$25,门客进修!D$23:D$25,基础信息!N42))</f>
        <v>0</v>
      </c>
      <c r="H37" s="69">
        <f>基础信息!$G42*基础信息!J42*(1+求节点(门客进修!$C$23:$C$25,门客进修!E$23:E$25,基础信息!O42))</f>
        <v>0</v>
      </c>
      <c r="I37" s="69">
        <f>基础信息!$G42*基础信息!K42*(1+求节点(门客进修!$C$23:$C$25,门客进修!F$23:F$25,基础信息!P42))</f>
        <v>0</v>
      </c>
      <c r="J37" s="69">
        <f>基础信息!$G42*基础信息!L42*(1+求节点(门客进修!$C$23:$C$25,门客进修!G$23:G$25,基础信息!Q42))</f>
        <v>18.2</v>
      </c>
      <c r="K37" s="69">
        <f>基础信息!$G42*基础信息!M42*(1+求节点(门客进修!$C$23:$C$25,门客进修!H$23:H$25,基础信息!R42))</f>
        <v>10.4</v>
      </c>
      <c r="L37" s="103">
        <f>寻访!AD37+基础投放!N37+基础投放!AL37+付费投放!T37+寻访!AM37</f>
        <v>1643.7874839425019</v>
      </c>
      <c r="M37" s="103">
        <f>寻访!AE37+基础投放!O37+基础投放!AM37+付费投放!U37+寻访!AN37</f>
        <v>2163.5432819593379</v>
      </c>
      <c r="N37" s="103">
        <f>寻访!AF37+基础投放!P37+基础投放!AN37+付费投放!V37+寻访!AO37</f>
        <v>2053.014507038733</v>
      </c>
      <c r="O37" s="103">
        <f>寻访!AG37+基础投放!Q37+基础投放!AO37+付费投放!W37+寻访!AP37</f>
        <v>284.03309376912443</v>
      </c>
      <c r="P37" s="103">
        <f>寻访!AH37+基础投放!R37+基础投放!AP37+付费投放!X37+寻访!AQ37</f>
        <v>13.593747063216524</v>
      </c>
      <c r="Q37" s="83">
        <f t="shared" si="25"/>
        <v>0</v>
      </c>
      <c r="R37" s="83">
        <f t="shared" si="17"/>
        <v>0</v>
      </c>
      <c r="S37" s="83">
        <f t="shared" si="18"/>
        <v>0</v>
      </c>
      <c r="T37" s="83">
        <f t="shared" si="19"/>
        <v>15.606213943358487</v>
      </c>
      <c r="U37" s="83">
        <f t="shared" si="20"/>
        <v>1.3070910637708195</v>
      </c>
      <c r="V37" s="99">
        <f t="shared" si="26"/>
        <v>1643.7874839425019</v>
      </c>
      <c r="W37" s="99">
        <f t="shared" si="21"/>
        <v>2163.5432819593379</v>
      </c>
      <c r="X37" s="99">
        <f t="shared" si="22"/>
        <v>2053.014507038733</v>
      </c>
      <c r="Y37" s="99">
        <f t="shared" si="23"/>
        <v>265.83309376912445</v>
      </c>
      <c r="Z37" s="99">
        <f t="shared" si="24"/>
        <v>3.1937470632165237</v>
      </c>
      <c r="AB37" s="83">
        <f>寻访!AG37/$O37</f>
        <v>0.68803009826550043</v>
      </c>
      <c r="AC37" s="83">
        <f>基础投放!Q37/$O37</f>
        <v>0</v>
      </c>
      <c r="AD37" s="83">
        <f>基础投放!AO37/$O37</f>
        <v>0</v>
      </c>
      <c r="AE37" s="83">
        <f>付费投放!W37/$O37</f>
        <v>0.31196990173449962</v>
      </c>
      <c r="AF37" s="83">
        <f>IFERROR(寻访!AH37/$P37,0)</f>
        <v>9.1404491812478228E-2</v>
      </c>
      <c r="AG37" s="83">
        <f>IFERROR(基础投放!R37/$P37,0)</f>
        <v>0</v>
      </c>
      <c r="AH37" s="83">
        <f>IFERROR(基础投放!AP37/$P37,0)</f>
        <v>0</v>
      </c>
      <c r="AI37" s="83">
        <f>IFERROR(付费投放!X37/$P37,0)</f>
        <v>0.90859550818752177</v>
      </c>
    </row>
    <row r="38" spans="3:35" x14ac:dyDescent="0.15">
      <c r="C38" s="70">
        <v>14</v>
      </c>
      <c r="D38" s="60">
        <f>基础信息!D43</f>
        <v>72</v>
      </c>
      <c r="E38" s="61">
        <f>基础信息!E43</f>
        <v>11846.564050336494</v>
      </c>
      <c r="F38" s="61">
        <f>基础信息!F43</f>
        <v>137.70627422196659</v>
      </c>
      <c r="G38" s="69">
        <f>基础信息!$G43*基础信息!I43*(1+求节点(门客进修!$C$23:$C$25,门客进修!D$23:D$25,基础信息!N43))</f>
        <v>0</v>
      </c>
      <c r="H38" s="69">
        <f>基础信息!$G43*基础信息!J43*(1+求节点(门客进修!$C$23:$C$25,门客进修!E$23:E$25,基础信息!O43))</f>
        <v>0</v>
      </c>
      <c r="I38" s="69">
        <f>基础信息!$G43*基础信息!K43*(1+求节点(门客进修!$C$23:$C$25,门客进修!F$23:F$25,基础信息!P43))</f>
        <v>0</v>
      </c>
      <c r="J38" s="69">
        <f>基础信息!$G43*基础信息!L43*(1+求节点(门客进修!$C$23:$C$25,门客进修!G$23:G$25,基础信息!Q43))</f>
        <v>0</v>
      </c>
      <c r="K38" s="69">
        <f>基础信息!$G43*基础信息!M43*(1+求节点(门客进修!$C$23:$C$25,门客进修!H$23:H$25,基础信息!R43))</f>
        <v>14</v>
      </c>
      <c r="L38" s="103">
        <f>寻访!AD38+基础投放!N38+基础投放!AL38+付费投放!T38+寻访!AM38</f>
        <v>3264.6746730775913</v>
      </c>
      <c r="M38" s="103">
        <f>寻访!AE38+基础投放!O38+基础投放!AM38+付费投放!U38+寻访!AN38</f>
        <v>4484.3590300391252</v>
      </c>
      <c r="N38" s="103">
        <f>寻访!AF38+基础投放!P38+基础投放!AN38+付费投放!V38+寻访!AO38</f>
        <v>4364.8018587598899</v>
      </c>
      <c r="O38" s="103">
        <f>寻访!AG38+基础投放!Q38+基础投放!AO38+付费投放!W38+寻访!AP38</f>
        <v>629.8358244529453</v>
      </c>
      <c r="P38" s="103">
        <f>寻访!AH38+基础投放!R38+基础投放!AP38+付费投放!X38+寻访!AQ38</f>
        <v>28.61168163379725</v>
      </c>
      <c r="Q38" s="83">
        <f t="shared" si="25"/>
        <v>0</v>
      </c>
      <c r="R38" s="83">
        <f t="shared" si="17"/>
        <v>0</v>
      </c>
      <c r="S38" s="83">
        <f t="shared" si="18"/>
        <v>0</v>
      </c>
      <c r="T38" s="83">
        <f t="shared" si="19"/>
        <v>0</v>
      </c>
      <c r="U38" s="83">
        <f t="shared" si="20"/>
        <v>2.0436915452712321</v>
      </c>
      <c r="V38" s="99">
        <f t="shared" si="26"/>
        <v>3264.6746730775913</v>
      </c>
      <c r="W38" s="99">
        <f t="shared" si="21"/>
        <v>4484.3590300391252</v>
      </c>
      <c r="X38" s="99">
        <f t="shared" si="22"/>
        <v>4364.8018587598899</v>
      </c>
      <c r="Y38" s="99">
        <f t="shared" si="23"/>
        <v>629.8358244529453</v>
      </c>
      <c r="Z38" s="99">
        <f t="shared" si="24"/>
        <v>14.61168163379725</v>
      </c>
      <c r="AB38" s="83">
        <f>寻访!AG38/$O38</f>
        <v>0.71969823924139098</v>
      </c>
      <c r="AC38" s="83">
        <f>基础投放!Q38/$O38</f>
        <v>0</v>
      </c>
      <c r="AD38" s="83">
        <f>基础投放!AO38/$O38</f>
        <v>0</v>
      </c>
      <c r="AE38" s="83">
        <f>付费投放!W38/$O38</f>
        <v>0.28030176075860902</v>
      </c>
      <c r="AF38" s="83">
        <f>IFERROR(寻访!AH38/$P38,0)</f>
        <v>0.12926256030612571</v>
      </c>
      <c r="AG38" s="83">
        <f>IFERROR(基础投放!R38/$P38,0)</f>
        <v>0</v>
      </c>
      <c r="AH38" s="83">
        <f>IFERROR(基础投放!AP38/$P38,0)</f>
        <v>0</v>
      </c>
      <c r="AI38" s="83">
        <f>IFERROR(付费投放!X38/$P38,0)</f>
        <v>0.87073743969387429</v>
      </c>
    </row>
    <row r="39" spans="3:35" x14ac:dyDescent="0.15">
      <c r="C39" s="70">
        <v>15</v>
      </c>
      <c r="D39" s="60">
        <f>基础信息!D44</f>
        <v>77</v>
      </c>
      <c r="E39" s="61">
        <f>基础信息!E44</f>
        <v>24558.40880507711</v>
      </c>
      <c r="F39" s="61">
        <f>基础信息!F44</f>
        <v>148.27357279823164</v>
      </c>
      <c r="G39" s="69">
        <f>基础信息!$G44*基础信息!I44*(1+求节点(门客进修!$C$23:$C$25,门客进修!D$23:D$25,基础信息!N44))</f>
        <v>0</v>
      </c>
      <c r="H39" s="69">
        <f>基础信息!$G44*基础信息!J44*(1+求节点(门客进修!$C$23:$C$25,门客进修!E$23:E$25,基础信息!O44))</f>
        <v>0</v>
      </c>
      <c r="I39" s="69">
        <f>基础信息!$G44*基础信息!K44*(1+求节点(门客进修!$C$23:$C$25,门客进修!F$23:F$25,基础信息!P44))</f>
        <v>0</v>
      </c>
      <c r="J39" s="69">
        <f>基础信息!$G44*基础信息!L44*(1+求节点(门客进修!$C$23:$C$25,门客进修!G$23:G$25,基础信息!Q44))</f>
        <v>0</v>
      </c>
      <c r="K39" s="69">
        <f>基础信息!$G44*基础信息!M44*(1+求节点(门客进修!$C$23:$C$25,门客进修!H$23:H$25,基础信息!R44))</f>
        <v>30</v>
      </c>
      <c r="L39" s="103">
        <f>寻访!AD39+基础投放!N39+基础投放!AL39+付费投放!T39+寻访!AM39</f>
        <v>6569.7543093101513</v>
      </c>
      <c r="M39" s="103">
        <f>寻访!AE39+基础投放!O39+基础投放!AM39+付费投放!U39+寻访!AN39</f>
        <v>9251.3008130668568</v>
      </c>
      <c r="N39" s="103">
        <f>寻访!AF39+基础投放!P39+基础投放!AN39+付费投放!V39+寻访!AO39</f>
        <v>9196.2414412141916</v>
      </c>
      <c r="O39" s="103">
        <f>寻访!AG39+基础投放!Q39+基础投放!AO39+付费投放!W39+寻访!AP39</f>
        <v>1380.4794542329939</v>
      </c>
      <c r="P39" s="103">
        <f>寻访!AH39+基础投放!R39+基础投放!AP39+付费投放!X39+寻访!AQ39</f>
        <v>60.483406270699106</v>
      </c>
      <c r="Q39" s="83">
        <f t="shared" si="25"/>
        <v>0</v>
      </c>
      <c r="R39" s="83">
        <f t="shared" si="17"/>
        <v>0</v>
      </c>
      <c r="S39" s="83">
        <f t="shared" si="18"/>
        <v>0</v>
      </c>
      <c r="T39" s="83">
        <f t="shared" si="19"/>
        <v>0</v>
      </c>
      <c r="U39" s="83">
        <f t="shared" si="20"/>
        <v>2.0161135423566368</v>
      </c>
      <c r="V39" s="99">
        <f t="shared" si="26"/>
        <v>6569.7543093101513</v>
      </c>
      <c r="W39" s="99">
        <f t="shared" si="21"/>
        <v>9251.3008130668568</v>
      </c>
      <c r="X39" s="99">
        <f t="shared" si="22"/>
        <v>9196.2414412141916</v>
      </c>
      <c r="Y39" s="99">
        <f t="shared" si="23"/>
        <v>1380.4794542329939</v>
      </c>
      <c r="Z39" s="99">
        <f t="shared" si="24"/>
        <v>30.483406270699106</v>
      </c>
      <c r="AB39" s="83">
        <f>寻访!AG39/$O39</f>
        <v>0.74273090026025879</v>
      </c>
      <c r="AC39" s="83">
        <f>基础投放!Q39/$O39</f>
        <v>0</v>
      </c>
      <c r="AD39" s="83">
        <f>基础投放!AO39/$O39</f>
        <v>0</v>
      </c>
      <c r="AE39" s="83">
        <f>付费投放!W39/$O39</f>
        <v>0.25726909973974121</v>
      </c>
      <c r="AF39" s="83">
        <f>IFERROR(寻访!AH39/$P39,0)</f>
        <v>0.1662330582874178</v>
      </c>
      <c r="AG39" s="83">
        <f>IFERROR(基础投放!R39/$P39,0)</f>
        <v>0</v>
      </c>
      <c r="AH39" s="83">
        <f>IFERROR(基础投放!AP39/$P39,0)</f>
        <v>0</v>
      </c>
      <c r="AI39" s="83">
        <f>IFERROR(付费投放!X39/$P39,0)</f>
        <v>0.83376694171258225</v>
      </c>
    </row>
    <row r="40" spans="3:35" x14ac:dyDescent="0.15">
      <c r="C40" s="70">
        <v>16</v>
      </c>
      <c r="D40" s="60">
        <f>基础信息!D45</f>
        <v>80</v>
      </c>
      <c r="E40" s="61">
        <f>基础信息!E45</f>
        <v>38010.300000000003</v>
      </c>
      <c r="F40" s="61">
        <f>基础信息!F45</f>
        <v>154.14666602127767</v>
      </c>
      <c r="G40" s="69">
        <f>基础信息!$G45*基础信息!I45*(1+求节点(门客进修!$C$23:$C$25,门客进修!D$23:D$25,基础信息!N45))</f>
        <v>0</v>
      </c>
      <c r="H40" s="69">
        <f>基础信息!$G45*基础信息!J45*(1+求节点(门客进修!$C$23:$C$25,门客进修!E$23:E$25,基础信息!O45))</f>
        <v>0</v>
      </c>
      <c r="I40" s="69">
        <f>基础信息!$G45*基础信息!K45*(1+求节点(门客进修!$C$23:$C$25,门客进修!F$23:F$25,基础信息!P45))</f>
        <v>0</v>
      </c>
      <c r="J40" s="69">
        <f>基础信息!$G45*基础信息!L45*(1+求节点(门客进修!$C$23:$C$25,门客进修!G$23:G$25,基础信息!Q45))</f>
        <v>0</v>
      </c>
      <c r="K40" s="69">
        <f>基础信息!$G45*基础信息!M45*(1+求节点(门客进修!$C$23:$C$25,门客进修!H$23:H$25,基础信息!R45))</f>
        <v>48</v>
      </c>
      <c r="L40" s="103">
        <f>寻访!AD40+基础投放!N40+基础投放!AL40+付费投放!T40+寻访!AM40</f>
        <v>10067.246019990103</v>
      </c>
      <c r="M40" s="103">
        <f>寻访!AE40+基础投放!O40+基础投放!AM40+付费投放!U40+寻访!AN40</f>
        <v>14295.760011162942</v>
      </c>
      <c r="N40" s="103">
        <f>寻访!AF40+基础投放!P40+基础投放!AN40+付费投放!V40+寻访!AO40</f>
        <v>14306.555248849532</v>
      </c>
      <c r="O40" s="103">
        <f>寻访!AG40+基础投放!Q40+基础投放!AO40+付费投放!W40+寻访!AP40</f>
        <v>2172.4835155866876</v>
      </c>
      <c r="P40" s="103">
        <f>寻访!AH40+基础投放!R40+基础投放!AP40+付费投放!X40+寻访!AQ40</f>
        <v>93.876345808469637</v>
      </c>
      <c r="Q40" s="83">
        <f t="shared" si="25"/>
        <v>0</v>
      </c>
      <c r="R40" s="83">
        <f t="shared" si="17"/>
        <v>0</v>
      </c>
      <c r="S40" s="83">
        <f t="shared" si="18"/>
        <v>0</v>
      </c>
      <c r="T40" s="83">
        <f t="shared" si="19"/>
        <v>0</v>
      </c>
      <c r="U40" s="83">
        <f t="shared" si="20"/>
        <v>1.9557572043431175</v>
      </c>
      <c r="V40" s="105">
        <f t="shared" ref="V40" si="27">MAX(L40-G40,0)</f>
        <v>10067.246019990103</v>
      </c>
      <c r="W40" s="105">
        <f t="shared" ref="W40" si="28">MAX(M40-H40,0)</f>
        <v>14295.760011162942</v>
      </c>
      <c r="X40" s="105">
        <f t="shared" ref="X40" si="29">MAX(N40-I40,0)</f>
        <v>14306.555248849532</v>
      </c>
      <c r="Y40" s="105">
        <f t="shared" ref="Y40" si="30">MAX(O40-J40,0)</f>
        <v>2172.4835155866876</v>
      </c>
      <c r="Z40" s="105">
        <f t="shared" ref="Z40" si="31">MAX(P40-K40,0)</f>
        <v>45.876345808469637</v>
      </c>
      <c r="AB40" s="83">
        <f>寻访!AG40/$O40</f>
        <v>0.75059711151107467</v>
      </c>
      <c r="AC40" s="83">
        <f>基础投放!Q40/$O40</f>
        <v>0</v>
      </c>
      <c r="AD40" s="83">
        <f>基础投放!AO40/$O40</f>
        <v>0</v>
      </c>
      <c r="AE40" s="83">
        <f>付费投放!W40/$O40</f>
        <v>0.24940288848892533</v>
      </c>
      <c r="AF40" s="83">
        <f>IFERROR(寻访!AH40/$P40,0)</f>
        <v>0.17874883233861671</v>
      </c>
      <c r="AG40" s="83">
        <f>IFERROR(基础投放!R40/$P40,0)</f>
        <v>0</v>
      </c>
      <c r="AH40" s="83">
        <f>IFERROR(基础投放!AP40/$P40,0)</f>
        <v>0</v>
      </c>
      <c r="AI40" s="83">
        <f>IFERROR(付费投放!X40/$P40,0)</f>
        <v>0.82125116766138317</v>
      </c>
    </row>
    <row r="41" spans="3:35" x14ac:dyDescent="0.15">
      <c r="C41" s="70"/>
      <c r="D41" s="70"/>
      <c r="E41" s="69"/>
      <c r="F41" s="69"/>
    </row>
    <row r="42" spans="3:35" x14ac:dyDescent="0.15">
      <c r="C42" s="70"/>
      <c r="D42" s="70"/>
      <c r="E42" s="69"/>
      <c r="F42" s="69"/>
    </row>
    <row r="43" spans="3:35" x14ac:dyDescent="0.15">
      <c r="C43" s="70" t="s">
        <v>2</v>
      </c>
      <c r="D43" s="70"/>
      <c r="E43" s="69"/>
      <c r="F43" s="69"/>
      <c r="G43" s="122" t="s">
        <v>195</v>
      </c>
      <c r="H43" s="122"/>
      <c r="I43" s="122"/>
      <c r="J43" s="122"/>
      <c r="K43" s="122"/>
      <c r="L43" s="122" t="s">
        <v>196</v>
      </c>
      <c r="M43" s="122"/>
      <c r="N43" s="122"/>
      <c r="O43" s="122"/>
      <c r="P43" s="122"/>
      <c r="Q43" s="122" t="s">
        <v>198</v>
      </c>
      <c r="R43" s="122"/>
      <c r="S43" s="122"/>
      <c r="T43" s="122"/>
      <c r="U43" s="122"/>
      <c r="V43" s="122" t="s">
        <v>255</v>
      </c>
      <c r="W43" s="122"/>
      <c r="X43" s="122"/>
      <c r="Y43" s="122"/>
      <c r="Z43" s="122"/>
      <c r="AB43" s="127" t="s">
        <v>211</v>
      </c>
      <c r="AC43" s="127"/>
      <c r="AD43" s="127"/>
      <c r="AE43" s="127"/>
      <c r="AF43" s="127" t="s">
        <v>215</v>
      </c>
      <c r="AG43" s="127"/>
      <c r="AH43" s="127"/>
      <c r="AI43" s="127"/>
    </row>
    <row r="44" spans="3:35" x14ac:dyDescent="0.15">
      <c r="C44" s="70" t="s">
        <v>21</v>
      </c>
      <c r="D44" s="70" t="s">
        <v>121</v>
      </c>
      <c r="E44" s="69" t="s">
        <v>122</v>
      </c>
      <c r="F44" s="69" t="s">
        <v>103</v>
      </c>
      <c r="G44" s="69" t="s">
        <v>104</v>
      </c>
      <c r="H44" s="69" t="s">
        <v>105</v>
      </c>
      <c r="I44" s="69" t="s">
        <v>106</v>
      </c>
      <c r="J44" s="69" t="s">
        <v>107</v>
      </c>
      <c r="K44" s="69" t="s">
        <v>108</v>
      </c>
      <c r="L44" s="69" t="s">
        <v>104</v>
      </c>
      <c r="M44" s="69" t="s">
        <v>105</v>
      </c>
      <c r="N44" s="69" t="s">
        <v>106</v>
      </c>
      <c r="O44" s="69" t="s">
        <v>107</v>
      </c>
      <c r="P44" s="69" t="s">
        <v>108</v>
      </c>
      <c r="Q44" s="81" t="s">
        <v>104</v>
      </c>
      <c r="R44" s="81" t="s">
        <v>105</v>
      </c>
      <c r="S44" s="81" t="s">
        <v>106</v>
      </c>
      <c r="T44" s="81" t="s">
        <v>107</v>
      </c>
      <c r="U44" s="81" t="s">
        <v>108</v>
      </c>
      <c r="V44" s="99" t="s">
        <v>104</v>
      </c>
      <c r="W44" s="99" t="s">
        <v>105</v>
      </c>
      <c r="X44" s="99" t="s">
        <v>106</v>
      </c>
      <c r="Y44" s="99" t="s">
        <v>107</v>
      </c>
      <c r="Z44" s="99" t="s">
        <v>108</v>
      </c>
      <c r="AB44" s="83" t="s">
        <v>212</v>
      </c>
      <c r="AC44" s="83" t="s">
        <v>213</v>
      </c>
      <c r="AD44" s="83" t="s">
        <v>214</v>
      </c>
      <c r="AE44" s="83" t="s">
        <v>254</v>
      </c>
      <c r="AF44" s="83" t="s">
        <v>212</v>
      </c>
      <c r="AG44" s="83" t="s">
        <v>213</v>
      </c>
      <c r="AH44" s="83" t="s">
        <v>214</v>
      </c>
      <c r="AI44" s="83" t="s">
        <v>254</v>
      </c>
    </row>
    <row r="45" spans="3:35" x14ac:dyDescent="0.15">
      <c r="C45" s="70">
        <v>1</v>
      </c>
      <c r="D45" s="60">
        <f>基础信息!D50</f>
        <v>16</v>
      </c>
      <c r="E45" s="61">
        <f>基础信息!E50</f>
        <v>1.5232631522355879</v>
      </c>
      <c r="F45" s="61">
        <f>基础信息!F50</f>
        <v>16.55360159735687</v>
      </c>
      <c r="G45" s="69">
        <f>基础信息!$G50*基础信息!I50*(1+求节点(门客进修!$C$23:$C$25,门客进修!D$23:D$25,基础信息!N50))</f>
        <v>0</v>
      </c>
      <c r="H45" s="69">
        <f>基础信息!$G50*基础信息!J50*(1+求节点(门客进修!$C$23:$C$25,门客进修!E$23:E$25,基础信息!O50))</f>
        <v>1</v>
      </c>
      <c r="I45" s="69">
        <f>基础信息!$G50*基础信息!K50*(1+求节点(门客进修!$C$23:$C$25,门客进修!F$23:F$25,基础信息!P50))</f>
        <v>0</v>
      </c>
      <c r="J45" s="69">
        <f>基础信息!$G50*基础信息!L50*(1+求节点(门客进修!$C$23:$C$25,门客进修!G$23:G$25,基础信息!Q50))</f>
        <v>0</v>
      </c>
      <c r="K45" s="69">
        <f>基础信息!$G50*基础信息!M50*(1+求节点(门客进修!$C$23:$C$25,门客进修!H$23:H$25,基础信息!R50))</f>
        <v>0</v>
      </c>
      <c r="L45" s="103">
        <f>寻访!AD45+基础投放!N45+基础投放!AL45+付费投放!T45+寻访!AM45</f>
        <v>1</v>
      </c>
      <c r="M45" s="103">
        <f>寻访!AE45+基础投放!O45+基础投放!AM45+付费投放!U45+寻访!AN45</f>
        <v>0</v>
      </c>
      <c r="N45" s="103">
        <f>寻访!AF45+基础投放!P45+基础投放!AN45+付费投放!V45+寻访!AO45</f>
        <v>0.27419356361501712</v>
      </c>
      <c r="O45" s="103">
        <f>寻访!AG45+基础投放!Q45+基础投放!AO45+付费投放!W45+寻访!AP45</f>
        <v>0.27419356361501712</v>
      </c>
      <c r="P45" s="103">
        <f>寻访!AH45+基础投放!R45+基础投放!AP45+付费投放!X45+寻访!AQ45</f>
        <v>0</v>
      </c>
      <c r="Q45" s="83">
        <f>IFERROR(L45/G45,0)</f>
        <v>0</v>
      </c>
      <c r="R45" s="83">
        <f t="shared" ref="R45:R60" si="32">IFERROR(M45/H45,0)</f>
        <v>0</v>
      </c>
      <c r="S45" s="83">
        <f t="shared" ref="S45:S60" si="33">IFERROR(N45/I45,0)</f>
        <v>0</v>
      </c>
      <c r="T45" s="83">
        <f t="shared" ref="T45:T60" si="34">IFERROR(O45/J45,0)</f>
        <v>0</v>
      </c>
      <c r="U45" s="83">
        <f t="shared" ref="U45:U60" si="35">IFERROR(P45/K45,0)</f>
        <v>0</v>
      </c>
      <c r="V45" s="99">
        <f>IF(V46=0,0,MAX(L45-G45,0))</f>
        <v>1</v>
      </c>
      <c r="W45" s="99">
        <f t="shared" ref="W45:W59" si="36">IF(W46=0,0,MAX(M45-H45,0))</f>
        <v>0</v>
      </c>
      <c r="X45" s="99">
        <f t="shared" ref="X45:X59" si="37">IF(X46=0,0,MAX(N45-I45,0))</f>
        <v>0</v>
      </c>
      <c r="Y45" s="99">
        <f t="shared" ref="Y45:Y59" si="38">IF(Y46=0,0,MAX(O45-J45,0))</f>
        <v>0.27419356361501712</v>
      </c>
      <c r="Z45" s="99">
        <f t="shared" ref="Z45:Z59" si="39">IF(Z46=0,0,MAX(P45-K45,0))</f>
        <v>0</v>
      </c>
      <c r="AB45" s="83">
        <f>寻访!AG45/$O45</f>
        <v>0</v>
      </c>
      <c r="AC45" s="83">
        <f>基础投放!Q45/$O45</f>
        <v>0</v>
      </c>
      <c r="AD45" s="83">
        <f>基础投放!AO45/$O45</f>
        <v>0</v>
      </c>
      <c r="AE45" s="83">
        <f>付费投放!W45/$O45</f>
        <v>1</v>
      </c>
      <c r="AF45" s="83">
        <f>IFERROR(寻访!AH45/$P45,0)</f>
        <v>0</v>
      </c>
      <c r="AG45" s="83">
        <f>IFERROR(基础投放!R45/$P45,0)</f>
        <v>0</v>
      </c>
      <c r="AH45" s="83">
        <f>IFERROR(基础投放!AP45/$P45,0)</f>
        <v>0</v>
      </c>
      <c r="AI45" s="83">
        <f>IFERROR(付费投放!X45/$P45,0)</f>
        <v>0</v>
      </c>
    </row>
    <row r="46" spans="3:35" x14ac:dyDescent="0.15">
      <c r="C46" s="70">
        <v>2</v>
      </c>
      <c r="D46" s="60">
        <f>基础信息!D51</f>
        <v>19.5</v>
      </c>
      <c r="E46" s="61">
        <f>基础信息!E51</f>
        <v>2.8937385192992746</v>
      </c>
      <c r="F46" s="61">
        <f>基础信息!F51</f>
        <v>23.331269805933818</v>
      </c>
      <c r="G46" s="69">
        <f>基础信息!$G51*基础信息!I51*(1+求节点(门客进修!$C$23:$C$25,门客进修!D$23:D$25,基础信息!N51))</f>
        <v>0</v>
      </c>
      <c r="H46" s="69">
        <f>基础信息!$G51*基础信息!J51*(1+求节点(门客进修!$C$23:$C$25,门客进修!E$23:E$25,基础信息!O51))</f>
        <v>3</v>
      </c>
      <c r="I46" s="69">
        <f>基础信息!$G51*基础信息!K51*(1+求节点(门客进修!$C$23:$C$25,门客进修!F$23:F$25,基础信息!P51))</f>
        <v>1</v>
      </c>
      <c r="J46" s="69">
        <f>基础信息!$G51*基础信息!L51*(1+求节点(门客进修!$C$23:$C$25,门客进修!G$23:G$25,基础信息!Q51))</f>
        <v>0</v>
      </c>
      <c r="K46" s="69">
        <f>基础信息!$G51*基础信息!M51*(1+求节点(门客进修!$C$23:$C$25,门客进修!H$23:H$25,基础信息!R51))</f>
        <v>0</v>
      </c>
      <c r="L46" s="103">
        <f>寻访!AD46+基础投放!N46+基础投放!AL46+付费投放!T46+寻访!AM46</f>
        <v>2</v>
      </c>
      <c r="M46" s="103">
        <f>寻访!AE46+基础投放!O46+基础投放!AM46+付费投放!U46+寻访!AN46</f>
        <v>0</v>
      </c>
      <c r="N46" s="103">
        <f>寻访!AF46+基础投放!P46+基础投放!AN46+付费投放!V46+寻访!AO46</f>
        <v>0.43791138529172857</v>
      </c>
      <c r="O46" s="103">
        <f>寻访!AG46+基础投放!Q46+基础投放!AO46+付费投放!W46+寻访!AP46</f>
        <v>0.43791138529172857</v>
      </c>
      <c r="P46" s="103">
        <f>寻访!AH46+基础投放!R46+基础投放!AP46+付费投放!X46+寻访!AQ46</f>
        <v>0</v>
      </c>
      <c r="Q46" s="83">
        <f t="shared" ref="Q46:Q60" si="40">IFERROR(L46/G46,0)</f>
        <v>0</v>
      </c>
      <c r="R46" s="83">
        <f t="shared" si="32"/>
        <v>0</v>
      </c>
      <c r="S46" s="83">
        <f t="shared" si="33"/>
        <v>0.43791138529172857</v>
      </c>
      <c r="T46" s="83">
        <f t="shared" si="34"/>
        <v>0</v>
      </c>
      <c r="U46" s="83">
        <f t="shared" si="35"/>
        <v>0</v>
      </c>
      <c r="V46" s="99">
        <f t="shared" ref="V46:V59" si="41">IF(V47=0,0,MAX(L46-G46,0))</f>
        <v>2</v>
      </c>
      <c r="W46" s="99">
        <f t="shared" si="36"/>
        <v>0</v>
      </c>
      <c r="X46" s="99">
        <f t="shared" si="37"/>
        <v>0</v>
      </c>
      <c r="Y46" s="99">
        <f t="shared" si="38"/>
        <v>0.43791138529172857</v>
      </c>
      <c r="Z46" s="99">
        <f t="shared" si="39"/>
        <v>0</v>
      </c>
      <c r="AB46" s="83">
        <f>寻访!AG46/$O46</f>
        <v>0</v>
      </c>
      <c r="AC46" s="83">
        <f>基础投放!Q46/$O46</f>
        <v>0</v>
      </c>
      <c r="AD46" s="83">
        <f>基础投放!AO46/$O46</f>
        <v>0</v>
      </c>
      <c r="AE46" s="83">
        <f>付费投放!W46/$O46</f>
        <v>1</v>
      </c>
      <c r="AF46" s="83">
        <f>IFERROR(寻访!AH46/$P46,0)</f>
        <v>0</v>
      </c>
      <c r="AG46" s="83">
        <f>IFERROR(基础投放!R46/$P46,0)</f>
        <v>0</v>
      </c>
      <c r="AH46" s="83">
        <f>IFERROR(基础投放!AP46/$P46,0)</f>
        <v>0</v>
      </c>
      <c r="AI46" s="83">
        <f>IFERROR(付费投放!X46/$P46,0)</f>
        <v>0</v>
      </c>
    </row>
    <row r="47" spans="3:35" x14ac:dyDescent="0.15">
      <c r="C47" s="70">
        <v>3</v>
      </c>
      <c r="D47" s="60">
        <f>基础信息!D52</f>
        <v>23.5</v>
      </c>
      <c r="E47" s="61">
        <f>基础信息!E52</f>
        <v>5.793008326295654</v>
      </c>
      <c r="F47" s="61">
        <f>基础信息!F52</f>
        <v>31.744234316265171</v>
      </c>
      <c r="G47" s="69">
        <f>基础信息!$G52*基础信息!I52*(1+求节点(门客进修!$C$23:$C$25,门客进修!D$23:D$25,基础信息!N52))</f>
        <v>0</v>
      </c>
      <c r="H47" s="69">
        <f>基础信息!$G52*基础信息!J52*(1+求节点(门客进修!$C$23:$C$25,门客进修!E$23:E$25,基础信息!O52))</f>
        <v>0</v>
      </c>
      <c r="I47" s="69">
        <f>基础信息!$G52*基础信息!K52*(1+求节点(门客进修!$C$23:$C$25,门客进修!F$23:F$25,基础信息!P52))</f>
        <v>3</v>
      </c>
      <c r="J47" s="69">
        <f>基础信息!$G52*基础信息!L52*(1+求节点(门客进修!$C$23:$C$25,门客进修!G$23:G$25,基础信息!Q52))</f>
        <v>0</v>
      </c>
      <c r="K47" s="69">
        <f>基础信息!$G52*基础信息!M52*(1+求节点(门客进修!$C$23:$C$25,门客进修!H$23:H$25,基础信息!R52))</f>
        <v>0</v>
      </c>
      <c r="L47" s="103">
        <f>寻访!AD47+基础投放!N47+基础投放!AL47+付费投放!T47+寻访!AM47</f>
        <v>3</v>
      </c>
      <c r="M47" s="103">
        <f>寻访!AE47+基础投放!O47+基础投放!AM47+付费投放!U47+寻访!AN47</f>
        <v>0</v>
      </c>
      <c r="N47" s="103">
        <f>寻访!AF47+基础投放!P47+基础投放!AN47+付费投放!V47+寻访!AO47</f>
        <v>0.78425992147264101</v>
      </c>
      <c r="O47" s="103">
        <f>寻访!AG47+基础投放!Q47+基础投放!AO47+付费投放!W47+寻访!AP47</f>
        <v>0.78425992147264101</v>
      </c>
      <c r="P47" s="103">
        <f>寻访!AH47+基础投放!R47+基础投放!AP47+付费投放!X47+寻访!AQ47</f>
        <v>0</v>
      </c>
      <c r="Q47" s="83">
        <f t="shared" si="40"/>
        <v>0</v>
      </c>
      <c r="R47" s="83">
        <f t="shared" si="32"/>
        <v>0</v>
      </c>
      <c r="S47" s="83">
        <f t="shared" si="33"/>
        <v>0.26141997382421367</v>
      </c>
      <c r="T47" s="83">
        <f t="shared" si="34"/>
        <v>0</v>
      </c>
      <c r="U47" s="83">
        <f t="shared" si="35"/>
        <v>0</v>
      </c>
      <c r="V47" s="99">
        <f t="shared" si="41"/>
        <v>3</v>
      </c>
      <c r="W47" s="99">
        <f t="shared" si="36"/>
        <v>0</v>
      </c>
      <c r="X47" s="99">
        <f t="shared" si="37"/>
        <v>0</v>
      </c>
      <c r="Y47" s="99">
        <f t="shared" si="38"/>
        <v>0.78425992147264101</v>
      </c>
      <c r="Z47" s="99">
        <f t="shared" si="39"/>
        <v>0</v>
      </c>
      <c r="AB47" s="83">
        <f>寻访!AG47/$O47</f>
        <v>0</v>
      </c>
      <c r="AC47" s="83">
        <f>基础投放!Q47/$O47</f>
        <v>0</v>
      </c>
      <c r="AD47" s="83">
        <f>基础投放!AO47/$O47</f>
        <v>0</v>
      </c>
      <c r="AE47" s="83">
        <f>付费投放!W47/$O47</f>
        <v>1</v>
      </c>
      <c r="AF47" s="83">
        <f>IFERROR(寻访!AH47/$P47,0)</f>
        <v>0</v>
      </c>
      <c r="AG47" s="83">
        <f>IFERROR(基础投放!R47/$P47,0)</f>
        <v>0</v>
      </c>
      <c r="AH47" s="83">
        <f>IFERROR(基础投放!AP47/$P47,0)</f>
        <v>0</v>
      </c>
      <c r="AI47" s="83">
        <f>IFERROR(付费投放!X47/$P47,0)</f>
        <v>0</v>
      </c>
    </row>
    <row r="48" spans="3:35" x14ac:dyDescent="0.15">
      <c r="C48" s="70">
        <v>4</v>
      </c>
      <c r="D48" s="60">
        <f>基础信息!D53</f>
        <v>27.5</v>
      </c>
      <c r="E48" s="61">
        <f>基础信息!E53</f>
        <v>11.322133882791231</v>
      </c>
      <c r="F48" s="61">
        <f>基础信息!F53</f>
        <v>40.643027415884688</v>
      </c>
      <c r="G48" s="69">
        <f>基础信息!$G53*基础信息!I53*(1+求节点(门客进修!$C$23:$C$25,门客进修!D$23:D$25,基础信息!N53))</f>
        <v>0</v>
      </c>
      <c r="H48" s="69">
        <f>基础信息!$G53*基础信息!J53*(1+求节点(门客进修!$C$23:$C$25,门客进修!E$23:E$25,基础信息!O53))</f>
        <v>0</v>
      </c>
      <c r="I48" s="69">
        <f>基础信息!$G53*基础信息!K53*(1+求节点(门客进修!$C$23:$C$25,门客进修!F$23:F$25,基础信息!P53))</f>
        <v>12</v>
      </c>
      <c r="J48" s="69">
        <f>基础信息!$G53*基础信息!L53*(1+求节点(门客进修!$C$23:$C$25,门客进修!G$23:G$25,基础信息!Q53))</f>
        <v>0</v>
      </c>
      <c r="K48" s="69">
        <f>基础信息!$G53*基础信息!M53*(1+求节点(门客进修!$C$23:$C$25,门客进修!H$23:H$25,基础信息!R53))</f>
        <v>0</v>
      </c>
      <c r="L48" s="103">
        <f>寻访!AD48+基础投放!N48+基础投放!AL48+付费投放!T48+寻访!AM48</f>
        <v>4</v>
      </c>
      <c r="M48" s="103">
        <f>寻访!AE48+基础投放!O48+基础投放!AM48+付费投放!U48+寻访!AN48</f>
        <v>0</v>
      </c>
      <c r="N48" s="103">
        <f>寻访!AF48+基础投放!P48+基础投放!AN48+付费投放!V48+寻访!AO48</f>
        <v>1.330234514547155</v>
      </c>
      <c r="O48" s="103">
        <f>寻访!AG48+基础投放!Q48+基础投放!AO48+付费投放!W48+寻访!AP48</f>
        <v>1.330234514547155</v>
      </c>
      <c r="P48" s="103">
        <f>寻访!AH48+基础投放!R48+基础投放!AP48+付费投放!X48+寻访!AQ48</f>
        <v>0</v>
      </c>
      <c r="Q48" s="83">
        <f t="shared" si="40"/>
        <v>0</v>
      </c>
      <c r="R48" s="83">
        <f t="shared" si="32"/>
        <v>0</v>
      </c>
      <c r="S48" s="83">
        <f t="shared" si="33"/>
        <v>0.11085287621226292</v>
      </c>
      <c r="T48" s="83">
        <f t="shared" si="34"/>
        <v>0</v>
      </c>
      <c r="U48" s="83">
        <f t="shared" si="35"/>
        <v>0</v>
      </c>
      <c r="V48" s="99">
        <f t="shared" si="41"/>
        <v>4</v>
      </c>
      <c r="W48" s="99">
        <f t="shared" si="36"/>
        <v>0</v>
      </c>
      <c r="X48" s="99">
        <f t="shared" si="37"/>
        <v>0</v>
      </c>
      <c r="Y48" s="99">
        <f t="shared" si="38"/>
        <v>1.330234514547155</v>
      </c>
      <c r="Z48" s="99">
        <f t="shared" si="39"/>
        <v>0</v>
      </c>
      <c r="AB48" s="83">
        <f>寻访!AG48/$O48</f>
        <v>0</v>
      </c>
      <c r="AC48" s="83">
        <f>基础投放!Q48/$O48</f>
        <v>0</v>
      </c>
      <c r="AD48" s="83">
        <f>基础投放!AO48/$O48</f>
        <v>0</v>
      </c>
      <c r="AE48" s="83">
        <f>付费投放!W48/$O48</f>
        <v>1</v>
      </c>
      <c r="AF48" s="83">
        <f>IFERROR(寻访!AH48/$P48,0)</f>
        <v>0</v>
      </c>
      <c r="AG48" s="83">
        <f>IFERROR(基础投放!R48/$P48,0)</f>
        <v>0</v>
      </c>
      <c r="AH48" s="83">
        <f>IFERROR(基础投放!AP48/$P48,0)</f>
        <v>0</v>
      </c>
      <c r="AI48" s="83">
        <f>IFERROR(付费投放!X48/$P48,0)</f>
        <v>0</v>
      </c>
    </row>
    <row r="49" spans="3:35" x14ac:dyDescent="0.15">
      <c r="C49" s="70">
        <v>5</v>
      </c>
      <c r="D49" s="60">
        <f>基础信息!D54</f>
        <v>31.5</v>
      </c>
      <c r="E49" s="61">
        <f>基础信息!E54</f>
        <v>21.773543258148401</v>
      </c>
      <c r="F49" s="61">
        <f>基础信息!F54</f>
        <v>49.709437467755208</v>
      </c>
      <c r="G49" s="69">
        <f>基础信息!$G54*基础信息!I54*(1+求节点(门客进修!$C$23:$C$25,门客进修!D$23:D$25,基础信息!N54))</f>
        <v>0</v>
      </c>
      <c r="H49" s="69">
        <f>基础信息!$G54*基础信息!J54*(1+求节点(门客进修!$C$23:$C$25,门客进修!E$23:E$25,基础信息!O54))</f>
        <v>0</v>
      </c>
      <c r="I49" s="69">
        <f>基础信息!$G54*基础信息!K54*(1+求节点(门客进修!$C$23:$C$25,门客进修!F$23:F$25,基础信息!P54))</f>
        <v>11.25</v>
      </c>
      <c r="J49" s="69">
        <f>基础信息!$G54*基础信息!L54*(1+求节点(门客进修!$C$23:$C$25,门客进修!G$23:G$25,基础信息!Q54))</f>
        <v>1.25</v>
      </c>
      <c r="K49" s="69">
        <f>基础信息!$G54*基础信息!M54*(1+求节点(门客进修!$C$23:$C$25,门客进修!H$23:H$25,基础信息!R54))</f>
        <v>0</v>
      </c>
      <c r="L49" s="103">
        <f>寻访!AD49+基础投放!N49+基础投放!AL49+付费投放!T49+寻访!AM49</f>
        <v>13.361127500285736</v>
      </c>
      <c r="M49" s="103">
        <f>寻访!AE49+基础投放!O49+基础投放!AM49+付费投放!U49+寻访!AN49</f>
        <v>2.090281875071434</v>
      </c>
      <c r="N49" s="103">
        <f>寻访!AF49+基础投放!P49+基础投放!AN49+付费投放!V49+寻访!AO49</f>
        <v>2.2570712488010605</v>
      </c>
      <c r="O49" s="103">
        <f>寻访!AG49+基础投放!Q49+基础投放!AO49+付费投放!W49+寻访!AP49</f>
        <v>2.2570712488010605</v>
      </c>
      <c r="P49" s="103">
        <f>寻访!AH49+基础投放!R49+基础投放!AP49+付费投放!X49+寻访!AQ49</f>
        <v>0</v>
      </c>
      <c r="Q49" s="83">
        <f t="shared" si="40"/>
        <v>0</v>
      </c>
      <c r="R49" s="83">
        <f t="shared" si="32"/>
        <v>0</v>
      </c>
      <c r="S49" s="83">
        <f t="shared" si="33"/>
        <v>0.20062855544898314</v>
      </c>
      <c r="T49" s="83">
        <f t="shared" si="34"/>
        <v>1.8056569990408484</v>
      </c>
      <c r="U49" s="83">
        <f t="shared" si="35"/>
        <v>0</v>
      </c>
      <c r="V49" s="99">
        <f t="shared" si="41"/>
        <v>13.361127500285736</v>
      </c>
      <c r="W49" s="99">
        <f t="shared" si="36"/>
        <v>2.090281875071434</v>
      </c>
      <c r="X49" s="99">
        <f t="shared" si="37"/>
        <v>0</v>
      </c>
      <c r="Y49" s="99">
        <f t="shared" si="38"/>
        <v>1.0070712488010605</v>
      </c>
      <c r="Z49" s="99">
        <f t="shared" si="39"/>
        <v>0</v>
      </c>
      <c r="AB49" s="83">
        <f>寻访!AG49/$O49</f>
        <v>0</v>
      </c>
      <c r="AC49" s="83">
        <f>基础投放!Q49/$O49</f>
        <v>0</v>
      </c>
      <c r="AD49" s="83">
        <f>基础投放!AO49/$O49</f>
        <v>0</v>
      </c>
      <c r="AE49" s="83">
        <f>付费投放!W49/$O49</f>
        <v>1</v>
      </c>
      <c r="AF49" s="83">
        <f>IFERROR(寻访!AH49/$P49,0)</f>
        <v>0</v>
      </c>
      <c r="AG49" s="83">
        <f>IFERROR(基础投放!R49/$P49,0)</f>
        <v>0</v>
      </c>
      <c r="AH49" s="83">
        <f>IFERROR(基础投放!AP49/$P49,0)</f>
        <v>0</v>
      </c>
      <c r="AI49" s="83">
        <f>IFERROR(付费投放!X49/$P49,0)</f>
        <v>0</v>
      </c>
    </row>
    <row r="50" spans="3:35" x14ac:dyDescent="0.15">
      <c r="C50" s="70">
        <v>6</v>
      </c>
      <c r="D50" s="60">
        <f>基础信息!D55</f>
        <v>35.5</v>
      </c>
      <c r="E50" s="61">
        <f>基础信息!E55</f>
        <v>41.174058500102497</v>
      </c>
      <c r="F50" s="61">
        <f>基础信息!F55</f>
        <v>58.803150706157098</v>
      </c>
      <c r="G50" s="69">
        <f>基础信息!$G55*基础信息!I55*(1+求节点(门客进修!$C$23:$C$25,门客进修!D$23:D$25,基础信息!N55))</f>
        <v>0</v>
      </c>
      <c r="H50" s="69">
        <f>基础信息!$G55*基础信息!J55*(1+求节点(门客进修!$C$23:$C$25,门客进修!E$23:E$25,基础信息!O55))</f>
        <v>0</v>
      </c>
      <c r="I50" s="69">
        <f>基础信息!$G55*基础信息!K55*(1+求节点(门客进修!$C$23:$C$25,门客进修!F$23:F$25,基础信息!P55))</f>
        <v>9</v>
      </c>
      <c r="J50" s="69">
        <f>基础信息!$G55*基础信息!L55*(1+求节点(门客进修!$C$23:$C$25,门客进修!G$23:G$25,基础信息!Q55))</f>
        <v>3</v>
      </c>
      <c r="K50" s="69">
        <f>基础信息!$G55*基础信息!M55*(1+求节点(门客进修!$C$23:$C$25,门客进修!H$23:H$25,基础信息!R55))</f>
        <v>0</v>
      </c>
      <c r="L50" s="103">
        <f>寻访!AD50+基础投放!N50+基础投放!AL50+付费投放!T50+寻访!AM50</f>
        <v>27.553477864814525</v>
      </c>
      <c r="M50" s="103">
        <f>寻访!AE50+基础投放!O50+基础投放!AM50+付费投放!U50+寻访!AN50</f>
        <v>7.1344158379794989</v>
      </c>
      <c r="N50" s="103">
        <f>寻访!AF50+基础投放!P50+基础投放!AN50+付费投放!V50+寻访!AO50</f>
        <v>5.8527115422450109</v>
      </c>
      <c r="O50" s="103">
        <f>寻访!AG50+基础投放!Q50+基础投放!AO50+付费投放!W50+寻访!AP50</f>
        <v>4.0008552489436777</v>
      </c>
      <c r="P50" s="103">
        <f>寻访!AH50+基础投放!R50+基础投放!AP50+付费投放!X50+寻访!AQ50</f>
        <v>0</v>
      </c>
      <c r="Q50" s="83">
        <f t="shared" si="40"/>
        <v>0</v>
      </c>
      <c r="R50" s="83">
        <f t="shared" si="32"/>
        <v>0</v>
      </c>
      <c r="S50" s="83">
        <f t="shared" si="33"/>
        <v>0.65030128247166785</v>
      </c>
      <c r="T50" s="83">
        <f t="shared" si="34"/>
        <v>1.3336184163145592</v>
      </c>
      <c r="U50" s="83">
        <f t="shared" si="35"/>
        <v>0</v>
      </c>
      <c r="V50" s="99">
        <f t="shared" si="41"/>
        <v>27.553477864814525</v>
      </c>
      <c r="W50" s="99">
        <f t="shared" si="36"/>
        <v>7.1344158379794989</v>
      </c>
      <c r="X50" s="99">
        <f t="shared" si="37"/>
        <v>0</v>
      </c>
      <c r="Y50" s="99">
        <f t="shared" si="38"/>
        <v>1.0008552489436777</v>
      </c>
      <c r="Z50" s="99">
        <f t="shared" si="39"/>
        <v>0</v>
      </c>
      <c r="AB50" s="83">
        <f>寻访!AG50/$O50</f>
        <v>0</v>
      </c>
      <c r="AC50" s="83">
        <f>基础投放!Q50/$O50</f>
        <v>0</v>
      </c>
      <c r="AD50" s="83">
        <f>基础投放!AO50/$O50</f>
        <v>0</v>
      </c>
      <c r="AE50" s="83">
        <f>付费投放!W50/$O50</f>
        <v>1</v>
      </c>
      <c r="AF50" s="83">
        <f>IFERROR(寻访!AH50/$P50,0)</f>
        <v>0</v>
      </c>
      <c r="AG50" s="83">
        <f>IFERROR(基础投放!R50/$P50,0)</f>
        <v>0</v>
      </c>
      <c r="AH50" s="83">
        <f>IFERROR(基础投放!AP50/$P50,0)</f>
        <v>0</v>
      </c>
      <c r="AI50" s="83">
        <f>IFERROR(付费投放!X50/$P50,0)</f>
        <v>0</v>
      </c>
    </row>
    <row r="51" spans="3:35" x14ac:dyDescent="0.15">
      <c r="C51" s="70">
        <v>7</v>
      </c>
      <c r="D51" s="60">
        <f>基础信息!D56</f>
        <v>39.5</v>
      </c>
      <c r="E51" s="61">
        <f>基础信息!E56</f>
        <v>74.77280729579401</v>
      </c>
      <c r="F51" s="61">
        <f>基础信息!F56</f>
        <v>67.298489171654538</v>
      </c>
      <c r="G51" s="69">
        <f>基础信息!$G56*基础信息!I56*(1+求节点(门客进修!$C$23:$C$25,门客进修!D$23:D$25,基础信息!N56))</f>
        <v>0</v>
      </c>
      <c r="H51" s="69">
        <f>基础信息!$G56*基础信息!J56*(1+求节点(门客进修!$C$23:$C$25,门客进修!E$23:E$25,基础信息!O56))</f>
        <v>0</v>
      </c>
      <c r="I51" s="69">
        <f>基础信息!$G56*基础信息!K56*(1+求节点(门客进修!$C$23:$C$25,门客进修!F$23:F$25,基础信息!P56))</f>
        <v>5.25</v>
      </c>
      <c r="J51" s="69">
        <f>基础信息!$G56*基础信息!L56*(1+求节点(门客进修!$C$23:$C$25,门客进修!G$23:G$25,基础信息!Q56))</f>
        <v>5.25</v>
      </c>
      <c r="K51" s="69">
        <f>基础信息!$G56*基础信息!M56*(1+求节点(门客进修!$C$23:$C$25,门客进修!H$23:H$25,基础信息!R56))</f>
        <v>0</v>
      </c>
      <c r="L51" s="103">
        <f>寻访!AD51+基础投放!N51+基础投放!AL51+付费投放!T51+寻访!AM51</f>
        <v>44.352852262660278</v>
      </c>
      <c r="M51" s="103">
        <f>寻访!AE51+基础投放!O51+基础投放!AM51+付费投放!U51+寻访!AN51</f>
        <v>20.733946636363818</v>
      </c>
      <c r="N51" s="103">
        <f>寻访!AF51+基础投放!P51+基础投放!AN51+付费投放!V51+寻访!AO51</f>
        <v>13.983833351988643</v>
      </c>
      <c r="O51" s="103">
        <f>寻访!AG51+基础投放!Q51+基础投放!AO51+付费投放!W51+寻访!AP51</f>
        <v>6.1999312990924409</v>
      </c>
      <c r="P51" s="103">
        <f>寻访!AH51+基础投放!R51+基础投放!AP51+付费投放!X51+寻访!AQ51</f>
        <v>0.29015461516718655</v>
      </c>
      <c r="Q51" s="83">
        <f t="shared" si="40"/>
        <v>0</v>
      </c>
      <c r="R51" s="83">
        <f t="shared" si="32"/>
        <v>0</v>
      </c>
      <c r="S51" s="83">
        <f t="shared" si="33"/>
        <v>2.6635873051406938</v>
      </c>
      <c r="T51" s="83">
        <f t="shared" si="34"/>
        <v>1.1809392950652269</v>
      </c>
      <c r="U51" s="83">
        <f t="shared" si="35"/>
        <v>0</v>
      </c>
      <c r="V51" s="99">
        <f t="shared" si="41"/>
        <v>44.352852262660278</v>
      </c>
      <c r="W51" s="99">
        <f t="shared" si="36"/>
        <v>20.733946636363818</v>
      </c>
      <c r="X51" s="99">
        <f t="shared" si="37"/>
        <v>8.7338333519886433</v>
      </c>
      <c r="Y51" s="99">
        <f t="shared" si="38"/>
        <v>0.9499312990924409</v>
      </c>
      <c r="Z51" s="99">
        <f t="shared" si="39"/>
        <v>0</v>
      </c>
      <c r="AB51" s="83">
        <f>寻访!AG51/$O51</f>
        <v>2.7096065403668081E-2</v>
      </c>
      <c r="AC51" s="83">
        <f>基础投放!Q51/$O51</f>
        <v>0</v>
      </c>
      <c r="AD51" s="83">
        <f>基础投放!AO51/$O51</f>
        <v>0</v>
      </c>
      <c r="AE51" s="83">
        <f>付费投放!W51/$O51</f>
        <v>0.97290393459633195</v>
      </c>
      <c r="AF51" s="83">
        <f>IFERROR(寻访!AH51/$P51,0)</f>
        <v>0</v>
      </c>
      <c r="AG51" s="83">
        <f>IFERROR(基础投放!R51/$P51,0)</f>
        <v>0</v>
      </c>
      <c r="AH51" s="83">
        <f>IFERROR(基础投放!AP51/$P51,0)</f>
        <v>0</v>
      </c>
      <c r="AI51" s="83">
        <f>IFERROR(付费投放!X51/$P51,0)</f>
        <v>1</v>
      </c>
    </row>
    <row r="52" spans="3:35" x14ac:dyDescent="0.15">
      <c r="C52" s="70">
        <v>8</v>
      </c>
      <c r="D52" s="60">
        <f>基础信息!D57</f>
        <v>43.5</v>
      </c>
      <c r="E52" s="61">
        <f>基础信息!E57</f>
        <v>135.40982620096435</v>
      </c>
      <c r="F52" s="61">
        <f>基础信息!F57</f>
        <v>75.878784655965617</v>
      </c>
      <c r="G52" s="69">
        <f>基础信息!$G57*基础信息!I57*(1+求节点(门客进修!$C$23:$C$25,门客进修!D$23:D$25,基础信息!N57))</f>
        <v>0</v>
      </c>
      <c r="H52" s="69">
        <f>基础信息!$G57*基础信息!J57*(1+求节点(门客进修!$C$23:$C$25,门客进修!E$23:E$25,基础信息!O57))</f>
        <v>0</v>
      </c>
      <c r="I52" s="69">
        <f>基础信息!$G57*基础信息!K57*(1+求节点(门客进修!$C$23:$C$25,门客进修!F$23:F$25,基础信息!P57))</f>
        <v>0</v>
      </c>
      <c r="J52" s="69">
        <f>基础信息!$G57*基础信息!L57*(1+求节点(门客进修!$C$23:$C$25,门客进修!G$23:G$25,基础信息!Q57))</f>
        <v>8</v>
      </c>
      <c r="K52" s="69">
        <f>基础信息!$G57*基础信息!M57*(1+求节点(门客进修!$C$23:$C$25,门客进修!H$23:H$25,基础信息!R57))</f>
        <v>0</v>
      </c>
      <c r="L52" s="103">
        <f>寻访!AD52+基础投放!N52+基础投放!AL52+付费投放!T52+寻访!AM52</f>
        <v>71.639510769986927</v>
      </c>
      <c r="M52" s="103">
        <f>寻访!AE52+基础投放!O52+基础投放!AM52+付费投放!U52+寻访!AN52</f>
        <v>44.472828725802692</v>
      </c>
      <c r="N52" s="103">
        <f>寻访!AF52+基础投放!P52+基础投放!AN52+付费投放!V52+寻访!AO52</f>
        <v>30.994059917355724</v>
      </c>
      <c r="O52" s="103">
        <f>寻访!AG52+基础投放!Q52+基础投放!AO52+付费投放!W52+寻访!AP52</f>
        <v>10.078874548217632</v>
      </c>
      <c r="P52" s="103">
        <f>寻访!AH52+基础投放!R52+基础投放!AP52+付费投放!X52+寻访!AQ52</f>
        <v>0.75766505232054193</v>
      </c>
      <c r="Q52" s="83">
        <f t="shared" si="40"/>
        <v>0</v>
      </c>
      <c r="R52" s="83">
        <f t="shared" si="32"/>
        <v>0</v>
      </c>
      <c r="S52" s="83">
        <f t="shared" si="33"/>
        <v>0</v>
      </c>
      <c r="T52" s="83">
        <f t="shared" si="34"/>
        <v>1.259859318527204</v>
      </c>
      <c r="U52" s="83">
        <f t="shared" si="35"/>
        <v>0</v>
      </c>
      <c r="V52" s="99">
        <f t="shared" si="41"/>
        <v>71.639510769986927</v>
      </c>
      <c r="W52" s="99">
        <f t="shared" si="36"/>
        <v>44.472828725802692</v>
      </c>
      <c r="X52" s="99">
        <f t="shared" si="37"/>
        <v>30.994059917355724</v>
      </c>
      <c r="Y52" s="99">
        <f t="shared" si="38"/>
        <v>2.0788745482176321</v>
      </c>
      <c r="Z52" s="99">
        <f t="shared" si="39"/>
        <v>0</v>
      </c>
      <c r="AB52" s="83">
        <f>寻访!AG52/$O52</f>
        <v>7.6830397017601637E-2</v>
      </c>
      <c r="AC52" s="83">
        <f>基础投放!Q52/$O52</f>
        <v>0</v>
      </c>
      <c r="AD52" s="83">
        <f>基础投放!AO52/$O52</f>
        <v>0</v>
      </c>
      <c r="AE52" s="83">
        <f>付费投放!W52/$O52</f>
        <v>0.92316960298239836</v>
      </c>
      <c r="AF52" s="83">
        <f>IFERROR(寻访!AH52/$P52,0)</f>
        <v>0</v>
      </c>
      <c r="AG52" s="83">
        <f>IFERROR(基础投放!R52/$P52,0)</f>
        <v>0</v>
      </c>
      <c r="AH52" s="83">
        <f>IFERROR(基础投放!AP52/$P52,0)</f>
        <v>0</v>
      </c>
      <c r="AI52" s="83">
        <f>IFERROR(付费投放!X52/$P52,0)</f>
        <v>1</v>
      </c>
    </row>
    <row r="53" spans="3:35" x14ac:dyDescent="0.15">
      <c r="C53" s="70">
        <v>9</v>
      </c>
      <c r="D53" s="60">
        <f>基础信息!D58</f>
        <v>47.5</v>
      </c>
      <c r="E53" s="61">
        <f>基础信息!E58</f>
        <v>244.70123896107964</v>
      </c>
      <c r="F53" s="61">
        <f>基础信息!F58</f>
        <v>84.446314672957783</v>
      </c>
      <c r="G53" s="69">
        <f>基础信息!$G58*基础信息!I58*(1+求节点(门客进修!$C$23:$C$25,门客进修!D$23:D$25,基础信息!N58))</f>
        <v>0</v>
      </c>
      <c r="H53" s="69">
        <f>基础信息!$G58*基础信息!J58*(1+求节点(门客进修!$C$23:$C$25,门客进修!E$23:E$25,基础信息!O58))</f>
        <v>0</v>
      </c>
      <c r="I53" s="69">
        <f>基础信息!$G58*基础信息!K58*(1+求节点(门客进修!$C$23:$C$25,门客进修!F$23:F$25,基础信息!P58))</f>
        <v>0</v>
      </c>
      <c r="J53" s="69">
        <f>基础信息!$G58*基础信息!L58*(1+求节点(门客进修!$C$23:$C$25,门客进修!G$23:G$25,基础信息!Q58))</f>
        <v>14.4</v>
      </c>
      <c r="K53" s="69">
        <f>基础信息!$G58*基础信息!M58*(1+求节点(门客进修!$C$23:$C$25,门客进修!H$23:H$25,基础信息!R58))</f>
        <v>1.8</v>
      </c>
      <c r="L53" s="103">
        <f>寻访!AD53+基础投放!N53+基础投放!AL53+付费投放!T53+寻访!AM53</f>
        <v>115.35607587403305</v>
      </c>
      <c r="M53" s="103">
        <f>寻访!AE53+基础投放!O53+基础投放!AM53+付费投放!U53+寻访!AN53</f>
        <v>86.457108510845927</v>
      </c>
      <c r="N53" s="103">
        <f>寻访!AF53+基础投放!P53+基础投放!AN53+付费投放!V53+寻访!AO53</f>
        <v>66.177032499145781</v>
      </c>
      <c r="O53" s="103">
        <f>寻访!AG53+基础投放!Q53+基础投放!AO53+付费投放!W53+寻访!AP53</f>
        <v>17.222528011884769</v>
      </c>
      <c r="P53" s="103">
        <f>寻访!AH53+基础投放!R53+基础投放!AP53+付费投放!X53+寻访!AQ53</f>
        <v>1.5439910912155999</v>
      </c>
      <c r="Q53" s="83">
        <f t="shared" si="40"/>
        <v>0</v>
      </c>
      <c r="R53" s="83">
        <f t="shared" si="32"/>
        <v>0</v>
      </c>
      <c r="S53" s="83">
        <f t="shared" si="33"/>
        <v>0</v>
      </c>
      <c r="T53" s="83">
        <f t="shared" si="34"/>
        <v>1.19600888971422</v>
      </c>
      <c r="U53" s="83">
        <f t="shared" si="35"/>
        <v>0.85777282845311098</v>
      </c>
      <c r="V53" s="99">
        <f t="shared" si="41"/>
        <v>115.35607587403305</v>
      </c>
      <c r="W53" s="99">
        <f t="shared" si="36"/>
        <v>86.457108510845927</v>
      </c>
      <c r="X53" s="99">
        <f t="shared" si="37"/>
        <v>66.177032499145781</v>
      </c>
      <c r="Y53" s="99">
        <f t="shared" si="38"/>
        <v>2.8225280118847689</v>
      </c>
      <c r="Z53" s="99">
        <f t="shared" si="39"/>
        <v>0</v>
      </c>
      <c r="AB53" s="83">
        <f>寻访!AG53/$O53</f>
        <v>0.14014987362867062</v>
      </c>
      <c r="AC53" s="83">
        <f>基础投放!Q53/$O53</f>
        <v>0</v>
      </c>
      <c r="AD53" s="83">
        <f>基础投放!AO53/$O53</f>
        <v>0</v>
      </c>
      <c r="AE53" s="83">
        <f>付费投放!W53/$O53</f>
        <v>0.85985012637132929</v>
      </c>
      <c r="AF53" s="83">
        <f>IFERROR(寻访!AH53/$P53,0)</f>
        <v>0</v>
      </c>
      <c r="AG53" s="83">
        <f>IFERROR(基础投放!R53/$P53,0)</f>
        <v>0</v>
      </c>
      <c r="AH53" s="83">
        <f>IFERROR(基础投放!AP53/$P53,0)</f>
        <v>0</v>
      </c>
      <c r="AI53" s="83">
        <f>IFERROR(付费投放!X53/$P53,0)</f>
        <v>1</v>
      </c>
    </row>
    <row r="54" spans="3:35" x14ac:dyDescent="0.15">
      <c r="C54" s="70">
        <v>10</v>
      </c>
      <c r="D54" s="60">
        <f>基础信息!D59</f>
        <v>52</v>
      </c>
      <c r="E54" s="61">
        <f>基础信息!E59</f>
        <v>473.91181132163672</v>
      </c>
      <c r="F54" s="61">
        <f>基础信息!F59</f>
        <v>94.309081972684396</v>
      </c>
      <c r="G54" s="69">
        <f>基础信息!$G59*基础信息!I59*(1+求节点(门客进修!$C$23:$C$25,门客进修!D$23:D$25,基础信息!N59))</f>
        <v>0</v>
      </c>
      <c r="H54" s="69">
        <f>基础信息!$G59*基础信息!J59*(1+求节点(门客进修!$C$23:$C$25,门客进修!E$23:E$25,基础信息!O59))</f>
        <v>0</v>
      </c>
      <c r="I54" s="69">
        <f>基础信息!$G59*基础信息!K59*(1+求节点(门客进修!$C$23:$C$25,门客进修!F$23:F$25,基础信息!P59))</f>
        <v>0</v>
      </c>
      <c r="J54" s="69">
        <f>基础信息!$G59*基础信息!L59*(1+求节点(门客进修!$C$23:$C$25,门客进修!G$23:G$25,基础信息!Q59))</f>
        <v>18</v>
      </c>
      <c r="K54" s="69">
        <f>基础信息!$G59*基础信息!M59*(1+求节点(门客进修!$C$23:$C$25,门客进修!H$23:H$25,基础信息!R59))</f>
        <v>4</v>
      </c>
      <c r="L54" s="103">
        <f>寻访!AD54+基础投放!N54+基础投放!AL54+付费投放!T54+寻访!AM54</f>
        <v>195.57977620022803</v>
      </c>
      <c r="M54" s="103">
        <f>寻访!AE54+基础投放!O54+基础投放!AM54+付费投放!U54+寻访!AN54</f>
        <v>173.41107314605483</v>
      </c>
      <c r="N54" s="103">
        <f>寻访!AF54+基础投放!P54+基础投放!AN54+付费投放!V54+寻访!AO54</f>
        <v>149.85117448475307</v>
      </c>
      <c r="O54" s="103">
        <f>寻访!AG54+基础投放!Q54+基础投放!AO54+付费投放!W54+寻访!AP54</f>
        <v>32.906022497672161</v>
      </c>
      <c r="P54" s="103">
        <f>寻访!AH54+基础投放!R54+基础投放!AP54+付费投放!X54+寻访!AQ54</f>
        <v>3.1296029538693499</v>
      </c>
      <c r="Q54" s="83">
        <f t="shared" si="40"/>
        <v>0</v>
      </c>
      <c r="R54" s="83">
        <f t="shared" si="32"/>
        <v>0</v>
      </c>
      <c r="S54" s="83">
        <f t="shared" si="33"/>
        <v>0</v>
      </c>
      <c r="T54" s="83">
        <f t="shared" si="34"/>
        <v>1.8281123609817866</v>
      </c>
      <c r="U54" s="83">
        <f t="shared" si="35"/>
        <v>0.78240073846733749</v>
      </c>
      <c r="V54" s="99">
        <f t="shared" si="41"/>
        <v>195.57977620022803</v>
      </c>
      <c r="W54" s="99">
        <f t="shared" si="36"/>
        <v>173.41107314605483</v>
      </c>
      <c r="X54" s="99">
        <f t="shared" si="37"/>
        <v>149.85117448475307</v>
      </c>
      <c r="Y54" s="99">
        <f t="shared" si="38"/>
        <v>14.906022497672161</v>
      </c>
      <c r="Z54" s="99">
        <f t="shared" si="39"/>
        <v>0</v>
      </c>
      <c r="AB54" s="83">
        <f>寻访!AG54/$O54</f>
        <v>0.2126646139665796</v>
      </c>
      <c r="AC54" s="83">
        <f>基础投放!Q54/$O54</f>
        <v>0</v>
      </c>
      <c r="AD54" s="83">
        <f>基础投放!AO54/$O54</f>
        <v>0</v>
      </c>
      <c r="AE54" s="83">
        <f>付费投放!W54/$O54</f>
        <v>0.78733538603342046</v>
      </c>
      <c r="AF54" s="83">
        <f>IFERROR(寻访!AH54/$P54,0)</f>
        <v>0</v>
      </c>
      <c r="AG54" s="83">
        <f>IFERROR(基础投放!R54/$P54,0)</f>
        <v>0</v>
      </c>
      <c r="AH54" s="83">
        <f>IFERROR(基础投放!AP54/$P54,0)</f>
        <v>0</v>
      </c>
      <c r="AI54" s="83">
        <f>IFERROR(付费投放!X54/$P54,0)</f>
        <v>1</v>
      </c>
    </row>
    <row r="55" spans="3:35" x14ac:dyDescent="0.15">
      <c r="C55" s="70">
        <v>11</v>
      </c>
      <c r="D55" s="60">
        <f>基础信息!D60</f>
        <v>57</v>
      </c>
      <c r="E55" s="61">
        <f>基础信息!E60</f>
        <v>988.69490566221691</v>
      </c>
      <c r="F55" s="61">
        <f>基础信息!F60</f>
        <v>104.93378702762401</v>
      </c>
      <c r="G55" s="69">
        <f>基础信息!$G60*基础信息!I60*(1+求节点(门客进修!$C$23:$C$25,门客进修!D$23:D$25,基础信息!N60))</f>
        <v>0</v>
      </c>
      <c r="H55" s="69">
        <f>基础信息!$G60*基础信息!J60*(1+求节点(门客进修!$C$23:$C$25,门客进修!E$23:E$25,基础信息!O60))</f>
        <v>0</v>
      </c>
      <c r="I55" s="69">
        <f>基础信息!$G60*基础信息!K60*(1+求节点(门客进修!$C$23:$C$25,门客进修!F$23:F$25,基础信息!P60))</f>
        <v>0</v>
      </c>
      <c r="J55" s="69">
        <f>基础信息!$G60*基础信息!L60*(1+求节点(门客进修!$C$23:$C$25,门客进修!G$23:G$25,基础信息!Q60))</f>
        <v>22</v>
      </c>
      <c r="K55" s="69">
        <f>基础信息!$G60*基础信息!M60*(1+求节点(门客进修!$C$23:$C$25,门客进修!H$23:H$25,基础信息!R60))</f>
        <v>6.6</v>
      </c>
      <c r="L55" s="103">
        <f>寻访!AD55+基础投放!N55+基础投放!AL55+付费投放!T55+寻访!AM55</f>
        <v>347.95557212503979</v>
      </c>
      <c r="M55" s="103">
        <f>寻访!AE55+基础投放!O55+基础投放!AM55+付费投放!U55+寻访!AN55</f>
        <v>365.91038424075072</v>
      </c>
      <c r="N55" s="103">
        <f>寻访!AF55+基础投放!P55+基础投放!AN55+付费投放!V55+寻访!AO55</f>
        <v>362.00191460057704</v>
      </c>
      <c r="O55" s="103">
        <f>寻访!AG55+基础投放!Q55+基础投放!AO55+付费投放!W55+寻访!AP55</f>
        <v>71.358426999565921</v>
      </c>
      <c r="P55" s="103">
        <f>寻访!AH55+基础投放!R55+基础投放!AP55+付费投放!X55+寻访!AQ55</f>
        <v>6.6151495290687663</v>
      </c>
      <c r="Q55" s="83">
        <f t="shared" si="40"/>
        <v>0</v>
      </c>
      <c r="R55" s="83">
        <f t="shared" si="32"/>
        <v>0</v>
      </c>
      <c r="S55" s="83">
        <f t="shared" si="33"/>
        <v>0</v>
      </c>
      <c r="T55" s="83">
        <f t="shared" si="34"/>
        <v>3.243564863616633</v>
      </c>
      <c r="U55" s="83">
        <f t="shared" si="35"/>
        <v>1.0022953831922374</v>
      </c>
      <c r="V55" s="99">
        <f t="shared" si="41"/>
        <v>347.95557212503979</v>
      </c>
      <c r="W55" s="99">
        <f t="shared" si="36"/>
        <v>365.91038424075072</v>
      </c>
      <c r="X55" s="99">
        <f t="shared" si="37"/>
        <v>362.00191460057704</v>
      </c>
      <c r="Y55" s="99">
        <f t="shared" si="38"/>
        <v>49.358426999565921</v>
      </c>
      <c r="Z55" s="99">
        <f t="shared" si="39"/>
        <v>1.5149529068766654E-2</v>
      </c>
      <c r="AB55" s="83">
        <f>寻访!AG55/$O55</f>
        <v>0.30006089138301112</v>
      </c>
      <c r="AC55" s="83">
        <f>基础投放!Q55/$O55</f>
        <v>0</v>
      </c>
      <c r="AD55" s="83">
        <f>基础投放!AO55/$O55</f>
        <v>0</v>
      </c>
      <c r="AE55" s="83">
        <f>付费投放!W55/$O55</f>
        <v>0.69993910861698883</v>
      </c>
      <c r="AF55" s="83">
        <f>IFERROR(寻访!AH55/$P55,0)</f>
        <v>7.7818814537522285E-3</v>
      </c>
      <c r="AG55" s="83">
        <f>IFERROR(基础投放!R55/$P55,0)</f>
        <v>0</v>
      </c>
      <c r="AH55" s="83">
        <f>IFERROR(基础投放!AP55/$P55,0)</f>
        <v>0</v>
      </c>
      <c r="AI55" s="83">
        <f>IFERROR(付费投放!X55/$P55,0)</f>
        <v>0.99221811854624775</v>
      </c>
    </row>
    <row r="56" spans="3:35" x14ac:dyDescent="0.15">
      <c r="C56" s="70">
        <v>12</v>
      </c>
      <c r="D56" s="60">
        <f>基础信息!D61</f>
        <v>62</v>
      </c>
      <c r="E56" s="61">
        <f>基础信息!E61</f>
        <v>2058.8113773623186</v>
      </c>
      <c r="F56" s="61">
        <f>基础信息!F61</f>
        <v>115.63935175516689</v>
      </c>
      <c r="G56" s="69">
        <f>基础信息!$G61*基础信息!I61*(1+求节点(门客进修!$C$23:$C$25,门客进修!D$23:D$25,基础信息!N61))</f>
        <v>0</v>
      </c>
      <c r="H56" s="69">
        <f>基础信息!$G61*基础信息!J61*(1+求节点(门客进修!$C$23:$C$25,门客进修!E$23:E$25,基础信息!O61))</f>
        <v>0</v>
      </c>
      <c r="I56" s="69">
        <f>基础信息!$G61*基础信息!K61*(1+求节点(门客进修!$C$23:$C$25,门客进修!F$23:F$25,基础信息!P61))</f>
        <v>0</v>
      </c>
      <c r="J56" s="69">
        <f>基础信息!$G61*基础信息!L61*(1+求节点(门客进修!$C$23:$C$25,门客进修!G$23:G$25,基础信息!Q61))</f>
        <v>16.800000000000004</v>
      </c>
      <c r="K56" s="69">
        <f>基础信息!$G61*基础信息!M61*(1+求节点(门客进修!$C$23:$C$25,门客进修!H$23:H$25,基础信息!R61))</f>
        <v>9.6000000000000014</v>
      </c>
      <c r="L56" s="103">
        <f>寻访!AD56+基础投放!N56+基础投放!AL56+付费投放!T56+寻访!AM56</f>
        <v>639.02725242746737</v>
      </c>
      <c r="M56" s="103">
        <f>寻访!AE56+基础投放!O56+基础投放!AM56+付费投放!U56+寻访!AN56</f>
        <v>777.83510937358972</v>
      </c>
      <c r="N56" s="103">
        <f>寻访!AF56+基础投放!P56+基础投放!AN56+付费投放!V56+寻访!AO56</f>
        <v>805.84173430337</v>
      </c>
      <c r="O56" s="103">
        <f>寻访!AG56+基础投放!Q56+基础投放!AO56+付费投放!W56+寻访!AP56</f>
        <v>158.46787516647021</v>
      </c>
      <c r="P56" s="103">
        <f>寻访!AH56+基础投放!R56+基础投放!AP56+付费投放!X56+寻访!AQ56</f>
        <v>13.769923564223165</v>
      </c>
      <c r="Q56" s="83">
        <f t="shared" si="40"/>
        <v>0</v>
      </c>
      <c r="R56" s="83">
        <f t="shared" si="32"/>
        <v>0</v>
      </c>
      <c r="S56" s="83">
        <f t="shared" si="33"/>
        <v>0</v>
      </c>
      <c r="T56" s="83">
        <f t="shared" si="34"/>
        <v>9.432611617051796</v>
      </c>
      <c r="U56" s="83">
        <f t="shared" si="35"/>
        <v>1.4343670379399127</v>
      </c>
      <c r="V56" s="99">
        <f t="shared" si="41"/>
        <v>639.02725242746737</v>
      </c>
      <c r="W56" s="99">
        <f t="shared" si="36"/>
        <v>777.83510937358972</v>
      </c>
      <c r="X56" s="99">
        <f t="shared" si="37"/>
        <v>805.84173430337</v>
      </c>
      <c r="Y56" s="99">
        <f t="shared" si="38"/>
        <v>141.6678751664702</v>
      </c>
      <c r="Z56" s="99">
        <f t="shared" si="39"/>
        <v>4.1699235642231631</v>
      </c>
      <c r="AB56" s="83">
        <f>寻访!AG56/$O56</f>
        <v>0.37822218624071419</v>
      </c>
      <c r="AC56" s="83">
        <f>基础投放!Q56/$O56</f>
        <v>0</v>
      </c>
      <c r="AD56" s="83">
        <f>基础投放!AO56/$O56</f>
        <v>0</v>
      </c>
      <c r="AE56" s="83">
        <f>付费投放!W56/$O56</f>
        <v>0.62177781375928587</v>
      </c>
      <c r="AF56" s="83">
        <f>IFERROR(寻访!AH56/$P56,0)</f>
        <v>1.928126924857456E-2</v>
      </c>
      <c r="AG56" s="83">
        <f>IFERROR(基础投放!R56/$P56,0)</f>
        <v>0</v>
      </c>
      <c r="AH56" s="83">
        <f>IFERROR(基础投放!AP56/$P56,0)</f>
        <v>0</v>
      </c>
      <c r="AI56" s="83">
        <f>IFERROR(付费投放!X56/$P56,0)</f>
        <v>0.98071873075142546</v>
      </c>
    </row>
    <row r="57" spans="3:35" x14ac:dyDescent="0.15">
      <c r="C57" s="70">
        <v>13</v>
      </c>
      <c r="D57" s="60">
        <f>基础信息!D62</f>
        <v>67</v>
      </c>
      <c r="E57" s="61">
        <f>基础信息!E62</f>
        <v>4280.1298868004114</v>
      </c>
      <c r="F57" s="61">
        <f>基础信息!F62</f>
        <v>126.19151638854794</v>
      </c>
      <c r="G57" s="69">
        <f>基础信息!$G62*基础信息!I62*(1+求节点(门客进修!$C$23:$C$25,门客进修!D$23:D$25,基础信息!N62))</f>
        <v>0</v>
      </c>
      <c r="H57" s="69">
        <f>基础信息!$G62*基础信息!J62*(1+求节点(门客进修!$C$23:$C$25,门客进修!E$23:E$25,基础信息!O62))</f>
        <v>0</v>
      </c>
      <c r="I57" s="69">
        <f>基础信息!$G62*基础信息!K62*(1+求节点(门客进修!$C$23:$C$25,门客进修!F$23:F$25,基础信息!P62))</f>
        <v>0</v>
      </c>
      <c r="J57" s="69">
        <f>基础信息!$G62*基础信息!L62*(1+求节点(门客进修!$C$23:$C$25,门客进修!G$23:G$25,基础信息!Q62))</f>
        <v>0</v>
      </c>
      <c r="K57" s="69">
        <f>基础信息!$G62*基础信息!M62*(1+求节点(门客进修!$C$23:$C$25,门客进修!H$23:H$25,基础信息!R62))</f>
        <v>13</v>
      </c>
      <c r="L57" s="103">
        <f>寻访!AD57+基础投放!N57+基础投放!AL57+付费投放!T57+寻访!AM57</f>
        <v>1234.3406129568762</v>
      </c>
      <c r="M57" s="103">
        <f>寻访!AE57+基础投放!O57+基础投放!AM57+付费投放!U57+寻访!AN57</f>
        <v>1624.1574614695032</v>
      </c>
      <c r="N57" s="103">
        <f>寻访!AF57+基础投放!P57+基础投放!AN57+付费投放!V57+寻访!AO57</f>
        <v>1734.7795056414266</v>
      </c>
      <c r="O57" s="103">
        <f>寻访!AG57+基础投放!Q57+基础投放!AO57+付费投放!W57+寻访!AP57</f>
        <v>343.91759406645804</v>
      </c>
      <c r="P57" s="103">
        <f>寻访!AH57+基础投放!R57+基础投放!AP57+付费投放!X57+寻访!AQ57</f>
        <v>28.553218693040616</v>
      </c>
      <c r="Q57" s="83">
        <f t="shared" si="40"/>
        <v>0</v>
      </c>
      <c r="R57" s="83">
        <f t="shared" si="32"/>
        <v>0</v>
      </c>
      <c r="S57" s="83">
        <f t="shared" si="33"/>
        <v>0</v>
      </c>
      <c r="T57" s="83">
        <f t="shared" si="34"/>
        <v>0</v>
      </c>
      <c r="U57" s="83">
        <f t="shared" si="35"/>
        <v>2.1964014379262013</v>
      </c>
      <c r="V57" s="99">
        <f t="shared" si="41"/>
        <v>1234.3406129568762</v>
      </c>
      <c r="W57" s="99">
        <f t="shared" si="36"/>
        <v>1624.1574614695032</v>
      </c>
      <c r="X57" s="99">
        <f t="shared" si="37"/>
        <v>1734.7795056414266</v>
      </c>
      <c r="Y57" s="99">
        <f t="shared" si="38"/>
        <v>343.91759406645804</v>
      </c>
      <c r="Z57" s="99">
        <f t="shared" si="39"/>
        <v>15.553218693040616</v>
      </c>
      <c r="AB57" s="83">
        <f>寻访!AG57/$O57</f>
        <v>0.42617036927208246</v>
      </c>
      <c r="AC57" s="83">
        <f>基础投放!Q57/$O57</f>
        <v>0</v>
      </c>
      <c r="AD57" s="83">
        <f>基础投放!AO57/$O57</f>
        <v>0</v>
      </c>
      <c r="AE57" s="83">
        <f>付费投放!W57/$O57</f>
        <v>0.57382963072791759</v>
      </c>
      <c r="AF57" s="83">
        <f>IFERROR(寻访!AH57/$P57,0)</f>
        <v>3.2637201662754779E-2</v>
      </c>
      <c r="AG57" s="83">
        <f>IFERROR(基础投放!R57/$P57,0)</f>
        <v>0</v>
      </c>
      <c r="AH57" s="83">
        <f>IFERROR(基础投放!AP57/$P57,0)</f>
        <v>0</v>
      </c>
      <c r="AI57" s="83">
        <f>IFERROR(付费投放!X57/$P57,0)</f>
        <v>0.96736279833724526</v>
      </c>
    </row>
    <row r="58" spans="3:35" x14ac:dyDescent="0.15">
      <c r="C58" s="70">
        <v>14</v>
      </c>
      <c r="D58" s="60">
        <f>基础信息!D63</f>
        <v>72</v>
      </c>
      <c r="E58" s="61">
        <f>基础信息!E63</f>
        <v>8884.9230377523691</v>
      </c>
      <c r="F58" s="61">
        <f>基础信息!F63</f>
        <v>136.8190741194654</v>
      </c>
      <c r="G58" s="69">
        <f>基础信息!$G63*基础信息!I63*(1+求节点(门客进修!$C$23:$C$25,门客进修!D$23:D$25,基础信息!N63))</f>
        <v>0</v>
      </c>
      <c r="H58" s="69">
        <f>基础信息!$G63*基础信息!J63*(1+求节点(门客进修!$C$23:$C$25,门客进修!E$23:E$25,基础信息!O63))</f>
        <v>0</v>
      </c>
      <c r="I58" s="69">
        <f>基础信息!$G63*基础信息!K63*(1+求节点(门客进修!$C$23:$C$25,门客进修!F$23:F$25,基础信息!P63))</f>
        <v>0</v>
      </c>
      <c r="J58" s="69">
        <f>基础信息!$G63*基础信息!L63*(1+求节点(门客进修!$C$23:$C$25,门客进修!G$23:G$25,基础信息!Q63))</f>
        <v>0</v>
      </c>
      <c r="K58" s="69">
        <f>基础信息!$G63*基础信息!M63*(1+求节点(门客进修!$C$23:$C$25,门客进修!H$23:H$25,基础信息!R63))</f>
        <v>28</v>
      </c>
      <c r="L58" s="103">
        <f>寻访!AD58+基础投放!N58+基础投放!AL58+付费投放!T58+寻访!AM58</f>
        <v>2450.0060048081932</v>
      </c>
      <c r="M58" s="103">
        <f>寻访!AE58+基础投放!O58+基础投放!AM58+付费投放!U58+寻访!AN58</f>
        <v>3364.7692725293427</v>
      </c>
      <c r="N58" s="103">
        <f>寻访!AF58+基础投放!P58+基础投放!AN58+付费投放!V58+寻访!AO58</f>
        <v>3674.2533731569674</v>
      </c>
      <c r="O58" s="103">
        <f>寻访!AG58+基础投放!Q58+基础投放!AO58+付费投放!W58+寻访!AP58</f>
        <v>739.06945485627853</v>
      </c>
      <c r="P58" s="103">
        <f>寻访!AH58+基础投放!R58+基础投放!AP58+付费投放!X58+寻访!AQ58</f>
        <v>59.216642874826853</v>
      </c>
      <c r="Q58" s="83">
        <f t="shared" si="40"/>
        <v>0</v>
      </c>
      <c r="R58" s="83">
        <f t="shared" si="32"/>
        <v>0</v>
      </c>
      <c r="S58" s="83">
        <f t="shared" si="33"/>
        <v>0</v>
      </c>
      <c r="T58" s="83">
        <f t="shared" si="34"/>
        <v>0</v>
      </c>
      <c r="U58" s="83">
        <f t="shared" si="35"/>
        <v>2.1148801026723878</v>
      </c>
      <c r="V58" s="99">
        <f t="shared" si="41"/>
        <v>2450.0060048081932</v>
      </c>
      <c r="W58" s="99">
        <f t="shared" si="36"/>
        <v>3364.7692725293427</v>
      </c>
      <c r="X58" s="99">
        <f t="shared" si="37"/>
        <v>3674.2533731569674</v>
      </c>
      <c r="Y58" s="99">
        <f t="shared" si="38"/>
        <v>739.06945485627853</v>
      </c>
      <c r="Z58" s="99">
        <f t="shared" si="39"/>
        <v>31.216642874826853</v>
      </c>
      <c r="AB58" s="83">
        <f>寻访!AG58/$O58</f>
        <v>0.45999573946478695</v>
      </c>
      <c r="AC58" s="83">
        <f>基础投放!Q58/$O58</f>
        <v>0</v>
      </c>
      <c r="AD58" s="83">
        <f>基础投放!AO58/$O58</f>
        <v>0</v>
      </c>
      <c r="AE58" s="83">
        <f>付费投放!W58/$O58</f>
        <v>0.540004260535213</v>
      </c>
      <c r="AF58" s="83">
        <f>IFERROR(寻访!AH58/$P58,0)</f>
        <v>4.6841804640118244E-2</v>
      </c>
      <c r="AG58" s="83">
        <f>IFERROR(基础投放!R58/$P58,0)</f>
        <v>0</v>
      </c>
      <c r="AH58" s="83">
        <f>IFERROR(基础投放!AP58/$P58,0)</f>
        <v>0</v>
      </c>
      <c r="AI58" s="83">
        <f>IFERROR(付费投放!X58/$P58,0)</f>
        <v>0.95315819535988178</v>
      </c>
    </row>
    <row r="59" spans="3:35" x14ac:dyDescent="0.15">
      <c r="C59" s="70">
        <v>15</v>
      </c>
      <c r="D59" s="60">
        <f>基础信息!D64</f>
        <v>77</v>
      </c>
      <c r="E59" s="61">
        <f>基础信息!E64</f>
        <v>18418.806603807832</v>
      </c>
      <c r="F59" s="61">
        <f>基础信息!F64</f>
        <v>147.45018844840658</v>
      </c>
      <c r="G59" s="69">
        <f>基础信息!$G64*基础信息!I64*(1+求节点(门客进修!$C$23:$C$25,门客进修!D$23:D$25,基础信息!N64))</f>
        <v>0</v>
      </c>
      <c r="H59" s="69">
        <f>基础信息!$G64*基础信息!J64*(1+求节点(门客进修!$C$23:$C$25,门客进修!E$23:E$25,基础信息!O64))</f>
        <v>0</v>
      </c>
      <c r="I59" s="69">
        <f>基础信息!$G64*基础信息!K64*(1+求节点(门客进修!$C$23:$C$25,门客进修!F$23:F$25,基础信息!P64))</f>
        <v>0</v>
      </c>
      <c r="J59" s="69">
        <f>基础信息!$G64*基础信息!L64*(1+求节点(门客进修!$C$23:$C$25,门客进修!G$23:G$25,基础信息!Q64))</f>
        <v>0</v>
      </c>
      <c r="K59" s="69">
        <f>基础信息!$G64*基础信息!M64*(1+求节点(门客进修!$C$23:$C$25,门客进修!H$23:H$25,基础信息!R64))</f>
        <v>45</v>
      </c>
      <c r="L59" s="103">
        <f>寻访!AD59+基础投放!N59+基础投放!AL59+付费投放!T59+寻访!AM59</f>
        <v>4928.8157319826132</v>
      </c>
      <c r="M59" s="103">
        <f>寻访!AE59+基础投放!O59+基础投放!AM59+付费投放!U59+寻访!AN59</f>
        <v>6939.9756098001417</v>
      </c>
      <c r="N59" s="103">
        <f>寻访!AF59+基础投放!P59+基础投放!AN59+付费投放!V59+寻访!AO59</f>
        <v>7721.1626545524014</v>
      </c>
      <c r="O59" s="103">
        <f>寻访!AG59+基础投放!Q59+基础投放!AO59+付费投放!W59+寻访!AP59</f>
        <v>1581.0641978589624</v>
      </c>
      <c r="P59" s="103">
        <f>寻访!AH59+基础投放!R59+基础投放!AP59+付费投放!X59+寻访!AQ59</f>
        <v>122.97929644788148</v>
      </c>
      <c r="Q59" s="83">
        <f t="shared" si="40"/>
        <v>0</v>
      </c>
      <c r="R59" s="83">
        <f t="shared" si="32"/>
        <v>0</v>
      </c>
      <c r="S59" s="83">
        <f t="shared" si="33"/>
        <v>0</v>
      </c>
      <c r="T59" s="83">
        <f t="shared" si="34"/>
        <v>0</v>
      </c>
      <c r="U59" s="83">
        <f t="shared" si="35"/>
        <v>2.7328732543973664</v>
      </c>
      <c r="V59" s="99">
        <f t="shared" si="41"/>
        <v>4928.8157319826132</v>
      </c>
      <c r="W59" s="99">
        <f t="shared" si="36"/>
        <v>6939.9756098001417</v>
      </c>
      <c r="X59" s="99">
        <f t="shared" si="37"/>
        <v>7721.1626545524014</v>
      </c>
      <c r="Y59" s="99">
        <f t="shared" si="38"/>
        <v>1581.0641978589624</v>
      </c>
      <c r="Z59" s="99">
        <f t="shared" si="39"/>
        <v>77.979296447881481</v>
      </c>
      <c r="AB59" s="83">
        <f>寻访!AG59/$O59</f>
        <v>0.48637718943753105</v>
      </c>
      <c r="AC59" s="83">
        <f>基础投放!Q59/$O59</f>
        <v>0</v>
      </c>
      <c r="AD59" s="83">
        <f>基础投放!AO59/$O59</f>
        <v>0</v>
      </c>
      <c r="AE59" s="83">
        <f>付费投放!W59/$O59</f>
        <v>0.51362281056246906</v>
      </c>
      <c r="AF59" s="83">
        <f>IFERROR(寻访!AH59/$P59,0)</f>
        <v>6.1317281996403253E-2</v>
      </c>
      <c r="AG59" s="83">
        <f>IFERROR(基础投放!R59/$P59,0)</f>
        <v>0</v>
      </c>
      <c r="AH59" s="83">
        <f>IFERROR(基础投放!AP59/$P59,0)</f>
        <v>0</v>
      </c>
      <c r="AI59" s="83">
        <f>IFERROR(付费投放!X59/$P59,0)</f>
        <v>0.93868271800359682</v>
      </c>
    </row>
    <row r="60" spans="3:35" x14ac:dyDescent="0.15">
      <c r="C60" s="70">
        <v>16</v>
      </c>
      <c r="D60" s="60">
        <f>基础信息!D65</f>
        <v>80</v>
      </c>
      <c r="E60" s="61">
        <f>基础信息!E65</f>
        <v>28507.724999999999</v>
      </c>
      <c r="F60" s="61">
        <f>基础信息!F65</f>
        <v>153.14946182958477</v>
      </c>
      <c r="G60" s="69">
        <f>基础信息!$G65*基础信息!I65*(1+求节点(门客进修!$C$23:$C$25,门客进修!D$23:D$25,基础信息!N65))</f>
        <v>0</v>
      </c>
      <c r="H60" s="69">
        <f>基础信息!$G65*基础信息!J65*(1+求节点(门客进修!$C$23:$C$25,门客进修!E$23:E$25,基础信息!O65))</f>
        <v>0</v>
      </c>
      <c r="I60" s="69">
        <f>基础信息!$G65*基础信息!K65*(1+求节点(门客进修!$C$23:$C$25,门客进修!F$23:F$25,基础信息!P65))</f>
        <v>0</v>
      </c>
      <c r="J60" s="69">
        <f>基础信息!$G65*基础信息!L65*(1+求节点(门客进修!$C$23:$C$25,门客进修!G$23:G$25,基础信息!Q65))</f>
        <v>0</v>
      </c>
      <c r="K60" s="69">
        <f>基础信息!$G65*基础信息!M65*(1+求节点(门客进修!$C$23:$C$25,门客进修!H$23:H$25,基础信息!R65))</f>
        <v>80</v>
      </c>
      <c r="L60" s="103">
        <f>寻访!AD60+基础投放!N60+基础投放!AL60+付费投放!T60+寻访!AM60</f>
        <v>7551.9345149925766</v>
      </c>
      <c r="M60" s="103">
        <f>寻访!AE60+基础投放!O60+基础投放!AM60+付费投放!U60+寻访!AN60</f>
        <v>10723.320008372204</v>
      </c>
      <c r="N60" s="103">
        <f>寻访!AF60+基础投放!P60+基础投放!AN60+付费投放!V60+寻访!AO60</f>
        <v>12000.642836246378</v>
      </c>
      <c r="O60" s="103">
        <f>寻访!AG60+基础投放!Q60+基础投放!AO60+付费投放!W60+寻访!AP60</f>
        <v>2469.1073029659183</v>
      </c>
      <c r="P60" s="103">
        <f>寻访!AH60+基础投放!R60+基础投放!AP60+付费投放!X60+寻访!AQ60</f>
        <v>190.02972382859303</v>
      </c>
      <c r="Q60" s="83">
        <f t="shared" si="40"/>
        <v>0</v>
      </c>
      <c r="R60" s="83">
        <f t="shared" si="32"/>
        <v>0</v>
      </c>
      <c r="S60" s="83">
        <f t="shared" si="33"/>
        <v>0</v>
      </c>
      <c r="T60" s="83">
        <f t="shared" si="34"/>
        <v>0</v>
      </c>
      <c r="U60" s="83">
        <f t="shared" si="35"/>
        <v>2.3753715478574131</v>
      </c>
      <c r="V60" s="105">
        <f t="shared" ref="V60" si="42">MAX(L60-G60,0)</f>
        <v>7551.9345149925766</v>
      </c>
      <c r="W60" s="105">
        <f t="shared" ref="W60" si="43">MAX(M60-H60,0)</f>
        <v>10723.320008372204</v>
      </c>
      <c r="X60" s="105">
        <f t="shared" ref="X60" si="44">MAX(N60-I60,0)</f>
        <v>12000.642836246378</v>
      </c>
      <c r="Y60" s="105">
        <f t="shared" ref="Y60" si="45">MAX(O60-J60,0)</f>
        <v>2469.1073029659183</v>
      </c>
      <c r="Z60" s="105">
        <f t="shared" ref="Z60" si="46">MAX(P60-K60,0)</f>
        <v>110.02972382859303</v>
      </c>
      <c r="AB60" s="83">
        <f>寻访!AG60/$O60</f>
        <v>0.49531864704078254</v>
      </c>
      <c r="AC60" s="83">
        <f>基础投放!Q60/$O60</f>
        <v>0</v>
      </c>
      <c r="AD60" s="83">
        <f>基础投放!AO60/$O60</f>
        <v>0</v>
      </c>
      <c r="AE60" s="83">
        <f>付费投放!W60/$O60</f>
        <v>0.50468135295921746</v>
      </c>
      <c r="AF60" s="83">
        <f>IFERROR(寻访!AH60/$P60,0)</f>
        <v>6.6227615051748318E-2</v>
      </c>
      <c r="AG60" s="83">
        <f>IFERROR(基础投放!R60/$P60,0)</f>
        <v>0</v>
      </c>
      <c r="AH60" s="83">
        <f>IFERROR(基础投放!AP60/$P60,0)</f>
        <v>0</v>
      </c>
      <c r="AI60" s="83">
        <f>IFERROR(付费投放!X60/$P60,0)</f>
        <v>0.93377238494825165</v>
      </c>
    </row>
    <row r="61" spans="3:35" x14ac:dyDescent="0.15">
      <c r="C61" s="70"/>
      <c r="D61" s="70"/>
      <c r="E61" s="69"/>
      <c r="F61" s="69"/>
    </row>
    <row r="62" spans="3:35" x14ac:dyDescent="0.15">
      <c r="C62" s="70"/>
      <c r="D62" s="70"/>
      <c r="E62" s="69"/>
      <c r="F62" s="69"/>
    </row>
    <row r="63" spans="3:35" x14ac:dyDescent="0.15">
      <c r="C63" s="70" t="s">
        <v>3</v>
      </c>
      <c r="D63" s="70"/>
      <c r="E63" s="69"/>
      <c r="F63" s="69"/>
      <c r="G63" s="122" t="s">
        <v>195</v>
      </c>
      <c r="H63" s="122"/>
      <c r="I63" s="122"/>
      <c r="J63" s="122"/>
      <c r="K63" s="122"/>
      <c r="L63" s="122" t="s">
        <v>196</v>
      </c>
      <c r="M63" s="122"/>
      <c r="N63" s="122"/>
      <c r="O63" s="122"/>
      <c r="P63" s="122"/>
      <c r="Q63" s="122" t="s">
        <v>198</v>
      </c>
      <c r="R63" s="122"/>
      <c r="S63" s="122"/>
      <c r="T63" s="122"/>
      <c r="U63" s="122"/>
      <c r="V63" s="122" t="s">
        <v>255</v>
      </c>
      <c r="W63" s="122"/>
      <c r="X63" s="122"/>
      <c r="Y63" s="122"/>
      <c r="Z63" s="122"/>
      <c r="AB63" s="127" t="s">
        <v>211</v>
      </c>
      <c r="AC63" s="127"/>
      <c r="AD63" s="127"/>
      <c r="AE63" s="127"/>
      <c r="AF63" s="127" t="s">
        <v>215</v>
      </c>
      <c r="AG63" s="127"/>
      <c r="AH63" s="127"/>
      <c r="AI63" s="127"/>
    </row>
    <row r="64" spans="3:35" x14ac:dyDescent="0.15">
      <c r="C64" s="70" t="s">
        <v>21</v>
      </c>
      <c r="D64" s="70" t="s">
        <v>121</v>
      </c>
      <c r="E64" s="69" t="s">
        <v>122</v>
      </c>
      <c r="F64" s="69" t="s">
        <v>103</v>
      </c>
      <c r="G64" s="69" t="s">
        <v>104</v>
      </c>
      <c r="H64" s="69" t="s">
        <v>105</v>
      </c>
      <c r="I64" s="69" t="s">
        <v>106</v>
      </c>
      <c r="J64" s="69" t="s">
        <v>107</v>
      </c>
      <c r="K64" s="69" t="s">
        <v>108</v>
      </c>
      <c r="L64" s="69" t="s">
        <v>104</v>
      </c>
      <c r="M64" s="69" t="s">
        <v>105</v>
      </c>
      <c r="N64" s="69" t="s">
        <v>106</v>
      </c>
      <c r="O64" s="69" t="s">
        <v>107</v>
      </c>
      <c r="P64" s="69" t="s">
        <v>108</v>
      </c>
      <c r="Q64" s="81" t="s">
        <v>104</v>
      </c>
      <c r="R64" s="81" t="s">
        <v>105</v>
      </c>
      <c r="S64" s="81" t="s">
        <v>106</v>
      </c>
      <c r="T64" s="81" t="s">
        <v>107</v>
      </c>
      <c r="U64" s="81" t="s">
        <v>108</v>
      </c>
      <c r="V64" s="99" t="s">
        <v>104</v>
      </c>
      <c r="W64" s="99" t="s">
        <v>105</v>
      </c>
      <c r="X64" s="99" t="s">
        <v>106</v>
      </c>
      <c r="Y64" s="99" t="s">
        <v>107</v>
      </c>
      <c r="Z64" s="99" t="s">
        <v>108</v>
      </c>
      <c r="AB64" s="83" t="s">
        <v>212</v>
      </c>
      <c r="AC64" s="83" t="s">
        <v>213</v>
      </c>
      <c r="AD64" s="83" t="s">
        <v>214</v>
      </c>
      <c r="AE64" s="83" t="s">
        <v>254</v>
      </c>
      <c r="AF64" s="83" t="s">
        <v>212</v>
      </c>
      <c r="AG64" s="83" t="s">
        <v>213</v>
      </c>
      <c r="AH64" s="83" t="s">
        <v>214</v>
      </c>
      <c r="AI64" s="83" t="s">
        <v>254</v>
      </c>
    </row>
    <row r="65" spans="3:35" x14ac:dyDescent="0.15">
      <c r="C65" s="70">
        <v>1</v>
      </c>
      <c r="D65" s="60">
        <f>基础信息!D70</f>
        <v>16</v>
      </c>
      <c r="E65" s="61">
        <f>基础信息!E70</f>
        <v>1.0155087681570587</v>
      </c>
      <c r="F65" s="61">
        <f>基础信息!F70</f>
        <v>15.589627930182091</v>
      </c>
      <c r="G65" s="69">
        <f>基础信息!$G70*基础信息!I70*(1+求节点(门客进修!$C$23:$C$25,门客进修!D$23:D$25,基础信息!N70))</f>
        <v>0</v>
      </c>
      <c r="H65" s="69">
        <f>基础信息!$G70*基础信息!J70*(1+求节点(门客进修!$C$23:$C$25,门客进修!E$23:E$25,基础信息!O70))</f>
        <v>0</v>
      </c>
      <c r="I65" s="69">
        <f>基础信息!$G70*基础信息!K70*(1+求节点(门客进修!$C$23:$C$25,门客进修!F$23:F$25,基础信息!P70))</f>
        <v>1</v>
      </c>
      <c r="J65" s="69">
        <f>基础信息!$G70*基础信息!L70*(1+求节点(门客进修!$C$23:$C$25,门客进修!G$23:G$25,基础信息!Q70))</f>
        <v>0</v>
      </c>
      <c r="K65" s="69">
        <f>基础信息!$G70*基础信息!M70*(1+求节点(门客进修!$C$23:$C$25,门客进修!H$23:H$25,基础信息!R70))</f>
        <v>0</v>
      </c>
      <c r="L65" s="103">
        <f>寻访!AD65+基础投放!N65+基础投放!AL65+付费投放!T65+寻访!AM65</f>
        <v>1</v>
      </c>
      <c r="M65" s="103">
        <f>寻访!AE65+基础投放!O65+基础投放!AM65+付费投放!U65+寻访!AN65</f>
        <v>0</v>
      </c>
      <c r="N65" s="103">
        <f>寻访!AF65+基础投放!P65+基础投放!AN65+付费投放!V65+寻访!AO65</f>
        <v>0.69976731512507073</v>
      </c>
      <c r="O65" s="103">
        <f>寻访!AG65+基础投放!Q65+基础投放!AO65+付费投放!W65+寻访!AP65</f>
        <v>0.69976731512507073</v>
      </c>
      <c r="P65" s="103">
        <f>寻访!AH65+基础投放!R65+基础投放!AP65+付费投放!X65+寻访!AQ65</f>
        <v>0</v>
      </c>
      <c r="Q65" s="83">
        <f>IFERROR(L65/G65,0)</f>
        <v>0</v>
      </c>
      <c r="R65" s="83">
        <f t="shared" ref="R65:R80" si="47">IFERROR(M65/H65,0)</f>
        <v>0</v>
      </c>
      <c r="S65" s="83">
        <f t="shared" ref="S65:S80" si="48">IFERROR(N65/I65,0)</f>
        <v>0.69976731512507073</v>
      </c>
      <c r="T65" s="83">
        <f t="shared" ref="T65:T80" si="49">IFERROR(O65/J65,0)</f>
        <v>0</v>
      </c>
      <c r="U65" s="83">
        <f t="shared" ref="U65:U80" si="50">IFERROR(P65/K65,0)</f>
        <v>0</v>
      </c>
      <c r="V65" s="99">
        <f>IF(V66=0,0,MAX(L65-G65,0))</f>
        <v>1</v>
      </c>
      <c r="W65" s="99">
        <f t="shared" ref="W65:W79" si="51">IF(W66=0,0,MAX(M65-H65,0))</f>
        <v>0</v>
      </c>
      <c r="X65" s="99">
        <f t="shared" ref="X65:X79" si="52">IF(X66=0,0,MAX(N65-I65,0))</f>
        <v>0</v>
      </c>
      <c r="Y65" s="99">
        <f t="shared" ref="Y65:Y79" si="53">IF(Y66=0,0,MAX(O65-J65,0))</f>
        <v>0</v>
      </c>
      <c r="Z65" s="99">
        <f t="shared" ref="Z65:Z79" si="54">IF(Z66=0,0,MAX(P65-K65,0))</f>
        <v>0</v>
      </c>
      <c r="AB65" s="83">
        <f>寻访!AG65/$O65</f>
        <v>0</v>
      </c>
      <c r="AC65" s="83">
        <f>基础投放!Q65/$O65</f>
        <v>0</v>
      </c>
      <c r="AD65" s="83">
        <f>基础投放!AO65/$O65</f>
        <v>0</v>
      </c>
      <c r="AE65" s="83">
        <f>付费投放!W65/$O65</f>
        <v>1</v>
      </c>
      <c r="AF65" s="83">
        <f>IFERROR(寻访!AH65/$P65,0)</f>
        <v>0</v>
      </c>
      <c r="AG65" s="83">
        <f>IFERROR(基础投放!R65/$P65,0)</f>
        <v>0</v>
      </c>
      <c r="AH65" s="83">
        <f>IFERROR(基础投放!AP65/$P65,0)</f>
        <v>0</v>
      </c>
      <c r="AI65" s="83">
        <f>IFERROR(付费投放!X65/$P65,0)</f>
        <v>0</v>
      </c>
    </row>
    <row r="66" spans="3:35" x14ac:dyDescent="0.15">
      <c r="C66" s="70">
        <v>2</v>
      </c>
      <c r="D66" s="60">
        <f>基础信息!D71</f>
        <v>19.5</v>
      </c>
      <c r="E66" s="61">
        <f>基础信息!E71</f>
        <v>1.9291590128661831</v>
      </c>
      <c r="F66" s="61">
        <f>基础信息!F71</f>
        <v>22.124520244011151</v>
      </c>
      <c r="G66" s="69">
        <f>基础信息!$G71*基础信息!I71*(1+求节点(门客进修!$C$23:$C$25,门客进修!D$23:D$25,基础信息!N71))</f>
        <v>0</v>
      </c>
      <c r="H66" s="69">
        <f>基础信息!$G71*基础信息!J71*(1+求节点(门客进修!$C$23:$C$25,门客进修!E$23:E$25,基础信息!O71))</f>
        <v>0</v>
      </c>
      <c r="I66" s="69">
        <f>基础信息!$G71*基础信息!K71*(1+求节点(门客进修!$C$23:$C$25,门客进修!F$23:F$25,基础信息!P71))</f>
        <v>2</v>
      </c>
      <c r="J66" s="69">
        <f>基础信息!$G71*基础信息!L71*(1+求节点(门客进修!$C$23:$C$25,门客进修!G$23:G$25,基础信息!Q71))</f>
        <v>0</v>
      </c>
      <c r="K66" s="69">
        <f>基础信息!$G71*基础信息!M71*(1+求节点(门客进修!$C$23:$C$25,门客进修!H$23:H$25,基础信息!R71))</f>
        <v>0</v>
      </c>
      <c r="L66" s="103">
        <f>寻访!AD66+基础投放!N66+基础投放!AL66+付费投放!T66+寻访!AM66</f>
        <v>2</v>
      </c>
      <c r="M66" s="103">
        <f>寻访!AE66+基础投放!O66+基础投放!AM66+付费投放!U66+寻访!AN66</f>
        <v>0</v>
      </c>
      <c r="N66" s="103">
        <f>寻访!AF66+基础投放!P66+基础投放!AN66+付费投放!V66+寻访!AO66</f>
        <v>1.0565321990134722</v>
      </c>
      <c r="O66" s="103">
        <f>寻访!AG66+基础投放!Q66+基础投放!AO66+付费投放!W66+寻访!AP66</f>
        <v>1.0565321990134722</v>
      </c>
      <c r="P66" s="103">
        <f>寻访!AH66+基础投放!R66+基础投放!AP66+付费投放!X66+寻访!AQ66</f>
        <v>0</v>
      </c>
      <c r="Q66" s="83">
        <f t="shared" ref="Q66:Q80" si="55">IFERROR(L66/G66,0)</f>
        <v>0</v>
      </c>
      <c r="R66" s="83">
        <f t="shared" si="47"/>
        <v>0</v>
      </c>
      <c r="S66" s="83">
        <f t="shared" si="48"/>
        <v>0.52826609950673609</v>
      </c>
      <c r="T66" s="83">
        <f t="shared" si="49"/>
        <v>0</v>
      </c>
      <c r="U66" s="83">
        <f t="shared" si="50"/>
        <v>0</v>
      </c>
      <c r="V66" s="99">
        <f t="shared" ref="V66:V79" si="56">IF(V67=0,0,MAX(L66-G66,0))</f>
        <v>2</v>
      </c>
      <c r="W66" s="99">
        <f t="shared" si="51"/>
        <v>0</v>
      </c>
      <c r="X66" s="99">
        <f t="shared" si="52"/>
        <v>0</v>
      </c>
      <c r="Y66" s="99">
        <f t="shared" si="53"/>
        <v>0</v>
      </c>
      <c r="Z66" s="99">
        <f t="shared" si="54"/>
        <v>0</v>
      </c>
      <c r="AB66" s="83">
        <f>寻访!AG66/$O66</f>
        <v>0</v>
      </c>
      <c r="AC66" s="83">
        <f>基础投放!Q66/$O66</f>
        <v>0</v>
      </c>
      <c r="AD66" s="83">
        <f>基础投放!AO66/$O66</f>
        <v>0</v>
      </c>
      <c r="AE66" s="83">
        <f>付费投放!W66/$O66</f>
        <v>1</v>
      </c>
      <c r="AF66" s="83">
        <f>IFERROR(寻访!AH66/$P66,0)</f>
        <v>0</v>
      </c>
      <c r="AG66" s="83">
        <f>IFERROR(基础投放!R66/$P66,0)</f>
        <v>0</v>
      </c>
      <c r="AH66" s="83">
        <f>IFERROR(基础投放!AP66/$P66,0)</f>
        <v>0</v>
      </c>
      <c r="AI66" s="83">
        <f>IFERROR(付费投放!X66/$P66,0)</f>
        <v>0</v>
      </c>
    </row>
    <row r="67" spans="3:35" x14ac:dyDescent="0.15">
      <c r="C67" s="70">
        <v>3</v>
      </c>
      <c r="D67" s="60">
        <f>基础信息!D72</f>
        <v>23.5</v>
      </c>
      <c r="E67" s="61">
        <f>基础信息!E72</f>
        <v>3.8620055508637692</v>
      </c>
      <c r="F67" s="61">
        <f>基础信息!F72</f>
        <v>30.385092920099169</v>
      </c>
      <c r="G67" s="69">
        <f>基础信息!$G72*基础信息!I72*(1+求节点(门客进修!$C$23:$C$25,门客进修!D$23:D$25,基础信息!N72))</f>
        <v>0</v>
      </c>
      <c r="H67" s="69">
        <f>基础信息!$G72*基础信息!J72*(1+求节点(门客进修!$C$23:$C$25,门客进修!E$23:E$25,基础信息!O72))</f>
        <v>0</v>
      </c>
      <c r="I67" s="69">
        <f>基础信息!$G72*基础信息!K72*(1+求节点(门客进修!$C$23:$C$25,门客进修!F$23:F$25,基础信息!P72))</f>
        <v>1.5</v>
      </c>
      <c r="J67" s="69">
        <f>基础信息!$G72*基础信息!L72*(1+求节点(门客进修!$C$23:$C$25,门客进修!G$23:G$25,基础信息!Q72))</f>
        <v>1.5</v>
      </c>
      <c r="K67" s="69">
        <f>基础信息!$G72*基础信息!M72*(1+求节点(门客进修!$C$23:$C$25,门客进修!H$23:H$25,基础信息!R72))</f>
        <v>0</v>
      </c>
      <c r="L67" s="103">
        <f>寻访!AD67+基础投放!N67+基础投放!AL67+付费投放!T67+寻访!AM67</f>
        <v>3</v>
      </c>
      <c r="M67" s="103">
        <f>寻访!AE67+基础投放!O67+基础投放!AM67+付费投放!U67+寻访!AN67</f>
        <v>0</v>
      </c>
      <c r="N67" s="103">
        <f>寻访!AF67+基础投放!P67+基础投放!AN67+付费投放!V67+寻访!AO67</f>
        <v>1.7972161809605289</v>
      </c>
      <c r="O67" s="103">
        <f>寻访!AG67+基础投放!Q67+基础投放!AO67+付费投放!W67+寻访!AP67</f>
        <v>1.7972161809605289</v>
      </c>
      <c r="P67" s="103">
        <f>寻访!AH67+基础投放!R67+基础投放!AP67+付费投放!X67+寻访!AQ67</f>
        <v>0</v>
      </c>
      <c r="Q67" s="83">
        <f t="shared" si="55"/>
        <v>0</v>
      </c>
      <c r="R67" s="83">
        <f t="shared" si="47"/>
        <v>0</v>
      </c>
      <c r="S67" s="83">
        <f t="shared" si="48"/>
        <v>1.1981441206403527</v>
      </c>
      <c r="T67" s="83">
        <f t="shared" si="49"/>
        <v>1.1981441206403527</v>
      </c>
      <c r="U67" s="83">
        <f t="shared" si="50"/>
        <v>0</v>
      </c>
      <c r="V67" s="99">
        <f t="shared" si="56"/>
        <v>3</v>
      </c>
      <c r="W67" s="99">
        <f t="shared" si="51"/>
        <v>0</v>
      </c>
      <c r="X67" s="99">
        <f t="shared" si="52"/>
        <v>0.29721618096052893</v>
      </c>
      <c r="Y67" s="99">
        <f t="shared" si="53"/>
        <v>0</v>
      </c>
      <c r="Z67" s="99">
        <f t="shared" si="54"/>
        <v>0</v>
      </c>
      <c r="AB67" s="83">
        <f>寻访!AG67/$O67</f>
        <v>0</v>
      </c>
      <c r="AC67" s="83">
        <f>基础投放!Q67/$O67</f>
        <v>0</v>
      </c>
      <c r="AD67" s="83">
        <f>基础投放!AO67/$O67</f>
        <v>0</v>
      </c>
      <c r="AE67" s="83">
        <f>付费投放!W67/$O67</f>
        <v>1</v>
      </c>
      <c r="AF67" s="83">
        <f>IFERROR(寻访!AH67/$P67,0)</f>
        <v>0</v>
      </c>
      <c r="AG67" s="83">
        <f>IFERROR(基础投放!R67/$P67,0)</f>
        <v>0</v>
      </c>
      <c r="AH67" s="83">
        <f>IFERROR(基础投放!AP67/$P67,0)</f>
        <v>0</v>
      </c>
      <c r="AI67" s="83">
        <f>IFERROR(付费投放!X67/$P67,0)</f>
        <v>0</v>
      </c>
    </row>
    <row r="68" spans="3:35" x14ac:dyDescent="0.15">
      <c r="C68" s="70">
        <v>4</v>
      </c>
      <c r="D68" s="60">
        <f>基础信息!D73</f>
        <v>27.5</v>
      </c>
      <c r="E68" s="61">
        <f>基础信息!E73</f>
        <v>7.5480892551941539</v>
      </c>
      <c r="F68" s="61">
        <f>基础信息!F73</f>
        <v>39.22082982715331</v>
      </c>
      <c r="G68" s="69">
        <f>基础信息!$G73*基础信息!I73*(1+求节点(门客进修!$C$23:$C$25,门客进修!D$23:D$25,基础信息!N73))</f>
        <v>0</v>
      </c>
      <c r="H68" s="69">
        <f>基础信息!$G73*基础信息!J73*(1+求节点(门客进修!$C$23:$C$25,门客进修!E$23:E$25,基础信息!O73))</f>
        <v>0</v>
      </c>
      <c r="I68" s="69">
        <f>基础信息!$G73*基础信息!K73*(1+求节点(门客进修!$C$23:$C$25,门客进修!F$23:F$25,基础信息!P73))</f>
        <v>0</v>
      </c>
      <c r="J68" s="69">
        <f>基础信息!$G73*基础信息!L73*(1+求节点(门客进修!$C$23:$C$25,门客进修!G$23:G$25,基础信息!Q73))</f>
        <v>4</v>
      </c>
      <c r="K68" s="69">
        <f>基础信息!$G73*基础信息!M73*(1+求节点(门客进修!$C$23:$C$25,门客进修!H$23:H$25,基础信息!R73))</f>
        <v>0</v>
      </c>
      <c r="L68" s="103">
        <f>寻访!AD68+基础投放!N68+基础投放!AL68+付费投放!T68+寻访!AM68</f>
        <v>4</v>
      </c>
      <c r="M68" s="103">
        <f>寻访!AE68+基础投放!O68+基础投放!AM68+付费投放!U68+寻访!AN68</f>
        <v>0</v>
      </c>
      <c r="N68" s="103">
        <f>寻访!AF68+基础投放!P68+基础投放!AN68+付费投放!V68+寻访!AO68</f>
        <v>3.1813283827862833</v>
      </c>
      <c r="O68" s="103">
        <f>寻访!AG68+基础投放!Q68+基础投放!AO68+付费投放!W68+寻访!AP68</f>
        <v>3.1813283827862833</v>
      </c>
      <c r="P68" s="103">
        <f>寻访!AH68+基础投放!R68+基础投放!AP68+付费投放!X68+寻访!AQ68</f>
        <v>0</v>
      </c>
      <c r="Q68" s="83">
        <f t="shared" si="55"/>
        <v>0</v>
      </c>
      <c r="R68" s="83">
        <f t="shared" si="47"/>
        <v>0</v>
      </c>
      <c r="S68" s="83">
        <f t="shared" si="48"/>
        <v>0</v>
      </c>
      <c r="T68" s="83">
        <f t="shared" si="49"/>
        <v>0.79533209569657082</v>
      </c>
      <c r="U68" s="83">
        <f t="shared" si="50"/>
        <v>0</v>
      </c>
      <c r="V68" s="99">
        <f t="shared" si="56"/>
        <v>4</v>
      </c>
      <c r="W68" s="99">
        <f t="shared" si="51"/>
        <v>0</v>
      </c>
      <c r="X68" s="99">
        <f t="shared" si="52"/>
        <v>3.1813283827862833</v>
      </c>
      <c r="Y68" s="99">
        <f t="shared" si="53"/>
        <v>0</v>
      </c>
      <c r="Z68" s="99">
        <f t="shared" si="54"/>
        <v>0</v>
      </c>
      <c r="AB68" s="83">
        <f>寻访!AG68/$O68</f>
        <v>0</v>
      </c>
      <c r="AC68" s="83">
        <f>基础投放!Q68/$O68</f>
        <v>0</v>
      </c>
      <c r="AD68" s="83">
        <f>基础投放!AO68/$O68</f>
        <v>0</v>
      </c>
      <c r="AE68" s="83">
        <f>付费投放!W68/$O68</f>
        <v>1</v>
      </c>
      <c r="AF68" s="83">
        <f>IFERROR(寻访!AH68/$P68,0)</f>
        <v>0</v>
      </c>
      <c r="AG68" s="83">
        <f>IFERROR(基础投放!R68/$P68,0)</f>
        <v>0</v>
      </c>
      <c r="AH68" s="83">
        <f>IFERROR(基础投放!AP68/$P68,0)</f>
        <v>0</v>
      </c>
      <c r="AI68" s="83">
        <f>IFERROR(付费投放!X68/$P68,0)</f>
        <v>0</v>
      </c>
    </row>
    <row r="69" spans="3:35" x14ac:dyDescent="0.15">
      <c r="C69" s="70">
        <v>5</v>
      </c>
      <c r="D69" s="60">
        <f>基础信息!D74</f>
        <v>31.5</v>
      </c>
      <c r="E69" s="61">
        <f>基础信息!E74</f>
        <v>14.515695505432269</v>
      </c>
      <c r="F69" s="61">
        <f>基础信息!F74</f>
        <v>48.246535012671018</v>
      </c>
      <c r="G69" s="69">
        <f>基础信息!$G74*基础信息!I74*(1+求节点(门客进修!$C$23:$C$25,门客进修!D$23:D$25,基础信息!N74))</f>
        <v>0</v>
      </c>
      <c r="H69" s="69">
        <f>基础信息!$G74*基础信息!J74*(1+求节点(门客进修!$C$23:$C$25,门客进修!E$23:E$25,基础信息!O74))</f>
        <v>0</v>
      </c>
      <c r="I69" s="69">
        <f>基础信息!$G74*基础信息!K74*(1+求节点(门客进修!$C$23:$C$25,门客进修!F$23:F$25,基础信息!P74))</f>
        <v>0</v>
      </c>
      <c r="J69" s="69">
        <f>基础信息!$G74*基础信息!L74*(1+求节点(门客进修!$C$23:$C$25,门客进修!G$23:G$25,基础信息!Q74))</f>
        <v>10</v>
      </c>
      <c r="K69" s="69">
        <f>基础信息!$G74*基础信息!M74*(1+求节点(门客进修!$C$23:$C$25,门客进修!H$23:H$25,基础信息!R74))</f>
        <v>0</v>
      </c>
      <c r="L69" s="103">
        <f>寻访!AD69+基础投放!N69+基础投放!AL69+付费投放!T69+寻访!AM69</f>
        <v>10.574085000190493</v>
      </c>
      <c r="M69" s="103">
        <f>寻访!AE69+基础投放!O69+基础投放!AM69+付费投放!U69+寻访!AN69</f>
        <v>1.3935212500476233</v>
      </c>
      <c r="N69" s="103">
        <f>寻访!AF69+基础投放!P69+基础投放!AN69+付费投放!V69+寻访!AO69</f>
        <v>5.4730647259829048</v>
      </c>
      <c r="O69" s="103">
        <f>寻访!AG69+基础投放!Q69+基础投放!AO69+付费投放!W69+寻访!AP69</f>
        <v>5.4730647259829048</v>
      </c>
      <c r="P69" s="103">
        <f>寻访!AH69+基础投放!R69+基础投放!AP69+付费投放!X69+寻访!AQ69</f>
        <v>0</v>
      </c>
      <c r="Q69" s="83">
        <f t="shared" si="55"/>
        <v>0</v>
      </c>
      <c r="R69" s="83">
        <f t="shared" si="47"/>
        <v>0</v>
      </c>
      <c r="S69" s="83">
        <f t="shared" si="48"/>
        <v>0</v>
      </c>
      <c r="T69" s="83">
        <f t="shared" si="49"/>
        <v>0.54730647259829046</v>
      </c>
      <c r="U69" s="83">
        <f t="shared" si="50"/>
        <v>0</v>
      </c>
      <c r="V69" s="99">
        <f t="shared" si="56"/>
        <v>10.574085000190493</v>
      </c>
      <c r="W69" s="99">
        <f t="shared" si="51"/>
        <v>1.3935212500476233</v>
      </c>
      <c r="X69" s="99">
        <f t="shared" si="52"/>
        <v>5.4730647259829048</v>
      </c>
      <c r="Y69" s="99">
        <f t="shared" si="53"/>
        <v>0</v>
      </c>
      <c r="Z69" s="99">
        <f t="shared" si="54"/>
        <v>0</v>
      </c>
      <c r="AB69" s="83">
        <f>寻访!AG69/$O69</f>
        <v>0</v>
      </c>
      <c r="AC69" s="83">
        <f>基础投放!Q69/$O69</f>
        <v>0</v>
      </c>
      <c r="AD69" s="83">
        <f>基础投放!AO69/$O69</f>
        <v>0</v>
      </c>
      <c r="AE69" s="83">
        <f>付费投放!W69/$O69</f>
        <v>1</v>
      </c>
      <c r="AF69" s="83">
        <f>IFERROR(寻访!AH69/$P69,0)</f>
        <v>0</v>
      </c>
      <c r="AG69" s="83">
        <f>IFERROR(基础投放!R69/$P69,0)</f>
        <v>0</v>
      </c>
      <c r="AH69" s="83">
        <f>IFERROR(基础投放!AP69/$P69,0)</f>
        <v>0</v>
      </c>
      <c r="AI69" s="83">
        <f>IFERROR(付费投放!X69/$P69,0)</f>
        <v>0</v>
      </c>
    </row>
    <row r="70" spans="3:35" x14ac:dyDescent="0.15">
      <c r="C70" s="70">
        <v>6</v>
      </c>
      <c r="D70" s="60">
        <f>基础信息!D75</f>
        <v>35.5</v>
      </c>
      <c r="E70" s="61">
        <f>基础信息!E75</f>
        <v>27.449372333401666</v>
      </c>
      <c r="F70" s="61">
        <f>基础信息!F75</f>
        <v>57.411337115405701</v>
      </c>
      <c r="G70" s="69">
        <f>基础信息!$G75*基础信息!I75*(1+求节点(门客进修!$C$23:$C$25,门客进修!D$23:D$25,基础信息!N75))</f>
        <v>0</v>
      </c>
      <c r="H70" s="69">
        <f>基础信息!$G75*基础信息!J75*(1+求节点(门客进修!$C$23:$C$25,门客进修!E$23:E$25,基础信息!O75))</f>
        <v>0</v>
      </c>
      <c r="I70" s="69">
        <f>基础信息!$G75*基础信息!K75*(1+求节点(门客进修!$C$23:$C$25,门客进修!F$23:F$25,基础信息!P75))</f>
        <v>0</v>
      </c>
      <c r="J70" s="69">
        <f>基础信息!$G75*基础信息!L75*(1+求节点(门客进修!$C$23:$C$25,门客进修!G$23:G$25,基础信息!Q75))</f>
        <v>18</v>
      </c>
      <c r="K70" s="69">
        <f>基础信息!$G75*基础信息!M75*(1+求节点(门客进修!$C$23:$C$25,门客进修!H$23:H$25,基础信息!R75))</f>
        <v>0</v>
      </c>
      <c r="L70" s="103">
        <f>寻访!AD70+基础投放!N70+基础投放!AL70+付费投放!T70+寻访!AM70</f>
        <v>20.368985243209686</v>
      </c>
      <c r="M70" s="103">
        <f>寻访!AE70+基础投放!O70+基础投放!AM70+付费投放!U70+寻访!AN70</f>
        <v>4.7562772253196659</v>
      </c>
      <c r="N70" s="103">
        <f>寻访!AF70+基础投放!P70+基础投放!AN70+付费投放!V70+寻访!AO70</f>
        <v>10.110143745129678</v>
      </c>
      <c r="O70" s="103">
        <f>寻访!AG70+基础投放!Q70+基础投放!AO70+付费投放!W70+寻访!AP70</f>
        <v>9.3341231354515148</v>
      </c>
      <c r="P70" s="103">
        <f>寻访!AH70+基础投放!R70+基础投放!AP70+付费投放!X70+寻访!AQ70</f>
        <v>0</v>
      </c>
      <c r="Q70" s="83">
        <f t="shared" si="55"/>
        <v>0</v>
      </c>
      <c r="R70" s="83">
        <f t="shared" si="47"/>
        <v>0</v>
      </c>
      <c r="S70" s="83">
        <f t="shared" si="48"/>
        <v>0</v>
      </c>
      <c r="T70" s="83">
        <f t="shared" si="49"/>
        <v>0.51856239641397306</v>
      </c>
      <c r="U70" s="83">
        <f t="shared" si="50"/>
        <v>0</v>
      </c>
      <c r="V70" s="99">
        <f t="shared" si="56"/>
        <v>20.368985243209686</v>
      </c>
      <c r="W70" s="99">
        <f t="shared" si="51"/>
        <v>4.7562772253196659</v>
      </c>
      <c r="X70" s="99">
        <f t="shared" si="52"/>
        <v>10.110143745129678</v>
      </c>
      <c r="Y70" s="99">
        <f t="shared" si="53"/>
        <v>0</v>
      </c>
      <c r="Z70" s="99">
        <f t="shared" si="54"/>
        <v>0</v>
      </c>
      <c r="AB70" s="83">
        <f>寻访!AG70/$O70</f>
        <v>0</v>
      </c>
      <c r="AC70" s="83">
        <f>基础投放!Q70/$O70</f>
        <v>0</v>
      </c>
      <c r="AD70" s="83">
        <f>基础投放!AO70/$O70</f>
        <v>0</v>
      </c>
      <c r="AE70" s="83">
        <f>付费投放!W70/$O70</f>
        <v>1</v>
      </c>
      <c r="AF70" s="83">
        <f>IFERROR(寻访!AH70/$P70,0)</f>
        <v>0</v>
      </c>
      <c r="AG70" s="83">
        <f>IFERROR(基础投放!R70/$P70,0)</f>
        <v>0</v>
      </c>
      <c r="AH70" s="83">
        <f>IFERROR(基础投放!AP70/$P70,0)</f>
        <v>0</v>
      </c>
      <c r="AI70" s="83">
        <f>IFERROR(付费投放!X70/$P70,0)</f>
        <v>0</v>
      </c>
    </row>
    <row r="71" spans="3:35" x14ac:dyDescent="0.15">
      <c r="C71" s="70">
        <v>7</v>
      </c>
      <c r="D71" s="60">
        <f>基础信息!D76</f>
        <v>39.5</v>
      </c>
      <c r="E71" s="61">
        <f>基础信息!E76</f>
        <v>49.848538197196007</v>
      </c>
      <c r="F71" s="61">
        <f>基础信息!F76</f>
        <v>65.902718877121345</v>
      </c>
      <c r="G71" s="69">
        <f>基础信息!$G76*基础信息!I76*(1+求节点(门客进修!$C$23:$C$25,门客进修!D$23:D$25,基础信息!N76))</f>
        <v>0</v>
      </c>
      <c r="H71" s="69">
        <f>基础信息!$G76*基础信息!J76*(1+求节点(门客进修!$C$23:$C$25,门客进修!E$23:E$25,基础信息!O76))</f>
        <v>0</v>
      </c>
      <c r="I71" s="69">
        <f>基础信息!$G76*基础信息!K76*(1+求节点(门客进修!$C$23:$C$25,门客进修!F$23:F$25,基础信息!P76))</f>
        <v>0</v>
      </c>
      <c r="J71" s="69">
        <f>基础信息!$G76*基础信息!L76*(1+求节点(门客进修!$C$23:$C$25,门客进修!G$23:G$25,基础信息!Q76))</f>
        <v>35</v>
      </c>
      <c r="K71" s="69">
        <f>基础信息!$G76*基础信息!M76*(1+求节点(门客进修!$C$23:$C$25,门客进修!H$23:H$25,基础信息!R76))</f>
        <v>0</v>
      </c>
      <c r="L71" s="103">
        <f>寻访!AD71+基础投放!N71+基础投放!AL71+付费投放!T71+寻访!AM71</f>
        <v>31.568568175106854</v>
      </c>
      <c r="M71" s="103">
        <f>寻访!AE71+基础投放!O71+基础投放!AM71+付费投放!U71+寻访!AN71</f>
        <v>14.155964424242544</v>
      </c>
      <c r="N71" s="103">
        <f>寻访!AF71+基础投放!P71+基础投放!AN71+付费投放!V71+寻访!AO71</f>
        <v>21.566105091696606</v>
      </c>
      <c r="O71" s="103">
        <f>寻访!AG71+基础投放!Q71+基础投放!AO71+付费投放!W71+寻访!AP71</f>
        <v>16.493973763925105</v>
      </c>
      <c r="P71" s="103">
        <f>寻访!AH71+基础投放!R71+基础投放!AP71+付费投放!X71+寻访!AQ71</f>
        <v>0</v>
      </c>
      <c r="Q71" s="83">
        <f t="shared" si="55"/>
        <v>0</v>
      </c>
      <c r="R71" s="83">
        <f t="shared" si="47"/>
        <v>0</v>
      </c>
      <c r="S71" s="83">
        <f t="shared" si="48"/>
        <v>0</v>
      </c>
      <c r="T71" s="83">
        <f t="shared" si="49"/>
        <v>0.47125639325500301</v>
      </c>
      <c r="U71" s="83">
        <f t="shared" si="50"/>
        <v>0</v>
      </c>
      <c r="V71" s="99">
        <f t="shared" si="56"/>
        <v>31.568568175106854</v>
      </c>
      <c r="W71" s="99">
        <f t="shared" si="51"/>
        <v>14.155964424242544</v>
      </c>
      <c r="X71" s="99">
        <f t="shared" si="52"/>
        <v>21.566105091696606</v>
      </c>
      <c r="Y71" s="99">
        <f t="shared" si="53"/>
        <v>0</v>
      </c>
      <c r="Z71" s="99">
        <f t="shared" si="54"/>
        <v>0</v>
      </c>
      <c r="AB71" s="83">
        <f>寻访!AG71/$O71</f>
        <v>6.7901059454771344E-3</v>
      </c>
      <c r="AC71" s="83">
        <f>基础投放!Q71/$O71</f>
        <v>0</v>
      </c>
      <c r="AD71" s="83">
        <f>基础投放!AO71/$O71</f>
        <v>0</v>
      </c>
      <c r="AE71" s="83">
        <f>付费投放!W71/$O71</f>
        <v>0.99320989405452287</v>
      </c>
      <c r="AF71" s="83">
        <f>IFERROR(寻访!AH71/$P71,0)</f>
        <v>0</v>
      </c>
      <c r="AG71" s="83">
        <f>IFERROR(基础投放!R71/$P71,0)</f>
        <v>0</v>
      </c>
      <c r="AH71" s="83">
        <f>IFERROR(基础投放!AP71/$P71,0)</f>
        <v>0</v>
      </c>
      <c r="AI71" s="83">
        <f>IFERROR(付费投放!X71/$P71,0)</f>
        <v>0</v>
      </c>
    </row>
    <row r="72" spans="3:35" x14ac:dyDescent="0.15">
      <c r="C72" s="70">
        <v>8</v>
      </c>
      <c r="D72" s="60">
        <f>基础信息!D77</f>
        <v>43.5</v>
      </c>
      <c r="E72" s="61">
        <f>基础信息!E77</f>
        <v>90.273217467309593</v>
      </c>
      <c r="F72" s="61">
        <f>基础信息!F77</f>
        <v>74.536451869422805</v>
      </c>
      <c r="G72" s="69">
        <f>基础信息!$G77*基础信息!I77*(1+求节点(门客进修!$C$23:$C$25,门客进修!D$23:D$25,基础信息!N77))</f>
        <v>0</v>
      </c>
      <c r="H72" s="69">
        <f>基础信息!$G77*基础信息!J77*(1+求节点(门客进修!$C$23:$C$25,门客进修!E$23:E$25,基础信息!O77))</f>
        <v>0</v>
      </c>
      <c r="I72" s="69">
        <f>基础信息!$G77*基础信息!K77*(1+求节点(门客进修!$C$23:$C$25,门客进修!F$23:F$25,基础信息!P77))</f>
        <v>0</v>
      </c>
      <c r="J72" s="69">
        <f>基础信息!$G77*基础信息!L77*(1+求节点(门客进修!$C$23:$C$25,门客进修!G$23:G$25,基础信息!Q77))</f>
        <v>44.800000000000004</v>
      </c>
      <c r="K72" s="69">
        <f>基础信息!$G77*基础信息!M77*(1+求节点(门客进修!$C$23:$C$25,门客进修!H$23:H$25,基础信息!R77))</f>
        <v>1.6</v>
      </c>
      <c r="L72" s="103">
        <f>寻访!AD72+基础投放!N72+基础投放!AL72+付费投放!T72+寻访!AM72</f>
        <v>49.759673846657968</v>
      </c>
      <c r="M72" s="103">
        <f>寻访!AE72+基础投放!O72+基础投放!AM72+付费投放!U72+寻访!AN72</f>
        <v>30.315219150535139</v>
      </c>
      <c r="N72" s="103">
        <f>寻访!AF72+基础投放!P72+基础投放!AN72+付费投放!V72+寻访!AO72</f>
        <v>40.143861167972901</v>
      </c>
      <c r="O72" s="103">
        <f>寻访!AG72+基础投放!Q72+基础投放!AO72+付费投放!W72+寻访!AP72</f>
        <v>25.302432349923944</v>
      </c>
      <c r="P72" s="103">
        <f>寻访!AH72+基础投放!R72+基础投放!AP72+付费投放!X72+寻访!AQ72</f>
        <v>1.2006016847568146</v>
      </c>
      <c r="Q72" s="83">
        <f t="shared" si="55"/>
        <v>0</v>
      </c>
      <c r="R72" s="83">
        <f t="shared" si="47"/>
        <v>0</v>
      </c>
      <c r="S72" s="83">
        <f t="shared" si="48"/>
        <v>0</v>
      </c>
      <c r="T72" s="83">
        <f t="shared" si="49"/>
        <v>0.56478643638223081</v>
      </c>
      <c r="U72" s="83">
        <f t="shared" si="50"/>
        <v>0.75037605297300913</v>
      </c>
      <c r="V72" s="99">
        <f t="shared" si="56"/>
        <v>49.759673846657968</v>
      </c>
      <c r="W72" s="99">
        <f t="shared" si="51"/>
        <v>30.315219150535139</v>
      </c>
      <c r="X72" s="99">
        <f t="shared" si="52"/>
        <v>40.143861167972901</v>
      </c>
      <c r="Y72" s="99">
        <f t="shared" si="53"/>
        <v>0</v>
      </c>
      <c r="Z72" s="99">
        <f t="shared" si="54"/>
        <v>0</v>
      </c>
      <c r="AB72" s="83">
        <f>寻访!AG72/$O72</f>
        <v>2.0402885180390948E-2</v>
      </c>
      <c r="AC72" s="83">
        <f>基础投放!Q72/$O72</f>
        <v>0</v>
      </c>
      <c r="AD72" s="83">
        <f>基础投放!AO72/$O72</f>
        <v>0</v>
      </c>
      <c r="AE72" s="83">
        <f>付费投放!W72/$O72</f>
        <v>0.97959711481960898</v>
      </c>
      <c r="AF72" s="83">
        <f>IFERROR(寻访!AH72/$P72,0)</f>
        <v>0</v>
      </c>
      <c r="AG72" s="83">
        <f>IFERROR(基础投放!R72/$P72,0)</f>
        <v>0</v>
      </c>
      <c r="AH72" s="83">
        <f>IFERROR(基础投放!AP72/$P72,0)</f>
        <v>0</v>
      </c>
      <c r="AI72" s="83">
        <f>IFERROR(付费投放!X72/$P72,0)</f>
        <v>1</v>
      </c>
    </row>
    <row r="73" spans="3:35" x14ac:dyDescent="0.15">
      <c r="C73" s="70">
        <v>9</v>
      </c>
      <c r="D73" s="60">
        <f>基础信息!D78</f>
        <v>47.5</v>
      </c>
      <c r="E73" s="61">
        <f>基础信息!E78</f>
        <v>163.13415930738643</v>
      </c>
      <c r="F73" s="61">
        <f>基础信息!F78</f>
        <v>83.136424497546074</v>
      </c>
      <c r="G73" s="69">
        <f>基础信息!$G78*基础信息!I78*(1+求节点(门客进修!$C$23:$C$25,门客进修!D$23:D$25,基础信息!N78))</f>
        <v>0</v>
      </c>
      <c r="H73" s="69">
        <f>基础信息!$G78*基础信息!J78*(1+求节点(门客进修!$C$23:$C$25,门客进修!E$23:E$25,基础信息!O78))</f>
        <v>0</v>
      </c>
      <c r="I73" s="69">
        <f>基础信息!$G78*基础信息!K78*(1+求节点(门客进修!$C$23:$C$25,门客进修!F$23:F$25,基础信息!P78))</f>
        <v>0</v>
      </c>
      <c r="J73" s="69">
        <f>基础信息!$G78*基础信息!L78*(1+求节点(门客进修!$C$23:$C$25,门客进修!G$23:G$25,基础信息!Q78))</f>
        <v>37.799999999999997</v>
      </c>
      <c r="K73" s="69">
        <f>基础信息!$G78*基础信息!M78*(1+求节点(门客进修!$C$23:$C$25,门客进修!H$23:H$25,基础信息!R78))</f>
        <v>3.6</v>
      </c>
      <c r="L73" s="103">
        <f>寻访!AD73+基础投放!N73+基础投放!AL73+付费投放!T73+寻访!AM73</f>
        <v>78.904050582688711</v>
      </c>
      <c r="M73" s="103">
        <f>寻访!AE73+基础投放!O73+基础投放!AM73+付费投放!U73+寻访!AN73</f>
        <v>58.638072340563951</v>
      </c>
      <c r="N73" s="103">
        <f>寻访!AF73+基础投放!P73+基础投放!AN73+付费投放!V73+寻访!AO73</f>
        <v>76.039932347371831</v>
      </c>
      <c r="O73" s="103">
        <f>寻访!AG73+基础投放!Q73+基础投放!AO73+付费投放!W73+寻访!AP73</f>
        <v>40.676004911034568</v>
      </c>
      <c r="P73" s="103">
        <f>寻访!AH73+基础投放!R73+基础投放!AP73+付费投放!X73+寻访!AQ73</f>
        <v>3.2406957466867392</v>
      </c>
      <c r="Q73" s="83">
        <f t="shared" si="55"/>
        <v>0</v>
      </c>
      <c r="R73" s="83">
        <f t="shared" si="47"/>
        <v>0</v>
      </c>
      <c r="S73" s="83">
        <f t="shared" si="48"/>
        <v>0</v>
      </c>
      <c r="T73" s="83">
        <f t="shared" si="49"/>
        <v>1.0760847860062055</v>
      </c>
      <c r="U73" s="83">
        <f t="shared" si="50"/>
        <v>0.90019326296853863</v>
      </c>
      <c r="V73" s="99">
        <f t="shared" si="56"/>
        <v>78.904050582688711</v>
      </c>
      <c r="W73" s="99">
        <f t="shared" si="51"/>
        <v>58.638072340563951</v>
      </c>
      <c r="X73" s="99">
        <f t="shared" si="52"/>
        <v>76.039932347371831</v>
      </c>
      <c r="Y73" s="99">
        <f t="shared" si="53"/>
        <v>2.8760049110345705</v>
      </c>
      <c r="Z73" s="99">
        <f t="shared" si="54"/>
        <v>0</v>
      </c>
      <c r="AB73" s="83">
        <f>寻访!AG73/$O73</f>
        <v>3.9560344068714795E-2</v>
      </c>
      <c r="AC73" s="83">
        <f>基础投放!Q73/$O73</f>
        <v>0</v>
      </c>
      <c r="AD73" s="83">
        <f>基础投放!AO73/$O73</f>
        <v>0</v>
      </c>
      <c r="AE73" s="83">
        <f>付费投放!W73/$O73</f>
        <v>0.96043965593128511</v>
      </c>
      <c r="AF73" s="83">
        <f>IFERROR(寻访!AH73/$P73,0)</f>
        <v>0</v>
      </c>
      <c r="AG73" s="83">
        <f>IFERROR(基础投放!R73/$P73,0)</f>
        <v>0</v>
      </c>
      <c r="AH73" s="83">
        <f>IFERROR(基础投放!AP73/$P73,0)</f>
        <v>0</v>
      </c>
      <c r="AI73" s="83">
        <f>IFERROR(付费投放!X73/$P73,0)</f>
        <v>1</v>
      </c>
    </row>
    <row r="74" spans="3:35" x14ac:dyDescent="0.15">
      <c r="C74" s="70">
        <v>10</v>
      </c>
      <c r="D74" s="60">
        <f>基础信息!D79</f>
        <v>52</v>
      </c>
      <c r="E74" s="61">
        <f>基础信息!E79</f>
        <v>315.94120754775781</v>
      </c>
      <c r="F74" s="61">
        <f>基础信息!F79</f>
        <v>93.208444061349098</v>
      </c>
      <c r="G74" s="69">
        <f>基础信息!$G79*基础信息!I79*(1+求节点(门客进修!$C$23:$C$25,门客进修!D$23:D$25,基础信息!N79))</f>
        <v>0</v>
      </c>
      <c r="H74" s="69">
        <f>基础信息!$G79*基础信息!J79*(1+求节点(门客进修!$C$23:$C$25,门客进修!E$23:E$25,基础信息!O79))</f>
        <v>0</v>
      </c>
      <c r="I74" s="69">
        <f>基础信息!$G79*基础信息!K79*(1+求节点(门客进修!$C$23:$C$25,门客进修!F$23:F$25,基础信息!P79))</f>
        <v>0</v>
      </c>
      <c r="J74" s="69">
        <f>基础信息!$G79*基础信息!L79*(1+求节点(门客进修!$C$23:$C$25,门客进修!G$23:G$25,基础信息!Q79))</f>
        <v>28</v>
      </c>
      <c r="K74" s="69">
        <f>基础信息!$G79*基础信息!M79*(1+求节点(门客进修!$C$23:$C$25,门客进修!H$23:H$25,基础信息!R79))</f>
        <v>6</v>
      </c>
      <c r="L74" s="103">
        <f>寻访!AD74+基础投放!N74+基础投放!AL74+付费投放!T74+寻访!AM74</f>
        <v>132.3865174668187</v>
      </c>
      <c r="M74" s="103">
        <f>寻访!AE74+基础投放!O74+基础投放!AM74+付费投放!U74+寻访!AN74</f>
        <v>116.94071543070322</v>
      </c>
      <c r="N74" s="103">
        <f>寻访!AF74+基础投放!P74+基础投放!AN74+付费投放!V74+寻访!AO74</f>
        <v>157.73870300166763</v>
      </c>
      <c r="O74" s="103">
        <f>寻访!AG74+基础投放!Q74+基础投放!AO74+付费投放!W74+寻访!AP74</f>
        <v>73.160840790281483</v>
      </c>
      <c r="P74" s="103">
        <f>寻访!AH74+基础投放!R74+基础投放!AP74+付费投放!X74+寻访!AQ74</f>
        <v>7.4447950201780966</v>
      </c>
      <c r="Q74" s="83">
        <f t="shared" si="55"/>
        <v>0</v>
      </c>
      <c r="R74" s="83">
        <f t="shared" si="47"/>
        <v>0</v>
      </c>
      <c r="S74" s="83">
        <f t="shared" si="48"/>
        <v>0</v>
      </c>
      <c r="T74" s="83">
        <f t="shared" si="49"/>
        <v>2.6128871710814816</v>
      </c>
      <c r="U74" s="83">
        <f t="shared" si="50"/>
        <v>1.2407991700296828</v>
      </c>
      <c r="V74" s="99">
        <f t="shared" si="56"/>
        <v>132.3865174668187</v>
      </c>
      <c r="W74" s="99">
        <f t="shared" si="51"/>
        <v>116.94071543070322</v>
      </c>
      <c r="X74" s="99">
        <f t="shared" si="52"/>
        <v>157.73870300166763</v>
      </c>
      <c r="Y74" s="99">
        <f t="shared" si="53"/>
        <v>45.160840790281483</v>
      </c>
      <c r="Z74" s="99">
        <f t="shared" si="54"/>
        <v>1.4447950201780966</v>
      </c>
      <c r="AB74" s="83">
        <f>寻访!AG74/$O74</f>
        <v>6.3767688616400045E-2</v>
      </c>
      <c r="AC74" s="83">
        <f>基础投放!Q74/$O74</f>
        <v>0</v>
      </c>
      <c r="AD74" s="83">
        <f>基础投放!AO74/$O74</f>
        <v>0</v>
      </c>
      <c r="AE74" s="83">
        <f>付费投放!W74/$O74</f>
        <v>0.93623231138359997</v>
      </c>
      <c r="AF74" s="83">
        <f>IFERROR(寻访!AH74/$P74,0)</f>
        <v>0</v>
      </c>
      <c r="AG74" s="83">
        <f>IFERROR(基础投放!R74/$P74,0)</f>
        <v>0</v>
      </c>
      <c r="AH74" s="83">
        <f>IFERROR(基础投放!AP74/$P74,0)</f>
        <v>0</v>
      </c>
      <c r="AI74" s="83">
        <f>IFERROR(付费投放!X74/$P74,0)</f>
        <v>1</v>
      </c>
    </row>
    <row r="75" spans="3:35" x14ac:dyDescent="0.15">
      <c r="C75" s="70">
        <v>11</v>
      </c>
      <c r="D75" s="60">
        <f>基础信息!D80</f>
        <v>57</v>
      </c>
      <c r="E75" s="61">
        <f>基础信息!E80</f>
        <v>659.12993710814465</v>
      </c>
      <c r="F75" s="61">
        <f>基础信息!F80</f>
        <v>103.87052361677672</v>
      </c>
      <c r="G75" s="69">
        <f>基础信息!$G80*基础信息!I80*(1+求节点(门客进修!$C$23:$C$25,门客进修!D$23:D$25,基础信息!N80))</f>
        <v>0</v>
      </c>
      <c r="H75" s="69">
        <f>基础信息!$G80*基础信息!J80*(1+求节点(门客进修!$C$23:$C$25,门客进修!E$23:E$25,基础信息!O80))</f>
        <v>0</v>
      </c>
      <c r="I75" s="69">
        <f>基础信息!$G80*基础信息!K80*(1+求节点(门客进修!$C$23:$C$25,门客进修!F$23:F$25,基础信息!P80))</f>
        <v>0</v>
      </c>
      <c r="J75" s="69">
        <f>基础信息!$G80*基础信息!L80*(1+求节点(门客进修!$C$23:$C$25,门客进修!G$23:G$25,基础信息!Q80))</f>
        <v>15.400000000000002</v>
      </c>
      <c r="K75" s="69">
        <f>基础信息!$G80*基础信息!M80*(1+求节点(门客进修!$C$23:$C$25,门客进修!H$23:H$25,基础信息!R80))</f>
        <v>8.8000000000000007</v>
      </c>
      <c r="L75" s="103">
        <f>寻访!AD75+基础投放!N75+基础投放!AL75+付费投放!T75+寻访!AM75</f>
        <v>233.97038141669321</v>
      </c>
      <c r="M75" s="103">
        <f>寻访!AE75+基础投放!O75+基础投放!AM75+付费投放!U75+寻访!AN75</f>
        <v>245.60692282716715</v>
      </c>
      <c r="N75" s="103">
        <f>寻访!AF75+基础投放!P75+基础投放!AN75+付费投放!V75+寻访!AO75</f>
        <v>356.78287850531842</v>
      </c>
      <c r="O75" s="103">
        <f>寻访!AG75+基础投放!Q75+基础投放!AO75+付费投放!W75+寻访!AP75</f>
        <v>147.88927761453709</v>
      </c>
      <c r="P75" s="103">
        <f>寻访!AH75+基础投放!R75+基础投放!AP75+付费投放!X75+寻访!AQ75</f>
        <v>16.781849949786245</v>
      </c>
      <c r="Q75" s="83">
        <f t="shared" si="55"/>
        <v>0</v>
      </c>
      <c r="R75" s="83">
        <f t="shared" si="47"/>
        <v>0</v>
      </c>
      <c r="S75" s="83">
        <f t="shared" si="48"/>
        <v>0</v>
      </c>
      <c r="T75" s="83">
        <f t="shared" si="49"/>
        <v>9.6031998450998106</v>
      </c>
      <c r="U75" s="83">
        <f t="shared" si="50"/>
        <v>1.9070284033848004</v>
      </c>
      <c r="V75" s="99">
        <f t="shared" si="56"/>
        <v>233.97038141669321</v>
      </c>
      <c r="W75" s="99">
        <f t="shared" si="51"/>
        <v>245.60692282716715</v>
      </c>
      <c r="X75" s="99">
        <f t="shared" si="52"/>
        <v>356.78287850531842</v>
      </c>
      <c r="Y75" s="99">
        <f t="shared" si="53"/>
        <v>132.48927761453709</v>
      </c>
      <c r="Z75" s="99">
        <f t="shared" si="54"/>
        <v>7.9818499497862447</v>
      </c>
      <c r="AB75" s="83">
        <f>寻访!AG75/$O75</f>
        <v>9.6522089852417878E-2</v>
      </c>
      <c r="AC75" s="83">
        <f>基础投放!Q75/$O75</f>
        <v>0</v>
      </c>
      <c r="AD75" s="83">
        <f>基础投放!AO75/$O75</f>
        <v>0</v>
      </c>
      <c r="AE75" s="83">
        <f>付费投放!W75/$O75</f>
        <v>0.90347791014758205</v>
      </c>
      <c r="AF75" s="83">
        <f>IFERROR(寻访!AH75/$P75,0)</f>
        <v>2.044999392720456E-3</v>
      </c>
      <c r="AG75" s="83">
        <f>IFERROR(基础投放!R75/$P75,0)</f>
        <v>0</v>
      </c>
      <c r="AH75" s="83">
        <f>IFERROR(基础投放!AP75/$P75,0)</f>
        <v>0</v>
      </c>
      <c r="AI75" s="83">
        <f>IFERROR(付费投放!X75/$P75,0)</f>
        <v>0.99795500060727949</v>
      </c>
    </row>
    <row r="76" spans="3:35" x14ac:dyDescent="0.15">
      <c r="C76" s="70">
        <v>12</v>
      </c>
      <c r="D76" s="60">
        <f>基础信息!D81</f>
        <v>62</v>
      </c>
      <c r="E76" s="61">
        <f>基础信息!E81</f>
        <v>1372.540918241546</v>
      </c>
      <c r="F76" s="61">
        <f>基础信息!F81</f>
        <v>114.60606674176169</v>
      </c>
      <c r="G76" s="69">
        <f>基础信息!$G81*基础信息!I81*(1+求节点(门客进修!$C$23:$C$25,门客进修!D$23:D$25,基础信息!N81))</f>
        <v>0</v>
      </c>
      <c r="H76" s="69">
        <f>基础信息!$G81*基础信息!J81*(1+求节点(门客进修!$C$23:$C$25,门客进修!E$23:E$25,基础信息!O81))</f>
        <v>0</v>
      </c>
      <c r="I76" s="69">
        <f>基础信息!$G81*基础信息!K81*(1+求节点(门客进修!$C$23:$C$25,门客进修!F$23:F$25,基础信息!P81))</f>
        <v>0</v>
      </c>
      <c r="J76" s="69">
        <f>基础信息!$G81*基础信息!L81*(1+求节点(门客进修!$C$23:$C$25,门客进修!G$23:G$25,基础信息!Q81))</f>
        <v>0</v>
      </c>
      <c r="K76" s="69">
        <f>基础信息!$G81*基础信息!M81*(1+求节点(门客进修!$C$23:$C$25,门客进修!H$23:H$25,基础信息!R81))</f>
        <v>12</v>
      </c>
      <c r="L76" s="103">
        <f>寻访!AD76+基础投放!N76+基础投放!AL76+付费投放!T76+寻访!AM76</f>
        <v>428.0181682849784</v>
      </c>
      <c r="M76" s="103">
        <f>寻访!AE76+基础投放!O76+基础投放!AM76+付费投放!U76+寻访!AN76</f>
        <v>520.55673958239333</v>
      </c>
      <c r="N76" s="103">
        <f>寻访!AF76+基础投放!P76+基础投放!AN76+付费投放!V76+寻访!AO76</f>
        <v>771.96086433070877</v>
      </c>
      <c r="O76" s="103">
        <f>寻访!AG76+基础投放!Q76+基础投放!AO76+付费投放!W76+寻访!AP76</f>
        <v>307.28115295915433</v>
      </c>
      <c r="P76" s="103">
        <f>寻访!AH76+基础投放!R76+基础投放!AP76+付费投放!X76+寻访!AQ76</f>
        <v>36.025829292272192</v>
      </c>
      <c r="Q76" s="83">
        <f t="shared" si="55"/>
        <v>0</v>
      </c>
      <c r="R76" s="83">
        <f t="shared" si="47"/>
        <v>0</v>
      </c>
      <c r="S76" s="83">
        <f t="shared" si="48"/>
        <v>0</v>
      </c>
      <c r="T76" s="83">
        <f t="shared" si="49"/>
        <v>0</v>
      </c>
      <c r="U76" s="83">
        <f t="shared" si="50"/>
        <v>3.0021524410226825</v>
      </c>
      <c r="V76" s="99">
        <f t="shared" si="56"/>
        <v>428.0181682849784</v>
      </c>
      <c r="W76" s="99">
        <f t="shared" si="51"/>
        <v>520.55673958239333</v>
      </c>
      <c r="X76" s="99">
        <f t="shared" si="52"/>
        <v>771.96086433070877</v>
      </c>
      <c r="Y76" s="99">
        <f t="shared" si="53"/>
        <v>307.28115295915433</v>
      </c>
      <c r="Z76" s="99">
        <f t="shared" si="54"/>
        <v>24.025829292272192</v>
      </c>
      <c r="AB76" s="83">
        <f>寻访!AG76/$O76</f>
        <v>0.13003523671441491</v>
      </c>
      <c r="AC76" s="83">
        <f>基础投放!Q76/$O76</f>
        <v>0</v>
      </c>
      <c r="AD76" s="83">
        <f>基础投放!AO76/$O76</f>
        <v>0</v>
      </c>
      <c r="AE76" s="83">
        <f>付费投放!W76/$O76</f>
        <v>0.86996476328558514</v>
      </c>
      <c r="AF76" s="83">
        <f>IFERROR(寻访!AH76/$P76,0)</f>
        <v>4.9131712623944231E-3</v>
      </c>
      <c r="AG76" s="83">
        <f>IFERROR(基础投放!R76/$P76,0)</f>
        <v>0</v>
      </c>
      <c r="AH76" s="83">
        <f>IFERROR(基础投放!AP76/$P76,0)</f>
        <v>0</v>
      </c>
      <c r="AI76" s="83">
        <f>IFERROR(付费投放!X76/$P76,0)</f>
        <v>0.99508682873760546</v>
      </c>
    </row>
    <row r="77" spans="3:35" x14ac:dyDescent="0.15">
      <c r="C77" s="70">
        <v>13</v>
      </c>
      <c r="D77" s="60">
        <f>基础信息!D82</f>
        <v>67</v>
      </c>
      <c r="E77" s="61">
        <f>基础信息!E82</f>
        <v>2853.4199245336076</v>
      </c>
      <c r="F77" s="61">
        <f>基础信息!F82</f>
        <v>125.19410714767859</v>
      </c>
      <c r="G77" s="69">
        <f>基础信息!$G82*基础信息!I82*(1+求节点(门客进修!$C$23:$C$25,门客进修!D$23:D$25,基础信息!N82))</f>
        <v>0</v>
      </c>
      <c r="H77" s="69">
        <f>基础信息!$G82*基础信息!J82*(1+求节点(门客进修!$C$23:$C$25,门客进修!E$23:E$25,基础信息!O82))</f>
        <v>0</v>
      </c>
      <c r="I77" s="69">
        <f>基础信息!$G82*基础信息!K82*(1+求节点(门客进修!$C$23:$C$25,门客进修!F$23:F$25,基础信息!P82))</f>
        <v>0</v>
      </c>
      <c r="J77" s="69">
        <f>基础信息!$G82*基础信息!L82*(1+求节点(门客进修!$C$23:$C$25,门客进修!G$23:G$25,基础信息!Q82))</f>
        <v>0</v>
      </c>
      <c r="K77" s="69">
        <f>基础信息!$G82*基础信息!M82*(1+求节点(门客进修!$C$23:$C$25,门客进修!H$23:H$25,基础信息!R82))</f>
        <v>26</v>
      </c>
      <c r="L77" s="103">
        <f>寻访!AD77+基础投放!N77+基础投放!AL77+付费投放!T77+寻访!AM77</f>
        <v>824.89374197125096</v>
      </c>
      <c r="M77" s="103">
        <f>寻访!AE77+基础投放!O77+基础投放!AM77+付费投放!U77+寻访!AN77</f>
        <v>1084.771640979669</v>
      </c>
      <c r="N77" s="103">
        <f>寻访!AF77+基础投放!P77+基础投放!AN77+付费投放!V77+寻访!AO77</f>
        <v>1638.0133741392574</v>
      </c>
      <c r="O77" s="103">
        <f>寻访!AG77+基础投放!Q77+基础投放!AO77+付费投放!W77+寻访!AP77</f>
        <v>640.15511053987916</v>
      </c>
      <c r="P77" s="103">
        <f>寻访!AH77+基础投放!R77+基础投放!AP77+付费投放!X77+寻访!AQ77</f>
        <v>75.772903899207577</v>
      </c>
      <c r="Q77" s="83">
        <f t="shared" si="55"/>
        <v>0</v>
      </c>
      <c r="R77" s="83">
        <f t="shared" si="47"/>
        <v>0</v>
      </c>
      <c r="S77" s="83">
        <f t="shared" si="48"/>
        <v>0</v>
      </c>
      <c r="T77" s="83">
        <f t="shared" si="49"/>
        <v>0</v>
      </c>
      <c r="U77" s="83">
        <f t="shared" si="50"/>
        <v>2.9143424576618298</v>
      </c>
      <c r="V77" s="99">
        <f t="shared" si="56"/>
        <v>824.89374197125096</v>
      </c>
      <c r="W77" s="99">
        <f t="shared" si="51"/>
        <v>1084.771640979669</v>
      </c>
      <c r="X77" s="99">
        <f t="shared" si="52"/>
        <v>1638.0133741392574</v>
      </c>
      <c r="Y77" s="99">
        <f t="shared" si="53"/>
        <v>640.15511053987916</v>
      </c>
      <c r="Z77" s="99">
        <f t="shared" si="54"/>
        <v>49.772903899207577</v>
      </c>
      <c r="AB77" s="83">
        <f>寻访!AG77/$O77</f>
        <v>0.15263747348030479</v>
      </c>
      <c r="AC77" s="83">
        <f>基础投放!Q77/$O77</f>
        <v>0</v>
      </c>
      <c r="AD77" s="83">
        <f>基础投放!AO77/$O77</f>
        <v>0</v>
      </c>
      <c r="AE77" s="83">
        <f>付费投放!W77/$O77</f>
        <v>0.84736252651969524</v>
      </c>
      <c r="AF77" s="83">
        <f>IFERROR(寻访!AH77/$P77,0)</f>
        <v>8.1990360551146106E-3</v>
      </c>
      <c r="AG77" s="83">
        <f>IFERROR(基础投放!R77/$P77,0)</f>
        <v>0</v>
      </c>
      <c r="AH77" s="83">
        <f>IFERROR(基础投放!AP77/$P77,0)</f>
        <v>0</v>
      </c>
      <c r="AI77" s="83">
        <f>IFERROR(付费投放!X77/$P77,0)</f>
        <v>0.99180096394488526</v>
      </c>
    </row>
    <row r="78" spans="3:35" x14ac:dyDescent="0.15">
      <c r="C78" s="70">
        <v>14</v>
      </c>
      <c r="D78" s="60">
        <f>基础信息!D83</f>
        <v>72</v>
      </c>
      <c r="E78" s="61">
        <f>基础信息!E83</f>
        <v>5923.2820251682469</v>
      </c>
      <c r="F78" s="61">
        <f>基础信息!F83</f>
        <v>135.89542876835631</v>
      </c>
      <c r="G78" s="69">
        <f>基础信息!$G83*基础信息!I83*(1+求节点(门客进修!$C$23:$C$25,门客进修!D$23:D$25,基础信息!N83))</f>
        <v>0</v>
      </c>
      <c r="H78" s="69">
        <f>基础信息!$G83*基础信息!J83*(1+求节点(门客进修!$C$23:$C$25,门客进修!E$23:E$25,基础信息!O83))</f>
        <v>0</v>
      </c>
      <c r="I78" s="69">
        <f>基础信息!$G83*基础信息!K83*(1+求节点(门客进修!$C$23:$C$25,门客进修!F$23:F$25,基础信息!P83))</f>
        <v>0</v>
      </c>
      <c r="J78" s="69">
        <f>基础信息!$G83*基础信息!L83*(1+求节点(门客进修!$C$23:$C$25,门客进修!G$23:G$25,基础信息!Q83))</f>
        <v>0</v>
      </c>
      <c r="K78" s="69">
        <f>基础信息!$G83*基础信息!M83*(1+求节点(门客进修!$C$23:$C$25,门客进修!H$23:H$25,基础信息!R83))</f>
        <v>42</v>
      </c>
      <c r="L78" s="103">
        <f>寻访!AD78+基础投放!N78+基础投放!AL78+付费投放!T78+寻访!AM78</f>
        <v>1635.3373365387956</v>
      </c>
      <c r="M78" s="103">
        <f>寻访!AE78+基础投放!O78+基础投放!AM78+付费投放!U78+寻访!AN78</f>
        <v>2245.1795150195626</v>
      </c>
      <c r="N78" s="103">
        <f>寻访!AF78+基础投放!P78+基础投放!AN78+付费投放!V78+寻访!AO78</f>
        <v>3440.5441221070009</v>
      </c>
      <c r="O78" s="103">
        <f>寻访!AG78+基础投放!Q78+基础投放!AO78+付费投放!W78+寻访!AP78</f>
        <v>1335.7168723856498</v>
      </c>
      <c r="P78" s="103">
        <f>寻访!AH78+基础投放!R78+基础投放!AP78+付费投放!X78+寻访!AQ78</f>
        <v>157.94764211362084</v>
      </c>
      <c r="Q78" s="83">
        <f t="shared" si="55"/>
        <v>0</v>
      </c>
      <c r="R78" s="83">
        <f t="shared" si="47"/>
        <v>0</v>
      </c>
      <c r="S78" s="83">
        <f t="shared" si="48"/>
        <v>0</v>
      </c>
      <c r="T78" s="83">
        <f t="shared" si="49"/>
        <v>0</v>
      </c>
      <c r="U78" s="83">
        <f t="shared" si="50"/>
        <v>3.7606581455624011</v>
      </c>
      <c r="V78" s="99">
        <f t="shared" si="56"/>
        <v>1635.3373365387956</v>
      </c>
      <c r="W78" s="99">
        <f t="shared" si="51"/>
        <v>2245.1795150195626</v>
      </c>
      <c r="X78" s="99">
        <f t="shared" si="52"/>
        <v>3440.5441221070009</v>
      </c>
      <c r="Y78" s="99">
        <f t="shared" si="53"/>
        <v>1335.7168723856498</v>
      </c>
      <c r="Z78" s="99">
        <f t="shared" si="54"/>
        <v>115.94764211362084</v>
      </c>
      <c r="AB78" s="83">
        <f>寻访!AG78/$O78</f>
        <v>0.16968106911022818</v>
      </c>
      <c r="AC78" s="83">
        <f>基础投放!Q78/$O78</f>
        <v>0</v>
      </c>
      <c r="AD78" s="83">
        <f>基础投放!AO78/$O78</f>
        <v>0</v>
      </c>
      <c r="AE78" s="83">
        <f>付费投放!W78/$O78</f>
        <v>0.83031893088977182</v>
      </c>
      <c r="AF78" s="83">
        <f>IFERROR(寻访!AH78/$P78,0)</f>
        <v>1.170773799835486E-2</v>
      </c>
      <c r="AG78" s="83">
        <f>IFERROR(基础投放!R78/$P78,0)</f>
        <v>0</v>
      </c>
      <c r="AH78" s="83">
        <f>IFERROR(基础投放!AP78/$P78,0)</f>
        <v>0</v>
      </c>
      <c r="AI78" s="83">
        <f>IFERROR(付费投放!X78/$P78,0)</f>
        <v>0.98829226200164511</v>
      </c>
    </row>
    <row r="79" spans="3:35" x14ac:dyDescent="0.15">
      <c r="C79" s="70">
        <v>15</v>
      </c>
      <c r="D79" s="60">
        <f>基础信息!D84</f>
        <v>77</v>
      </c>
      <c r="E79" s="61">
        <f>基础信息!E84</f>
        <v>12279.204402538555</v>
      </c>
      <c r="F79" s="61">
        <f>基础信息!F84</f>
        <v>146.55064673623977</v>
      </c>
      <c r="G79" s="69">
        <f>基础信息!$G84*基础信息!I84*(1+求节点(门客进修!$C$23:$C$25,门客进修!D$23:D$25,基础信息!N84))</f>
        <v>0</v>
      </c>
      <c r="H79" s="69">
        <f>基础信息!$G84*基础信息!J84*(1+求节点(门客进修!$C$23:$C$25,门客进修!E$23:E$25,基础信息!O84))</f>
        <v>0</v>
      </c>
      <c r="I79" s="69">
        <f>基础信息!$G84*基础信息!K84*(1+求节点(门客进修!$C$23:$C$25,门客进修!F$23:F$25,基础信息!P84))</f>
        <v>0</v>
      </c>
      <c r="J79" s="69">
        <f>基础信息!$G84*基础信息!L84*(1+求节点(门客进修!$C$23:$C$25,门客进修!G$23:G$25,基础信息!Q84))</f>
        <v>0</v>
      </c>
      <c r="K79" s="69">
        <f>基础信息!$G84*基础信息!M84*(1+求节点(门客进修!$C$23:$C$25,门客进修!H$23:H$25,基础信息!R84))</f>
        <v>75</v>
      </c>
      <c r="L79" s="103">
        <f>寻访!AD79+基础投放!N79+基础投放!AL79+付费投放!T79+寻访!AM79</f>
        <v>3287.8771546550756</v>
      </c>
      <c r="M79" s="103">
        <f>寻访!AE79+基础投放!O79+基础投放!AM79+付费投放!U79+寻访!AN79</f>
        <v>4628.6504065334284</v>
      </c>
      <c r="N79" s="103">
        <f>寻访!AF79+基础投放!P79+基础投放!AN79+付费投放!V79+寻访!AO79</f>
        <v>7190.6477318417838</v>
      </c>
      <c r="O79" s="103">
        <f>寻访!AG79+基础投放!Q79+基础投放!AO79+付费投放!W79+寻访!AP79</f>
        <v>2789.2731834935221</v>
      </c>
      <c r="P79" s="103">
        <f>寻访!AH79+基础投放!R79+基础投放!AP79+付费投放!X79+寻访!AQ79</f>
        <v>327.91700389176435</v>
      </c>
      <c r="Q79" s="83">
        <f t="shared" si="55"/>
        <v>0</v>
      </c>
      <c r="R79" s="83">
        <f t="shared" si="47"/>
        <v>0</v>
      </c>
      <c r="S79" s="83">
        <f t="shared" si="48"/>
        <v>0</v>
      </c>
      <c r="T79" s="83">
        <f t="shared" si="49"/>
        <v>0</v>
      </c>
      <c r="U79" s="83">
        <f t="shared" si="50"/>
        <v>4.372226718556858</v>
      </c>
      <c r="V79" s="99">
        <f t="shared" si="56"/>
        <v>3287.8771546550756</v>
      </c>
      <c r="W79" s="99">
        <f t="shared" si="51"/>
        <v>4628.6504065334284</v>
      </c>
      <c r="X79" s="99">
        <f t="shared" si="52"/>
        <v>7190.6477318417838</v>
      </c>
      <c r="Y79" s="99">
        <f t="shared" si="53"/>
        <v>2789.2731834935221</v>
      </c>
      <c r="Z79" s="99">
        <f t="shared" si="54"/>
        <v>252.91700389176435</v>
      </c>
      <c r="AB79" s="83">
        <f>寻访!AG79/$O79</f>
        <v>0.18379783556178222</v>
      </c>
      <c r="AC79" s="83">
        <f>基础投放!Q79/$O79</f>
        <v>0</v>
      </c>
      <c r="AD79" s="83">
        <f>基础投放!AO79/$O79</f>
        <v>0</v>
      </c>
      <c r="AE79" s="83">
        <f>付费投放!W79/$O79</f>
        <v>0.8162021644382178</v>
      </c>
      <c r="AF79" s="83">
        <f>IFERROR(寻访!AH79/$P79,0)</f>
        <v>1.5330619456588677E-2</v>
      </c>
      <c r="AG79" s="83">
        <f>IFERROR(基础投放!R79/$P79,0)</f>
        <v>0</v>
      </c>
      <c r="AH79" s="83">
        <f>IFERROR(基础投放!AP79/$P79,0)</f>
        <v>0</v>
      </c>
      <c r="AI79" s="83">
        <f>IFERROR(付费投放!X79/$P79,0)</f>
        <v>0.98466938054341135</v>
      </c>
    </row>
    <row r="80" spans="3:35" x14ac:dyDescent="0.15">
      <c r="C80" s="70">
        <v>16</v>
      </c>
      <c r="D80" s="60">
        <f>基础信息!D85</f>
        <v>80</v>
      </c>
      <c r="E80" s="61">
        <f>基础信息!E85</f>
        <v>19005.150000000001</v>
      </c>
      <c r="F80" s="61">
        <f>基础信息!F85</f>
        <v>152.12605579164665</v>
      </c>
      <c r="G80" s="69">
        <f>基础信息!$G85*基础信息!I85*(1+求节点(门客进修!$C$23:$C$25,门客进修!D$23:D$25,基础信息!N85))</f>
        <v>0</v>
      </c>
      <c r="H80" s="69">
        <f>基础信息!$G85*基础信息!J85*(1+求节点(门客进修!$C$23:$C$25,门客进修!E$23:E$25,基础信息!O85))</f>
        <v>0</v>
      </c>
      <c r="I80" s="69">
        <f>基础信息!$G85*基础信息!K85*(1+求节点(门客进修!$C$23:$C$25,门客进修!F$23:F$25,基础信息!P85))</f>
        <v>0</v>
      </c>
      <c r="J80" s="69">
        <f>基础信息!$G85*基础信息!L85*(1+求节点(门客进修!$C$23:$C$25,门客进修!G$23:G$25,基础信息!Q85))</f>
        <v>0</v>
      </c>
      <c r="K80" s="69">
        <f>基础信息!$G85*基础信息!M85*(1+求节点(门客进修!$C$23:$C$25,门客进修!H$23:H$25,基础信息!R85))</f>
        <v>112</v>
      </c>
      <c r="L80" s="103">
        <f>寻访!AD80+基础投放!N80+基础投放!AL80+付费投放!T80+寻访!AM80</f>
        <v>5036.6230099950517</v>
      </c>
      <c r="M80" s="103">
        <f>寻访!AE80+基础投放!O80+基础投放!AM80+付费投放!U80+寻访!AN80</f>
        <v>7150.8800055814709</v>
      </c>
      <c r="N80" s="103">
        <f>寻访!AF80+基础投放!P80+基础投放!AN80+付费投放!V80+寻访!AO80</f>
        <v>11155.17596753356</v>
      </c>
      <c r="O80" s="103">
        <f>寻访!AG80+基础投放!Q80+基础投放!AO80+付费投放!W80+寻访!AP80</f>
        <v>4323.6140675687993</v>
      </c>
      <c r="P80" s="103">
        <f>寻访!AH80+基础投放!R80+基础投放!AP80+付费投放!X80+寻访!AQ80</f>
        <v>507.23330986042538</v>
      </c>
      <c r="Q80" s="83">
        <f t="shared" si="55"/>
        <v>0</v>
      </c>
      <c r="R80" s="83">
        <f t="shared" si="47"/>
        <v>0</v>
      </c>
      <c r="S80" s="83">
        <f t="shared" si="48"/>
        <v>0</v>
      </c>
      <c r="T80" s="83">
        <f t="shared" si="49"/>
        <v>0</v>
      </c>
      <c r="U80" s="83">
        <f t="shared" si="50"/>
        <v>4.5288688380395126</v>
      </c>
      <c r="V80" s="105">
        <f t="shared" ref="V80" si="57">MAX(L80-G80,0)</f>
        <v>5036.6230099950517</v>
      </c>
      <c r="W80" s="105">
        <f t="shared" ref="W80" si="58">MAX(M80-H80,0)</f>
        <v>7150.8800055814709</v>
      </c>
      <c r="X80" s="105">
        <f t="shared" ref="X80" si="59">MAX(N80-I80,0)</f>
        <v>11155.17596753356</v>
      </c>
      <c r="Y80" s="105">
        <f t="shared" ref="Y80" si="60">MAX(O80-J80,0)</f>
        <v>4323.6140675687993</v>
      </c>
      <c r="Z80" s="105">
        <f t="shared" ref="Z80" si="61">MAX(P80-K80,0)</f>
        <v>395.23330986042538</v>
      </c>
      <c r="AB80" s="83">
        <f>寻访!AG80/$O80</f>
        <v>0.18857601836346655</v>
      </c>
      <c r="AC80" s="83">
        <f>基础投放!Q80/$O80</f>
        <v>0</v>
      </c>
      <c r="AD80" s="83">
        <f>基础投放!AO80/$O80</f>
        <v>0</v>
      </c>
      <c r="AE80" s="83">
        <f>付费投放!W80/$O80</f>
        <v>0.8114239816365334</v>
      </c>
      <c r="AF80" s="83">
        <f>IFERROR(寻访!AH80/$P80,0)</f>
        <v>1.6540994914251143E-2</v>
      </c>
      <c r="AG80" s="83">
        <f>IFERROR(基础投放!R80/$P80,0)</f>
        <v>0</v>
      </c>
      <c r="AH80" s="83">
        <f>IFERROR(基础投放!AP80/$P80,0)</f>
        <v>0</v>
      </c>
      <c r="AI80" s="83">
        <f>IFERROR(付费投放!X80/$P80,0)</f>
        <v>0.98345900508574891</v>
      </c>
    </row>
    <row r="81" spans="3:35" x14ac:dyDescent="0.15">
      <c r="C81" s="70"/>
      <c r="D81" s="70"/>
      <c r="E81" s="69"/>
      <c r="F81" s="69"/>
    </row>
    <row r="82" spans="3:35" x14ac:dyDescent="0.15">
      <c r="C82" s="70"/>
      <c r="D82" s="70"/>
      <c r="E82" s="69"/>
      <c r="F82" s="69"/>
    </row>
    <row r="83" spans="3:35" x14ac:dyDescent="0.15">
      <c r="C83" s="70" t="s">
        <v>4</v>
      </c>
      <c r="D83" s="70"/>
      <c r="E83" s="69"/>
      <c r="F83" s="69"/>
      <c r="G83" s="122" t="s">
        <v>195</v>
      </c>
      <c r="H83" s="122"/>
      <c r="I83" s="122"/>
      <c r="J83" s="122"/>
      <c r="K83" s="122"/>
      <c r="L83" s="122" t="s">
        <v>196</v>
      </c>
      <c r="M83" s="122"/>
      <c r="N83" s="122"/>
      <c r="O83" s="122"/>
      <c r="P83" s="122"/>
      <c r="Q83" s="122" t="s">
        <v>198</v>
      </c>
      <c r="R83" s="122"/>
      <c r="S83" s="122"/>
      <c r="T83" s="122"/>
      <c r="U83" s="122"/>
      <c r="V83" s="122" t="s">
        <v>255</v>
      </c>
      <c r="W83" s="122"/>
      <c r="X83" s="122"/>
      <c r="Y83" s="122"/>
      <c r="Z83" s="122"/>
      <c r="AB83" s="127" t="s">
        <v>211</v>
      </c>
      <c r="AC83" s="127"/>
      <c r="AD83" s="127"/>
      <c r="AE83" s="127"/>
      <c r="AF83" s="127" t="s">
        <v>215</v>
      </c>
      <c r="AG83" s="127"/>
      <c r="AH83" s="127"/>
      <c r="AI83" s="127"/>
    </row>
    <row r="84" spans="3:35" x14ac:dyDescent="0.15">
      <c r="C84" s="70" t="s">
        <v>21</v>
      </c>
      <c r="D84" s="70" t="s">
        <v>121</v>
      </c>
      <c r="E84" s="69" t="s">
        <v>122</v>
      </c>
      <c r="F84" s="69" t="s">
        <v>103</v>
      </c>
      <c r="G84" s="69" t="s">
        <v>104</v>
      </c>
      <c r="H84" s="69" t="s">
        <v>105</v>
      </c>
      <c r="I84" s="69" t="s">
        <v>106</v>
      </c>
      <c r="J84" s="69" t="s">
        <v>107</v>
      </c>
      <c r="K84" s="69" t="s">
        <v>108</v>
      </c>
      <c r="L84" s="69" t="s">
        <v>104</v>
      </c>
      <c r="M84" s="69" t="s">
        <v>105</v>
      </c>
      <c r="N84" s="69" t="s">
        <v>106</v>
      </c>
      <c r="O84" s="69" t="s">
        <v>107</v>
      </c>
      <c r="P84" s="69" t="s">
        <v>108</v>
      </c>
      <c r="Q84" s="81" t="s">
        <v>104</v>
      </c>
      <c r="R84" s="81" t="s">
        <v>105</v>
      </c>
      <c r="S84" s="81" t="s">
        <v>106</v>
      </c>
      <c r="T84" s="81" t="s">
        <v>107</v>
      </c>
      <c r="U84" s="81" t="s">
        <v>108</v>
      </c>
      <c r="V84" s="99" t="s">
        <v>104</v>
      </c>
      <c r="W84" s="99" t="s">
        <v>105</v>
      </c>
      <c r="X84" s="99" t="s">
        <v>106</v>
      </c>
      <c r="Y84" s="99" t="s">
        <v>107</v>
      </c>
      <c r="Z84" s="99" t="s">
        <v>108</v>
      </c>
      <c r="AB84" s="83" t="s">
        <v>212</v>
      </c>
      <c r="AC84" s="83" t="s">
        <v>213</v>
      </c>
      <c r="AD84" s="83" t="s">
        <v>214</v>
      </c>
      <c r="AE84" s="83" t="s">
        <v>254</v>
      </c>
      <c r="AF84" s="83" t="s">
        <v>212</v>
      </c>
      <c r="AG84" s="83" t="s">
        <v>213</v>
      </c>
      <c r="AH84" s="83" t="s">
        <v>214</v>
      </c>
      <c r="AI84" s="83" t="s">
        <v>254</v>
      </c>
    </row>
    <row r="85" spans="3:35" x14ac:dyDescent="0.15">
      <c r="C85" s="70">
        <v>1</v>
      </c>
      <c r="D85" s="60">
        <f>基础信息!D90</f>
        <v>16</v>
      </c>
      <c r="E85" s="61">
        <f>基础信息!E90</f>
        <v>0.50775438407852935</v>
      </c>
      <c r="F85" s="61">
        <f>基础信息!F90</f>
        <v>14.671687356650759</v>
      </c>
      <c r="G85" s="69">
        <f>基础信息!$G90*基础信息!I90*(1+求节点(门客进修!$C$23:$C$25,门客进修!D$23:D$25,基础信息!N90))</f>
        <v>0</v>
      </c>
      <c r="H85" s="69">
        <f>基础信息!$G90*基础信息!J90*(1+求节点(门客进修!$C$23:$C$25,门客进修!E$23:E$25,基础信息!O90))</f>
        <v>0</v>
      </c>
      <c r="I85" s="69">
        <f>基础信息!$G90*基础信息!K90*(1+求节点(门客进修!$C$23:$C$25,门客进修!F$23:F$25,基础信息!P90))</f>
        <v>1</v>
      </c>
      <c r="J85" s="69">
        <f>基础信息!$G90*基础信息!L90*(1+求节点(门客进修!$C$23:$C$25,门客进修!G$23:G$25,基础信息!Q90))</f>
        <v>0</v>
      </c>
      <c r="K85" s="69">
        <f>基础信息!$G90*基础信息!M90*(1+求节点(门客进修!$C$23:$C$25,门客进修!H$23:H$25,基础信息!R90))</f>
        <v>0</v>
      </c>
      <c r="L85" s="103">
        <f>寻访!AD85+基础投放!N85+基础投放!AL85+付费投放!T85+寻访!AM85</f>
        <v>1</v>
      </c>
      <c r="M85" s="103">
        <f>寻访!AE85+基础投放!O85+基础投放!AM85+付费投放!U85+寻访!AN85</f>
        <v>0</v>
      </c>
      <c r="N85" s="103">
        <f>寻访!AF85+基础投放!P85+基础投放!AN85+付费投放!V85+寻访!AO85</f>
        <v>0.50775438407852935</v>
      </c>
      <c r="O85" s="103">
        <f>寻访!AG85+基础投放!Q85+基础投放!AO85+付费投放!W85+寻访!AP85</f>
        <v>0.50775438407852935</v>
      </c>
      <c r="P85" s="103">
        <f>寻访!AH85+基础投放!R85+基础投放!AP85+付费投放!X85+寻访!AQ85</f>
        <v>0</v>
      </c>
      <c r="Q85" s="83">
        <f>IFERROR(L85/G85,0)</f>
        <v>0</v>
      </c>
      <c r="R85" s="83">
        <f t="shared" ref="R85:R100" si="62">IFERROR(M85/H85,0)</f>
        <v>0</v>
      </c>
      <c r="S85" s="83">
        <f t="shared" ref="S85:S100" si="63">IFERROR(N85/I85,0)</f>
        <v>0.50775438407852935</v>
      </c>
      <c r="T85" s="83">
        <f t="shared" ref="T85:T100" si="64">IFERROR(O85/J85,0)</f>
        <v>0</v>
      </c>
      <c r="U85" s="83">
        <f t="shared" ref="U85:U100" si="65">IFERROR(P85/K85,0)</f>
        <v>0</v>
      </c>
      <c r="V85" s="99">
        <f>IF(V86=0,0,MAX(L85-G85,0))</f>
        <v>1</v>
      </c>
      <c r="W85" s="99">
        <f t="shared" ref="W85:W99" si="66">IF(W86=0,0,MAX(M85-H85,0))</f>
        <v>0</v>
      </c>
      <c r="X85" s="99">
        <f t="shared" ref="X85:X99" si="67">IF(X86=0,0,MAX(N85-I85,0))</f>
        <v>0</v>
      </c>
      <c r="Y85" s="99">
        <f t="shared" ref="Y85:Y99" si="68">IF(Y86=0,0,MAX(O85-J85,0))</f>
        <v>0</v>
      </c>
      <c r="Z85" s="99">
        <f t="shared" ref="Z85:Z99" si="69">IF(Z86=0,0,MAX(P85-K85,0))</f>
        <v>0</v>
      </c>
      <c r="AB85" s="83">
        <f>寻访!AG85/$O85</f>
        <v>0</v>
      </c>
      <c r="AC85" s="83">
        <f>基础投放!Q85/$O85</f>
        <v>0</v>
      </c>
      <c r="AD85" s="83">
        <f>基础投放!AO85/$O85</f>
        <v>0</v>
      </c>
      <c r="AE85" s="83">
        <f>付费投放!W85/$O85</f>
        <v>1</v>
      </c>
      <c r="AF85" s="83">
        <f>IFERROR(寻访!AH85/$P85,0)</f>
        <v>0</v>
      </c>
      <c r="AG85" s="83">
        <f>IFERROR(基础投放!R85/$P85,0)</f>
        <v>0</v>
      </c>
      <c r="AH85" s="83">
        <f>IFERROR(基础投放!AP85/$P85,0)</f>
        <v>0</v>
      </c>
      <c r="AI85" s="83">
        <f>IFERROR(付费投放!X85/$P85,0)</f>
        <v>0</v>
      </c>
    </row>
    <row r="86" spans="3:35" x14ac:dyDescent="0.15">
      <c r="C86" s="70">
        <v>2</v>
      </c>
      <c r="D86" s="60">
        <f>基础信息!D91</f>
        <v>19.5</v>
      </c>
      <c r="E86" s="61">
        <f>基础信息!E91</f>
        <v>0.96457950643309154</v>
      </c>
      <c r="F86" s="61">
        <f>基础信息!F91</f>
        <v>20.922787117743994</v>
      </c>
      <c r="G86" s="69">
        <f>基础信息!$G91*基础信息!I91*(1+求节点(门客进修!$C$23:$C$25,门客进修!D$23:D$25,基础信息!N91))</f>
        <v>0</v>
      </c>
      <c r="H86" s="69">
        <f>基础信息!$G91*基础信息!J91*(1+求节点(门客进修!$C$23:$C$25,门客进修!E$23:E$25,基础信息!O91))</f>
        <v>0</v>
      </c>
      <c r="I86" s="69">
        <f>基础信息!$G91*基础信息!K91*(1+求节点(门客进修!$C$23:$C$25,门客进修!F$23:F$25,基础信息!P91))</f>
        <v>2</v>
      </c>
      <c r="J86" s="69">
        <f>基础信息!$G91*基础信息!L91*(1+求节点(门客进修!$C$23:$C$25,门客进修!G$23:G$25,基础信息!Q91))</f>
        <v>0</v>
      </c>
      <c r="K86" s="69">
        <f>基础信息!$G91*基础信息!M91*(1+求节点(门客进修!$C$23:$C$25,门客进修!H$23:H$25,基础信息!R91))</f>
        <v>0</v>
      </c>
      <c r="L86" s="103">
        <f>寻访!AD86+基础投放!N86+基础投放!AL86+付费投放!T86+寻访!AM86</f>
        <v>2</v>
      </c>
      <c r="M86" s="103">
        <f>寻访!AE86+基础投放!O86+基础投放!AM86+付费投放!U86+寻访!AN86</f>
        <v>0</v>
      </c>
      <c r="N86" s="103">
        <f>寻访!AF86+基础投放!P86+基础投放!AN86+付费投放!V86+寻访!AO86</f>
        <v>0.96457950643309154</v>
      </c>
      <c r="O86" s="103">
        <f>寻访!AG86+基础投放!Q86+基础投放!AO86+付费投放!W86+寻访!AP86</f>
        <v>0.96457950643309154</v>
      </c>
      <c r="P86" s="103">
        <f>寻访!AH86+基础投放!R86+基础投放!AP86+付费投放!X86+寻访!AQ86</f>
        <v>0</v>
      </c>
      <c r="Q86" s="83">
        <f t="shared" ref="Q86:Q100" si="70">IFERROR(L86/G86,0)</f>
        <v>0</v>
      </c>
      <c r="R86" s="83">
        <f t="shared" si="62"/>
        <v>0</v>
      </c>
      <c r="S86" s="83">
        <f t="shared" si="63"/>
        <v>0.48228975321654577</v>
      </c>
      <c r="T86" s="83">
        <f t="shared" si="64"/>
        <v>0</v>
      </c>
      <c r="U86" s="83">
        <f t="shared" si="65"/>
        <v>0</v>
      </c>
      <c r="V86" s="99">
        <f t="shared" ref="V86:V99" si="71">IF(V87=0,0,MAX(L86-G86,0))</f>
        <v>2</v>
      </c>
      <c r="W86" s="99">
        <f t="shared" si="66"/>
        <v>0</v>
      </c>
      <c r="X86" s="99">
        <f t="shared" si="67"/>
        <v>0</v>
      </c>
      <c r="Y86" s="99">
        <f t="shared" si="68"/>
        <v>0</v>
      </c>
      <c r="Z86" s="99">
        <f t="shared" si="69"/>
        <v>0</v>
      </c>
      <c r="AB86" s="83">
        <f>寻访!AG86/$O86</f>
        <v>0</v>
      </c>
      <c r="AC86" s="83">
        <f>基础投放!Q86/$O86</f>
        <v>0</v>
      </c>
      <c r="AD86" s="83">
        <f>基础投放!AO86/$O86</f>
        <v>0</v>
      </c>
      <c r="AE86" s="83">
        <f>付费投放!W86/$O86</f>
        <v>1</v>
      </c>
      <c r="AF86" s="83">
        <f>IFERROR(寻访!AH86/$P86,0)</f>
        <v>0</v>
      </c>
      <c r="AG86" s="83">
        <f>IFERROR(基础投放!R86/$P86,0)</f>
        <v>0</v>
      </c>
      <c r="AH86" s="83">
        <f>IFERROR(基础投放!AP86/$P86,0)</f>
        <v>0</v>
      </c>
      <c r="AI86" s="83">
        <f>IFERROR(付费投放!X86/$P86,0)</f>
        <v>0</v>
      </c>
    </row>
    <row r="87" spans="3:35" x14ac:dyDescent="0.15">
      <c r="C87" s="70">
        <v>3</v>
      </c>
      <c r="D87" s="60">
        <f>基础信息!D92</f>
        <v>23.5</v>
      </c>
      <c r="E87" s="61">
        <f>基础信息!E92</f>
        <v>1.9310027754318846</v>
      </c>
      <c r="F87" s="61">
        <f>基础信息!F92</f>
        <v>28.96506192552858</v>
      </c>
      <c r="G87" s="69">
        <f>基础信息!$G92*基础信息!I92*(1+求节点(门客进修!$C$23:$C$25,门客进修!D$23:D$25,基础信息!N92))</f>
        <v>0</v>
      </c>
      <c r="H87" s="69">
        <f>基础信息!$G92*基础信息!J92*(1+求节点(门客进修!$C$23:$C$25,门客进修!E$23:E$25,基础信息!O92))</f>
        <v>0</v>
      </c>
      <c r="I87" s="69">
        <f>基础信息!$G92*基础信息!K92*(1+求节点(门客进修!$C$23:$C$25,门客进修!F$23:F$25,基础信息!P92))</f>
        <v>1.5</v>
      </c>
      <c r="J87" s="69">
        <f>基础信息!$G92*基础信息!L92*(1+求节点(门客进修!$C$23:$C$25,门客进修!G$23:G$25,基础信息!Q92))</f>
        <v>1.5</v>
      </c>
      <c r="K87" s="69">
        <f>基础信息!$G92*基础信息!M92*(1+求节点(门客进修!$C$23:$C$25,门客进修!H$23:H$25,基础信息!R92))</f>
        <v>0</v>
      </c>
      <c r="L87" s="103">
        <f>寻访!AD87+基础投放!N87+基础投放!AL87+付费投放!T87+寻访!AM87</f>
        <v>3</v>
      </c>
      <c r="M87" s="103">
        <f>寻访!AE87+基础投放!O87+基础投放!AM87+付费投放!U87+寻访!AN87</f>
        <v>0</v>
      </c>
      <c r="N87" s="103">
        <f>寻访!AF87+基础投放!P87+基础投放!AN87+付费投放!V87+寻访!AO87</f>
        <v>1.9310027754318846</v>
      </c>
      <c r="O87" s="103">
        <f>寻访!AG87+基础投放!Q87+基础投放!AO87+付费投放!W87+寻访!AP87</f>
        <v>1.9310027754318846</v>
      </c>
      <c r="P87" s="103">
        <f>寻访!AH87+基础投放!R87+基础投放!AP87+付费投放!X87+寻访!AQ87</f>
        <v>0</v>
      </c>
      <c r="Q87" s="83">
        <f t="shared" si="70"/>
        <v>0</v>
      </c>
      <c r="R87" s="83">
        <f t="shared" si="62"/>
        <v>0</v>
      </c>
      <c r="S87" s="83">
        <f t="shared" si="63"/>
        <v>1.2873351836212563</v>
      </c>
      <c r="T87" s="83">
        <f t="shared" si="64"/>
        <v>1.2873351836212563</v>
      </c>
      <c r="U87" s="83">
        <f t="shared" si="65"/>
        <v>0</v>
      </c>
      <c r="V87" s="99">
        <f t="shared" si="71"/>
        <v>3</v>
      </c>
      <c r="W87" s="99">
        <f t="shared" si="66"/>
        <v>0</v>
      </c>
      <c r="X87" s="99">
        <f t="shared" si="67"/>
        <v>0.43100277543188459</v>
      </c>
      <c r="Y87" s="99">
        <f t="shared" si="68"/>
        <v>0</v>
      </c>
      <c r="Z87" s="99">
        <f t="shared" si="69"/>
        <v>0</v>
      </c>
      <c r="AB87" s="83">
        <f>寻访!AG87/$O87</f>
        <v>0</v>
      </c>
      <c r="AC87" s="83">
        <f>基础投放!Q87/$O87</f>
        <v>0</v>
      </c>
      <c r="AD87" s="83">
        <f>基础投放!AO87/$O87</f>
        <v>0</v>
      </c>
      <c r="AE87" s="83">
        <f>付费投放!W87/$O87</f>
        <v>1</v>
      </c>
      <c r="AF87" s="83">
        <f>IFERROR(寻访!AH87/$P87,0)</f>
        <v>0</v>
      </c>
      <c r="AG87" s="83">
        <f>IFERROR(基础投放!R87/$P87,0)</f>
        <v>0</v>
      </c>
      <c r="AH87" s="83">
        <f>IFERROR(基础投放!AP87/$P87,0)</f>
        <v>0</v>
      </c>
      <c r="AI87" s="83">
        <f>IFERROR(付费投放!X87/$P87,0)</f>
        <v>0</v>
      </c>
    </row>
    <row r="88" spans="3:35" x14ac:dyDescent="0.15">
      <c r="C88" s="70">
        <v>4</v>
      </c>
      <c r="D88" s="60">
        <f>基础信息!D93</f>
        <v>27.5</v>
      </c>
      <c r="E88" s="61">
        <f>基础信息!E93</f>
        <v>3.7740446275970769</v>
      </c>
      <c r="F88" s="61">
        <f>基础信息!F93</f>
        <v>37.642488096871389</v>
      </c>
      <c r="G88" s="69">
        <f>基础信息!$G93*基础信息!I93*(1+求节点(门客进修!$C$23:$C$25,门客进修!D$23:D$25,基础信息!N93))</f>
        <v>0</v>
      </c>
      <c r="H88" s="69">
        <f>基础信息!$G93*基础信息!J93*(1+求节点(门客进修!$C$23:$C$25,门客进修!E$23:E$25,基础信息!O93))</f>
        <v>0</v>
      </c>
      <c r="I88" s="69">
        <f>基础信息!$G93*基础信息!K93*(1+求节点(门客进修!$C$23:$C$25,门客进修!F$23:F$25,基础信息!P93))</f>
        <v>0</v>
      </c>
      <c r="J88" s="69">
        <f>基础信息!$G93*基础信息!L93*(1+求节点(门客进修!$C$23:$C$25,门客进修!G$23:G$25,基础信息!Q93))</f>
        <v>4</v>
      </c>
      <c r="K88" s="69">
        <f>基础信息!$G93*基础信息!M93*(1+求节点(门客进修!$C$23:$C$25,门客进修!H$23:H$25,基础信息!R93))</f>
        <v>0</v>
      </c>
      <c r="L88" s="103">
        <f>寻访!AD88+基础投放!N88+基础投放!AL88+付费投放!T88+寻访!AM88</f>
        <v>4</v>
      </c>
      <c r="M88" s="103">
        <f>寻访!AE88+基础投放!O88+基础投放!AM88+付费投放!U88+寻访!AN88</f>
        <v>0</v>
      </c>
      <c r="N88" s="103">
        <f>寻访!AF88+基础投放!P88+基础投放!AN88+付费投放!V88+寻访!AO88</f>
        <v>3.7740446275970774</v>
      </c>
      <c r="O88" s="103">
        <f>寻访!AG88+基础投放!Q88+基础投放!AO88+付费投放!W88+寻访!AP88</f>
        <v>3.7740446275970774</v>
      </c>
      <c r="P88" s="103">
        <f>寻访!AH88+基础投放!R88+基础投放!AP88+付费投放!X88+寻访!AQ88</f>
        <v>0</v>
      </c>
      <c r="Q88" s="83">
        <f t="shared" si="70"/>
        <v>0</v>
      </c>
      <c r="R88" s="83">
        <f t="shared" si="62"/>
        <v>0</v>
      </c>
      <c r="S88" s="83">
        <f t="shared" si="63"/>
        <v>0</v>
      </c>
      <c r="T88" s="83">
        <f t="shared" si="64"/>
        <v>0.94351115689926934</v>
      </c>
      <c r="U88" s="83">
        <f t="shared" si="65"/>
        <v>0</v>
      </c>
      <c r="V88" s="99">
        <f t="shared" si="71"/>
        <v>4</v>
      </c>
      <c r="W88" s="99">
        <f t="shared" si="66"/>
        <v>0</v>
      </c>
      <c r="X88" s="99">
        <f t="shared" si="67"/>
        <v>3.7740446275970774</v>
      </c>
      <c r="Y88" s="99">
        <f t="shared" si="68"/>
        <v>0</v>
      </c>
      <c r="Z88" s="99">
        <f t="shared" si="69"/>
        <v>0</v>
      </c>
      <c r="AB88" s="83">
        <f>寻访!AG88/$O88</f>
        <v>0</v>
      </c>
      <c r="AC88" s="83">
        <f>基础投放!Q88/$O88</f>
        <v>0</v>
      </c>
      <c r="AD88" s="83">
        <f>基础投放!AO88/$O88</f>
        <v>0</v>
      </c>
      <c r="AE88" s="83">
        <f>付费投放!W88/$O88</f>
        <v>1</v>
      </c>
      <c r="AF88" s="83">
        <f>IFERROR(寻访!AH88/$P88,0)</f>
        <v>0</v>
      </c>
      <c r="AG88" s="83">
        <f>IFERROR(基础投放!R88/$P88,0)</f>
        <v>0</v>
      </c>
      <c r="AH88" s="83">
        <f>IFERROR(基础投放!AP88/$P88,0)</f>
        <v>0</v>
      </c>
      <c r="AI88" s="83">
        <f>IFERROR(付费投放!X88/$P88,0)</f>
        <v>0</v>
      </c>
    </row>
    <row r="89" spans="3:35" x14ac:dyDescent="0.15">
      <c r="C89" s="70">
        <v>5</v>
      </c>
      <c r="D89" s="60">
        <f>基础信息!D94</f>
        <v>31.5</v>
      </c>
      <c r="E89" s="61">
        <f>基础信息!E94</f>
        <v>7.2578477527161347</v>
      </c>
      <c r="F89" s="61">
        <f>基础信息!F94</f>
        <v>46.621425173369133</v>
      </c>
      <c r="G89" s="69">
        <f>基础信息!$G94*基础信息!I94*(1+求节点(门客进修!$C$23:$C$25,门客进修!D$23:D$25,基础信息!N94))</f>
        <v>0</v>
      </c>
      <c r="H89" s="69">
        <f>基础信息!$G94*基础信息!J94*(1+求节点(门客进修!$C$23:$C$25,门客进修!E$23:E$25,基础信息!O94))</f>
        <v>0</v>
      </c>
      <c r="I89" s="69">
        <f>基础信息!$G94*基础信息!K94*(1+求节点(门客进修!$C$23:$C$25,门客进修!F$23:F$25,基础信息!P94))</f>
        <v>0</v>
      </c>
      <c r="J89" s="69">
        <f>基础信息!$G94*基础信息!L94*(1+求节点(门客进修!$C$23:$C$25,门客进修!G$23:G$25,基础信息!Q94))</f>
        <v>10</v>
      </c>
      <c r="K89" s="69">
        <f>基础信息!$G94*基础信息!M94*(1+求节点(门客进修!$C$23:$C$25,门客进修!H$23:H$25,基础信息!R94))</f>
        <v>0</v>
      </c>
      <c r="L89" s="103">
        <f>寻访!AD89+基础投放!N89+基础投放!AL89+付费投放!T89+寻访!AM89</f>
        <v>7.7870425000952466</v>
      </c>
      <c r="M89" s="103">
        <f>寻访!AE89+基础投放!O89+基础投放!AM89+付费投放!U89+寻访!AN89</f>
        <v>0.69676062502381164</v>
      </c>
      <c r="N89" s="103">
        <f>寻访!AF89+基础投放!P89+基础投放!AN89+付费投放!V89+寻访!AO89</f>
        <v>7.2578477527161365</v>
      </c>
      <c r="O89" s="103">
        <f>寻访!AG89+基础投放!Q89+基础投放!AO89+付费投放!W89+寻访!AP89</f>
        <v>7.2578477527161365</v>
      </c>
      <c r="P89" s="103">
        <f>寻访!AH89+基础投放!R89+基础投放!AP89+付费投放!X89+寻访!AQ89</f>
        <v>0</v>
      </c>
      <c r="Q89" s="83">
        <f t="shared" si="70"/>
        <v>0</v>
      </c>
      <c r="R89" s="83">
        <f t="shared" si="62"/>
        <v>0</v>
      </c>
      <c r="S89" s="83">
        <f t="shared" si="63"/>
        <v>0</v>
      </c>
      <c r="T89" s="83">
        <f t="shared" si="64"/>
        <v>0.72578477527161367</v>
      </c>
      <c r="U89" s="83">
        <f t="shared" si="65"/>
        <v>0</v>
      </c>
      <c r="V89" s="99">
        <f t="shared" si="71"/>
        <v>7.7870425000952466</v>
      </c>
      <c r="W89" s="99">
        <f t="shared" si="66"/>
        <v>0.69676062502381164</v>
      </c>
      <c r="X89" s="99">
        <f t="shared" si="67"/>
        <v>7.2578477527161365</v>
      </c>
      <c r="Y89" s="99">
        <f t="shared" si="68"/>
        <v>0</v>
      </c>
      <c r="Z89" s="99">
        <f t="shared" si="69"/>
        <v>0</v>
      </c>
      <c r="AB89" s="83">
        <f>寻访!AG89/$O89</f>
        <v>0</v>
      </c>
      <c r="AC89" s="83">
        <f>基础投放!Q89/$O89</f>
        <v>0</v>
      </c>
      <c r="AD89" s="83">
        <f>基础投放!AO89/$O89</f>
        <v>0</v>
      </c>
      <c r="AE89" s="83">
        <f>付费投放!W89/$O89</f>
        <v>1</v>
      </c>
      <c r="AF89" s="83">
        <f>IFERROR(寻访!AH89/$P89,0)</f>
        <v>0</v>
      </c>
      <c r="AG89" s="83">
        <f>IFERROR(基础投放!R89/$P89,0)</f>
        <v>0</v>
      </c>
      <c r="AH89" s="83">
        <f>IFERROR(基础投放!AP89/$P89,0)</f>
        <v>0</v>
      </c>
      <c r="AI89" s="83">
        <f>IFERROR(付费投放!X89/$P89,0)</f>
        <v>0</v>
      </c>
    </row>
    <row r="90" spans="3:35" x14ac:dyDescent="0.15">
      <c r="C90" s="70">
        <v>6</v>
      </c>
      <c r="D90" s="60">
        <f>基础信息!D95</f>
        <v>35.5</v>
      </c>
      <c r="E90" s="61">
        <f>基础信息!E95</f>
        <v>13.724686166700833</v>
      </c>
      <c r="F90" s="61">
        <f>基础信息!F95</f>
        <v>55.873561913262044</v>
      </c>
      <c r="G90" s="69">
        <f>基础信息!$G95*基础信息!I95*(1+求节点(门客进修!$C$23:$C$25,门客进修!D$23:D$25,基础信息!N95))</f>
        <v>0</v>
      </c>
      <c r="H90" s="69">
        <f>基础信息!$G95*基础信息!J95*(1+求节点(门客进修!$C$23:$C$25,门客进修!E$23:E$25,基础信息!O95))</f>
        <v>0</v>
      </c>
      <c r="I90" s="69">
        <f>基础信息!$G95*基础信息!K95*(1+求节点(门客进修!$C$23:$C$25,门客进修!F$23:F$25,基础信息!P95))</f>
        <v>0</v>
      </c>
      <c r="J90" s="69">
        <f>基础信息!$G95*基础信息!L95*(1+求节点(门客进修!$C$23:$C$25,门客进修!G$23:G$25,基础信息!Q95))</f>
        <v>18</v>
      </c>
      <c r="K90" s="69">
        <f>基础信息!$G95*基础信息!M95*(1+求节点(门客进修!$C$23:$C$25,门客进修!H$23:H$25,基础信息!R95))</f>
        <v>0</v>
      </c>
      <c r="L90" s="103">
        <f>寻访!AD90+基础投放!N90+基础投放!AL90+付费投放!T90+寻访!AM90</f>
        <v>13.184492621604843</v>
      </c>
      <c r="M90" s="103">
        <f>寻访!AE90+基础投放!O90+基础投放!AM90+付费投放!U90+寻访!AN90</f>
        <v>2.378138612659833</v>
      </c>
      <c r="N90" s="103">
        <f>寻访!AF90+基础投放!P90+基础投放!AN90+付费投放!V90+寻访!AO90</f>
        <v>14.112696471539916</v>
      </c>
      <c r="O90" s="103">
        <f>寻访!AG90+基础投放!Q90+基础投放!AO90+付费投放!W90+寻访!AP90</f>
        <v>13.724686166700835</v>
      </c>
      <c r="P90" s="103">
        <f>寻访!AH90+基础投放!R90+基础投放!AP90+付费投放!X90+寻访!AQ90</f>
        <v>0</v>
      </c>
      <c r="Q90" s="83">
        <f t="shared" si="70"/>
        <v>0</v>
      </c>
      <c r="R90" s="83">
        <f t="shared" si="62"/>
        <v>0</v>
      </c>
      <c r="S90" s="83">
        <f t="shared" si="63"/>
        <v>0</v>
      </c>
      <c r="T90" s="83">
        <f t="shared" si="64"/>
        <v>0.76248256481671306</v>
      </c>
      <c r="U90" s="83">
        <f t="shared" si="65"/>
        <v>0</v>
      </c>
      <c r="V90" s="99">
        <f t="shared" si="71"/>
        <v>13.184492621604843</v>
      </c>
      <c r="W90" s="99">
        <f t="shared" si="66"/>
        <v>2.378138612659833</v>
      </c>
      <c r="X90" s="99">
        <f t="shared" si="67"/>
        <v>14.112696471539916</v>
      </c>
      <c r="Y90" s="99">
        <f t="shared" si="68"/>
        <v>0</v>
      </c>
      <c r="Z90" s="99">
        <f t="shared" si="69"/>
        <v>0</v>
      </c>
      <c r="AB90" s="83">
        <f>寻访!AG90/$O90</f>
        <v>0</v>
      </c>
      <c r="AC90" s="83">
        <f>基础投放!Q90/$O90</f>
        <v>0</v>
      </c>
      <c r="AD90" s="83">
        <f>基础投放!AO90/$O90</f>
        <v>0</v>
      </c>
      <c r="AE90" s="83">
        <f>付费投放!W90/$O90</f>
        <v>1</v>
      </c>
      <c r="AF90" s="83">
        <f>IFERROR(寻访!AH90/$P90,0)</f>
        <v>0</v>
      </c>
      <c r="AG90" s="83">
        <f>IFERROR(基础投放!R90/$P90,0)</f>
        <v>0</v>
      </c>
      <c r="AH90" s="83">
        <f>IFERROR(基础投放!AP90/$P90,0)</f>
        <v>0</v>
      </c>
      <c r="AI90" s="83">
        <f>IFERROR(付费投放!X90/$P90,0)</f>
        <v>0</v>
      </c>
    </row>
    <row r="91" spans="3:35" x14ac:dyDescent="0.15">
      <c r="C91" s="70">
        <v>7</v>
      </c>
      <c r="D91" s="60">
        <f>基础信息!D96</f>
        <v>39.5</v>
      </c>
      <c r="E91" s="61">
        <f>基础信息!E96</f>
        <v>24.924269098598003</v>
      </c>
      <c r="F91" s="61">
        <f>基础信息!F96</f>
        <v>64.352574598751431</v>
      </c>
      <c r="G91" s="69">
        <f>基础信息!$G96*基础信息!I96*(1+求节点(门客进修!$C$23:$C$25,门客进修!D$23:D$25,基础信息!N96))</f>
        <v>0</v>
      </c>
      <c r="H91" s="69">
        <f>基础信息!$G96*基础信息!J96*(1+求节点(门客进修!$C$23:$C$25,门客进修!E$23:E$25,基础信息!O96))</f>
        <v>0</v>
      </c>
      <c r="I91" s="69">
        <f>基础信息!$G96*基础信息!K96*(1+求节点(门客进修!$C$23:$C$25,门客进修!F$23:F$25,基础信息!P96))</f>
        <v>0</v>
      </c>
      <c r="J91" s="69">
        <f>基础信息!$G96*基础信息!L96*(1+求节点(门客进修!$C$23:$C$25,门客进修!G$23:G$25,基础信息!Q96))</f>
        <v>35</v>
      </c>
      <c r="K91" s="69">
        <f>基础信息!$G96*基础信息!M96*(1+求节点(门客进修!$C$23:$C$25,门客进修!H$23:H$25,基础信息!R96))</f>
        <v>0</v>
      </c>
      <c r="L91" s="103">
        <f>寻访!AD91+基础投放!N91+基础投放!AL91+付费投放!T91+寻访!AM91</f>
        <v>18.784284087553427</v>
      </c>
      <c r="M91" s="103">
        <f>寻访!AE91+基础投放!O91+基础投放!AM91+付费投放!U91+寻访!AN91</f>
        <v>7.5779822121212721</v>
      </c>
      <c r="N91" s="103">
        <f>寻访!AF91+基础投放!P91+基础投放!AN91+付费投放!V91+寻访!AO91</f>
        <v>26.656229355264745</v>
      </c>
      <c r="O91" s="103">
        <f>寻访!AG91+基础投放!Q91+基础投放!AO91+付费投放!W91+寻访!AP91</f>
        <v>24.980267013257489</v>
      </c>
      <c r="P91" s="103">
        <f>寻访!AH91+基础投放!R91+基础投放!AP91+付费投放!X91+寻访!AQ91</f>
        <v>0</v>
      </c>
      <c r="Q91" s="83">
        <f t="shared" si="70"/>
        <v>0</v>
      </c>
      <c r="R91" s="83">
        <f t="shared" si="62"/>
        <v>0</v>
      </c>
      <c r="S91" s="83">
        <f t="shared" si="63"/>
        <v>0</v>
      </c>
      <c r="T91" s="83">
        <f t="shared" si="64"/>
        <v>0.71372191466449963</v>
      </c>
      <c r="U91" s="83">
        <f t="shared" si="65"/>
        <v>0</v>
      </c>
      <c r="V91" s="99">
        <f t="shared" si="71"/>
        <v>18.784284087553427</v>
      </c>
      <c r="W91" s="99">
        <f t="shared" si="66"/>
        <v>7.5779822121212721</v>
      </c>
      <c r="X91" s="99">
        <f t="shared" si="67"/>
        <v>26.656229355264745</v>
      </c>
      <c r="Y91" s="99">
        <f t="shared" si="68"/>
        <v>0</v>
      </c>
      <c r="Z91" s="99">
        <f t="shared" si="69"/>
        <v>0</v>
      </c>
      <c r="AB91" s="83">
        <f>寻访!AG91/$O91</f>
        <v>2.2416859927784894E-3</v>
      </c>
      <c r="AC91" s="83">
        <f>基础投放!Q91/$O91</f>
        <v>0</v>
      </c>
      <c r="AD91" s="83">
        <f>基础投放!AO91/$O91</f>
        <v>0</v>
      </c>
      <c r="AE91" s="83">
        <f>付费投放!W91/$O91</f>
        <v>0.99775831400722148</v>
      </c>
      <c r="AF91" s="83">
        <f>IFERROR(寻访!AH91/$P91,0)</f>
        <v>0</v>
      </c>
      <c r="AG91" s="83">
        <f>IFERROR(基础投放!R91/$P91,0)</f>
        <v>0</v>
      </c>
      <c r="AH91" s="83">
        <f>IFERROR(基础投放!AP91/$P91,0)</f>
        <v>0</v>
      </c>
      <c r="AI91" s="83">
        <f>IFERROR(付费投放!X91/$P91,0)</f>
        <v>0</v>
      </c>
    </row>
    <row r="92" spans="3:35" x14ac:dyDescent="0.15">
      <c r="C92" s="70">
        <v>8</v>
      </c>
      <c r="D92" s="60">
        <f>基础信息!D97</f>
        <v>43.5</v>
      </c>
      <c r="E92" s="61">
        <f>基础信息!E97</f>
        <v>45.136608733654796</v>
      </c>
      <c r="F92" s="61">
        <f>基础信息!F97</f>
        <v>73.078652735991781</v>
      </c>
      <c r="G92" s="69">
        <f>基础信息!$G97*基础信息!I97*(1+求节点(门客进修!$C$23:$C$25,门客进修!D$23:D$25,基础信息!N97))</f>
        <v>0</v>
      </c>
      <c r="H92" s="69">
        <f>基础信息!$G97*基础信息!J97*(1+求节点(门客进修!$C$23:$C$25,门客进修!E$23:E$25,基础信息!O97))</f>
        <v>0</v>
      </c>
      <c r="I92" s="69">
        <f>基础信息!$G97*基础信息!K97*(1+求节点(门客进修!$C$23:$C$25,门客进修!F$23:F$25,基础信息!P97))</f>
        <v>0</v>
      </c>
      <c r="J92" s="69">
        <f>基础信息!$G97*基础信息!L97*(1+求节点(门客进修!$C$23:$C$25,门客进修!G$23:G$25,基础信息!Q97))</f>
        <v>42</v>
      </c>
      <c r="K92" s="69">
        <f>基础信息!$G97*基础信息!M97*(1+求节点(门客进修!$C$23:$C$25,门客进修!H$23:H$25,基础信息!R97))</f>
        <v>2</v>
      </c>
      <c r="L92" s="103">
        <f>寻访!AD92+基础投放!N92+基础投放!AL92+付费投放!T92+寻访!AM92</f>
        <v>27.879836923328984</v>
      </c>
      <c r="M92" s="103">
        <f>寻访!AE92+基础投放!O92+基础投放!AM92+付费投放!U92+寻访!AN92</f>
        <v>16.157609575267571</v>
      </c>
      <c r="N92" s="103">
        <f>寻访!AF92+基础投放!P92+基础投放!AN92+付费投放!V92+寻访!AO92</f>
        <v>51.936821953641648</v>
      </c>
      <c r="O92" s="103">
        <f>寻访!AG92+基础投放!Q92+基础投放!AO92+付费投放!W92+寻访!AP92</f>
        <v>43.972804969940988</v>
      </c>
      <c r="P92" s="103">
        <f>寻访!AH92+基础投放!R92+基础投放!AP92+付费投放!X92+寻访!AQ92</f>
        <v>0</v>
      </c>
      <c r="Q92" s="83">
        <f t="shared" si="70"/>
        <v>0</v>
      </c>
      <c r="R92" s="83">
        <f t="shared" si="62"/>
        <v>0</v>
      </c>
      <c r="S92" s="83">
        <f t="shared" si="63"/>
        <v>0</v>
      </c>
      <c r="T92" s="83">
        <f t="shared" si="64"/>
        <v>1.0469715469033569</v>
      </c>
      <c r="U92" s="83">
        <f t="shared" si="65"/>
        <v>0</v>
      </c>
      <c r="V92" s="99">
        <f t="shared" si="71"/>
        <v>27.879836923328984</v>
      </c>
      <c r="W92" s="99">
        <f t="shared" si="66"/>
        <v>16.157609575267571</v>
      </c>
      <c r="X92" s="99">
        <f t="shared" si="67"/>
        <v>51.936821953641648</v>
      </c>
      <c r="Y92" s="99">
        <f t="shared" si="68"/>
        <v>1.972804969940988</v>
      </c>
      <c r="Z92" s="99">
        <f t="shared" si="69"/>
        <v>0</v>
      </c>
      <c r="AB92" s="83">
        <f>寻访!AG92/$O92</f>
        <v>5.8700215095784979E-3</v>
      </c>
      <c r="AC92" s="83">
        <f>基础投放!Q92/$O92</f>
        <v>0</v>
      </c>
      <c r="AD92" s="83">
        <f>基础投放!AO92/$O92</f>
        <v>0</v>
      </c>
      <c r="AE92" s="83">
        <f>付费投放!W92/$O92</f>
        <v>0.99412997849042162</v>
      </c>
      <c r="AF92" s="83">
        <f>IFERROR(寻访!AH92/$P92,0)</f>
        <v>0</v>
      </c>
      <c r="AG92" s="83">
        <f>IFERROR(基础投放!R92/$P92,0)</f>
        <v>0</v>
      </c>
      <c r="AH92" s="83">
        <f>IFERROR(基础投放!AP92/$P92,0)</f>
        <v>0</v>
      </c>
      <c r="AI92" s="83">
        <f>IFERROR(付费投放!X92/$P92,0)</f>
        <v>0</v>
      </c>
    </row>
    <row r="93" spans="3:35" x14ac:dyDescent="0.15">
      <c r="C93" s="70">
        <v>9</v>
      </c>
      <c r="D93" s="60">
        <f>基础信息!D98</f>
        <v>47.5</v>
      </c>
      <c r="E93" s="61">
        <f>基础信息!E98</f>
        <v>81.567079653693213</v>
      </c>
      <c r="F93" s="61">
        <f>基础信息!F98</f>
        <v>81.690385070357735</v>
      </c>
      <c r="G93" s="69">
        <f>基础信息!$G98*基础信息!I98*(1+求节点(门客进修!$C$23:$C$25,门客进修!D$23:D$25,基础信息!N98))</f>
        <v>0</v>
      </c>
      <c r="H93" s="69">
        <f>基础信息!$G98*基础信息!J98*(1+求节点(门客进修!$C$23:$C$25,门客进修!E$23:E$25,基础信息!O98))</f>
        <v>0</v>
      </c>
      <c r="I93" s="69">
        <f>基础信息!$G98*基础信息!K98*(1+求节点(门客进修!$C$23:$C$25,门客进修!F$23:F$25,基础信息!P98))</f>
        <v>0</v>
      </c>
      <c r="J93" s="69">
        <f>基础信息!$G98*基础信息!L98*(1+求节点(门客进修!$C$23:$C$25,门客进修!G$23:G$25,基础信息!Q98))</f>
        <v>31.5</v>
      </c>
      <c r="K93" s="69">
        <f>基础信息!$G98*基础信息!M98*(1+求节点(门客进修!$C$23:$C$25,门客进修!H$23:H$25,基础信息!R98))</f>
        <v>4.5</v>
      </c>
      <c r="L93" s="103">
        <f>寻访!AD93+基础投放!N93+基础投放!AL93+付费投放!T93+寻访!AM93</f>
        <v>42.452025291344356</v>
      </c>
      <c r="M93" s="103">
        <f>寻访!AE93+基础投放!O93+基础投放!AM93+付费投放!U93+寻访!AN93</f>
        <v>30.819036170281976</v>
      </c>
      <c r="N93" s="103">
        <f>寻访!AF93+基础投放!P93+基础投放!AN93+付费投放!V93+寻访!AO93</f>
        <v>89.57037615396672</v>
      </c>
      <c r="O93" s="103">
        <f>寻访!AG93+基础投放!Q93+基础投放!AO93+付费投放!W93+寻访!AP93</f>
        <v>66.908688069081663</v>
      </c>
      <c r="P93" s="103">
        <f>寻访!AH93+基础投放!R93+基础投放!AP93+付费投放!X93+寻访!AQ93</f>
        <v>3.1984894336200127</v>
      </c>
      <c r="Q93" s="83">
        <f t="shared" si="70"/>
        <v>0</v>
      </c>
      <c r="R93" s="83">
        <f t="shared" si="62"/>
        <v>0</v>
      </c>
      <c r="S93" s="83">
        <f t="shared" si="63"/>
        <v>0</v>
      </c>
      <c r="T93" s="83">
        <f t="shared" si="64"/>
        <v>2.1240853355264018</v>
      </c>
      <c r="U93" s="83">
        <f t="shared" si="65"/>
        <v>0.71077542969333618</v>
      </c>
      <c r="V93" s="99">
        <f t="shared" si="71"/>
        <v>42.452025291344356</v>
      </c>
      <c r="W93" s="99">
        <f t="shared" si="66"/>
        <v>30.819036170281976</v>
      </c>
      <c r="X93" s="99">
        <f t="shared" si="67"/>
        <v>89.57037615396672</v>
      </c>
      <c r="Y93" s="99">
        <f t="shared" si="68"/>
        <v>35.408688069081663</v>
      </c>
      <c r="Z93" s="99">
        <f t="shared" si="69"/>
        <v>0</v>
      </c>
      <c r="AB93" s="83">
        <f>寻访!AG93/$O93</f>
        <v>1.2025020935695551E-2</v>
      </c>
      <c r="AC93" s="83">
        <f>基础投放!Q93/$O93</f>
        <v>0</v>
      </c>
      <c r="AD93" s="83">
        <f>基础投放!AO93/$O93</f>
        <v>0</v>
      </c>
      <c r="AE93" s="83">
        <f>付费投放!W93/$O93</f>
        <v>0.98797497906430443</v>
      </c>
      <c r="AF93" s="83">
        <f>IFERROR(寻访!AH93/$P93,0)</f>
        <v>0</v>
      </c>
      <c r="AG93" s="83">
        <f>IFERROR(基础投放!R93/$P93,0)</f>
        <v>0</v>
      </c>
      <c r="AH93" s="83">
        <f>IFERROR(基础投放!AP93/$P93,0)</f>
        <v>0</v>
      </c>
      <c r="AI93" s="83">
        <f>IFERROR(付费投放!X93/$P93,0)</f>
        <v>1</v>
      </c>
    </row>
    <row r="94" spans="3:35" x14ac:dyDescent="0.15">
      <c r="C94" s="70">
        <v>10</v>
      </c>
      <c r="D94" s="60">
        <f>基础信息!D99</f>
        <v>52</v>
      </c>
      <c r="E94" s="61">
        <f>基础信息!E99</f>
        <v>157.97060377387891</v>
      </c>
      <c r="F94" s="61">
        <f>基础信息!F99</f>
        <v>92.03038330510195</v>
      </c>
      <c r="G94" s="69">
        <f>基础信息!$G99*基础信息!I99*(1+求节点(门客进修!$C$23:$C$25,门客进修!D$23:D$25,基础信息!N99))</f>
        <v>0</v>
      </c>
      <c r="H94" s="69">
        <f>基础信息!$G99*基础信息!J99*(1+求节点(门客进修!$C$23:$C$25,门客进修!E$23:E$25,基础信息!O99))</f>
        <v>0</v>
      </c>
      <c r="I94" s="69">
        <f>基础信息!$G99*基础信息!K99*(1+求节点(门客进修!$C$23:$C$25,门客进修!F$23:F$25,基础信息!P99))</f>
        <v>0</v>
      </c>
      <c r="J94" s="69">
        <f>基础信息!$G99*基础信息!L99*(1+求节点(门客进修!$C$23:$C$25,门客进修!G$23:G$25,基础信息!Q99))</f>
        <v>17.5</v>
      </c>
      <c r="K94" s="69">
        <f>基础信息!$G99*基础信息!M99*(1+求节点(门客进修!$C$23:$C$25,门客进修!H$23:H$25,基础信息!R99))</f>
        <v>7.5</v>
      </c>
      <c r="L94" s="103">
        <f>寻访!AD94+基础投放!N94+基础投放!AL94+付费投放!T94+寻访!AM94</f>
        <v>69.193258733409351</v>
      </c>
      <c r="M94" s="103">
        <f>寻访!AE94+基础投放!O94+基础投放!AM94+付费投放!U94+寻访!AN94</f>
        <v>60.470357715351611</v>
      </c>
      <c r="N94" s="103">
        <f>寻访!AF94+基础投放!P94+基础投放!AN94+付费投放!V94+寻访!AO94</f>
        <v>170.86955611621033</v>
      </c>
      <c r="O94" s="103">
        <f>寻访!AG94+基础投放!Q94+基础投放!AO94+付费投放!W94+寻访!AP94</f>
        <v>114.2064905518735</v>
      </c>
      <c r="P94" s="103">
        <f>寻访!AH94+基础投放!R94+基础投放!AP94+付费投放!X94+寻访!AQ94</f>
        <v>9.7370225765326026</v>
      </c>
      <c r="Q94" s="83">
        <f t="shared" si="70"/>
        <v>0</v>
      </c>
      <c r="R94" s="83">
        <f t="shared" si="62"/>
        <v>0</v>
      </c>
      <c r="S94" s="83">
        <f t="shared" si="63"/>
        <v>0</v>
      </c>
      <c r="T94" s="83">
        <f t="shared" si="64"/>
        <v>6.5260851743927715</v>
      </c>
      <c r="U94" s="83">
        <f t="shared" si="65"/>
        <v>1.2982696768710136</v>
      </c>
      <c r="V94" s="99">
        <f t="shared" si="71"/>
        <v>69.193258733409351</v>
      </c>
      <c r="W94" s="99">
        <f t="shared" si="66"/>
        <v>60.470357715351611</v>
      </c>
      <c r="X94" s="99">
        <f t="shared" si="67"/>
        <v>170.86955611621033</v>
      </c>
      <c r="Y94" s="99">
        <f t="shared" si="68"/>
        <v>96.7064905518735</v>
      </c>
      <c r="Z94" s="99">
        <f t="shared" si="69"/>
        <v>2.2370225765326026</v>
      </c>
      <c r="AB94" s="83">
        <f>寻访!AG94/$O94</f>
        <v>2.0424836153728379E-2</v>
      </c>
      <c r="AC94" s="83">
        <f>基础投放!Q94/$O94</f>
        <v>0</v>
      </c>
      <c r="AD94" s="83">
        <f>基础投放!AO94/$O94</f>
        <v>0</v>
      </c>
      <c r="AE94" s="83">
        <f>付费投放!W94/$O94</f>
        <v>0.97957516384627163</v>
      </c>
      <c r="AF94" s="83">
        <f>IFERROR(寻访!AH94/$P94,0)</f>
        <v>0</v>
      </c>
      <c r="AG94" s="83">
        <f>IFERROR(基础投放!R94/$P94,0)</f>
        <v>0</v>
      </c>
      <c r="AH94" s="83">
        <f>IFERROR(基础投放!AP94/$P94,0)</f>
        <v>0</v>
      </c>
      <c r="AI94" s="83">
        <f>IFERROR(付费投放!X94/$P94,0)</f>
        <v>1</v>
      </c>
    </row>
    <row r="95" spans="3:35" x14ac:dyDescent="0.15">
      <c r="C95" s="70">
        <v>11</v>
      </c>
      <c r="D95" s="60">
        <f>基础信息!D100</f>
        <v>57</v>
      </c>
      <c r="E95" s="61">
        <f>基础信息!E100</f>
        <v>329.56496855407232</v>
      </c>
      <c r="F95" s="61">
        <f>基础信息!F100</f>
        <v>102.71853803916484</v>
      </c>
      <c r="G95" s="69">
        <f>基础信息!$G100*基础信息!I100*(1+求节点(门客进修!$C$23:$C$25,门客进修!D$23:D$25,基础信息!N100))</f>
        <v>0</v>
      </c>
      <c r="H95" s="69">
        <f>基础信息!$G100*基础信息!J100*(1+求节点(门客进修!$C$23:$C$25,门客进修!E$23:E$25,基础信息!O100))</f>
        <v>0</v>
      </c>
      <c r="I95" s="69">
        <f>基础信息!$G100*基础信息!K100*(1+求节点(门客进修!$C$23:$C$25,门客进修!F$23:F$25,基础信息!P100))</f>
        <v>0</v>
      </c>
      <c r="J95" s="69">
        <f>基础信息!$G100*基础信息!L100*(1+求节点(门客进修!$C$23:$C$25,门客进修!G$23:G$25,基础信息!Q100))</f>
        <v>0</v>
      </c>
      <c r="K95" s="69">
        <f>基础信息!$G100*基础信息!M100*(1+求节点(门客进修!$C$23:$C$25,门客进修!H$23:H$25,基础信息!R100))</f>
        <v>11</v>
      </c>
      <c r="L95" s="103">
        <f>寻访!AD95+基础投放!N95+基础投放!AL95+付费投放!T95+寻访!AM95</f>
        <v>119.98519070834661</v>
      </c>
      <c r="M95" s="103">
        <f>寻访!AE95+基础投放!O95+基础投放!AM95+付费投放!U95+寻访!AN95</f>
        <v>125.30346141358358</v>
      </c>
      <c r="N95" s="103">
        <f>寻访!AF95+基础投放!P95+基础投放!AN95+付费投放!V95+寻访!AO95</f>
        <v>360.22925130734416</v>
      </c>
      <c r="O95" s="103">
        <f>寻访!AG95+基础投放!Q95+基础投放!AO95+付费投放!W95+寻访!AP95</f>
        <v>220.74443161346508</v>
      </c>
      <c r="P95" s="103">
        <f>寻访!AH95+基础投放!R95+基础投放!AP95+付费投放!X95+寻访!AQ95</f>
        <v>24.287510419831499</v>
      </c>
      <c r="Q95" s="83">
        <f t="shared" si="70"/>
        <v>0</v>
      </c>
      <c r="R95" s="83">
        <f t="shared" si="62"/>
        <v>0</v>
      </c>
      <c r="S95" s="83">
        <f t="shared" si="63"/>
        <v>0</v>
      </c>
      <c r="T95" s="83">
        <f t="shared" si="64"/>
        <v>0</v>
      </c>
      <c r="U95" s="83">
        <f t="shared" si="65"/>
        <v>2.2079554927119545</v>
      </c>
      <c r="V95" s="99">
        <f t="shared" si="71"/>
        <v>119.98519070834661</v>
      </c>
      <c r="W95" s="99">
        <f t="shared" si="66"/>
        <v>125.30346141358358</v>
      </c>
      <c r="X95" s="99">
        <f t="shared" si="67"/>
        <v>360.22925130734416</v>
      </c>
      <c r="Y95" s="99">
        <f t="shared" si="68"/>
        <v>220.74443161346508</v>
      </c>
      <c r="Z95" s="99">
        <f t="shared" si="69"/>
        <v>13.287510419831499</v>
      </c>
      <c r="AB95" s="83">
        <f>寻访!AG95/$O95</f>
        <v>3.2332824972715626E-2</v>
      </c>
      <c r="AC95" s="83">
        <f>基础投放!Q95/$O95</f>
        <v>0</v>
      </c>
      <c r="AD95" s="83">
        <f>基础投放!AO95/$O95</f>
        <v>0</v>
      </c>
      <c r="AE95" s="83">
        <f>付费投放!W95/$O95</f>
        <v>0.96766717502728439</v>
      </c>
      <c r="AF95" s="83">
        <f>IFERROR(寻访!AH95/$P95,0)</f>
        <v>7.0651277884818263E-4</v>
      </c>
      <c r="AG95" s="83">
        <f>IFERROR(基础投放!R95/$P95,0)</f>
        <v>0</v>
      </c>
      <c r="AH95" s="83">
        <f>IFERROR(基础投放!AP95/$P95,0)</f>
        <v>0</v>
      </c>
      <c r="AI95" s="83">
        <f>IFERROR(付费投放!X95/$P95,0)</f>
        <v>0.99929348722115185</v>
      </c>
    </row>
    <row r="96" spans="3:35" x14ac:dyDescent="0.15">
      <c r="C96" s="70">
        <v>12</v>
      </c>
      <c r="D96" s="60">
        <f>基础信息!D101</f>
        <v>62</v>
      </c>
      <c r="E96" s="61">
        <f>基础信息!E101</f>
        <v>686.27045912077301</v>
      </c>
      <c r="F96" s="61">
        <f>基础信息!F101</f>
        <v>113.4549371467006</v>
      </c>
      <c r="G96" s="69">
        <f>基础信息!$G101*基础信息!I101*(1+求节点(门客进修!$C$23:$C$25,门客进修!D$23:D$25,基础信息!N101))</f>
        <v>0</v>
      </c>
      <c r="H96" s="69">
        <f>基础信息!$G101*基础信息!J101*(1+求节点(门客进修!$C$23:$C$25,门客进修!E$23:E$25,基础信息!O101))</f>
        <v>0</v>
      </c>
      <c r="I96" s="69">
        <f>基础信息!$G101*基础信息!K101*(1+求节点(门客进修!$C$23:$C$25,门客进修!F$23:F$25,基础信息!P101))</f>
        <v>0</v>
      </c>
      <c r="J96" s="69">
        <f>基础信息!$G101*基础信息!L101*(1+求节点(门客进修!$C$23:$C$25,门客进修!G$23:G$25,基础信息!Q101))</f>
        <v>0</v>
      </c>
      <c r="K96" s="69">
        <f>基础信息!$G101*基础信息!M101*(1+求节点(门客进修!$C$23:$C$25,门客进修!H$23:H$25,基础信息!R101))</f>
        <v>36</v>
      </c>
      <c r="L96" s="103">
        <f>寻访!AD96+基础投放!N96+基础投放!AL96+付费投放!T96+寻访!AM96</f>
        <v>217.0090841424892</v>
      </c>
      <c r="M96" s="103">
        <f>寻访!AE96+基础投放!O96+基础投放!AM96+付费投放!U96+寻访!AN96</f>
        <v>263.27836979119667</v>
      </c>
      <c r="N96" s="103">
        <f>寻访!AF96+基础投放!P96+基础投放!AN96+付费投放!V96+寻访!AO96</f>
        <v>754.5415573715876</v>
      </c>
      <c r="O96" s="103">
        <f>寻访!AG96+基础投放!Q96+基础投放!AO96+付费投放!W96+寻访!AP96</f>
        <v>443.58254355288074</v>
      </c>
      <c r="P96" s="103">
        <f>寻访!AH96+基础投放!R96+基础投放!AP96+付费投放!X96+寻访!AQ96</f>
        <v>54.358382129232623</v>
      </c>
      <c r="Q96" s="83">
        <f t="shared" si="70"/>
        <v>0</v>
      </c>
      <c r="R96" s="83">
        <f t="shared" si="62"/>
        <v>0</v>
      </c>
      <c r="S96" s="83">
        <f t="shared" si="63"/>
        <v>0</v>
      </c>
      <c r="T96" s="83">
        <f t="shared" si="64"/>
        <v>0</v>
      </c>
      <c r="U96" s="83">
        <f t="shared" si="65"/>
        <v>1.5099550591453506</v>
      </c>
      <c r="V96" s="99">
        <f t="shared" si="71"/>
        <v>217.0090841424892</v>
      </c>
      <c r="W96" s="99">
        <f t="shared" si="66"/>
        <v>263.27836979119667</v>
      </c>
      <c r="X96" s="99">
        <f t="shared" si="67"/>
        <v>754.5415573715876</v>
      </c>
      <c r="Y96" s="99">
        <f t="shared" si="68"/>
        <v>443.58254355288074</v>
      </c>
      <c r="Z96" s="99">
        <f t="shared" si="69"/>
        <v>18.358382129232623</v>
      </c>
      <c r="AB96" s="83">
        <f>寻访!AG96/$O96</f>
        <v>4.5039393505978367E-2</v>
      </c>
      <c r="AC96" s="83">
        <f>基础投放!Q96/$O96</f>
        <v>0</v>
      </c>
      <c r="AD96" s="83">
        <f>基础投放!AO96/$O96</f>
        <v>0</v>
      </c>
      <c r="AE96" s="83">
        <f>付费投放!W96/$O96</f>
        <v>0.95496060649402159</v>
      </c>
      <c r="AF96" s="83">
        <f>IFERROR(寻访!AH96/$P96,0)</f>
        <v>1.6280936099414562E-3</v>
      </c>
      <c r="AG96" s="83">
        <f>IFERROR(基础投放!R96/$P96,0)</f>
        <v>0</v>
      </c>
      <c r="AH96" s="83">
        <f>IFERROR(基础投放!AP96/$P96,0)</f>
        <v>0</v>
      </c>
      <c r="AI96" s="83">
        <f>IFERROR(付费投放!X96/$P96,0)</f>
        <v>0.99837190639005846</v>
      </c>
    </row>
    <row r="97" spans="3:35" x14ac:dyDescent="0.15">
      <c r="C97" s="70">
        <v>13</v>
      </c>
      <c r="D97" s="60">
        <f>基础信息!D102</f>
        <v>67</v>
      </c>
      <c r="E97" s="61">
        <f>基础信息!E102</f>
        <v>1426.7099622668038</v>
      </c>
      <c r="F97" s="61">
        <f>基础信息!F102</f>
        <v>124.11624751239822</v>
      </c>
      <c r="G97" s="69">
        <f>基础信息!$G102*基础信息!I102*(1+求节点(门客进修!$C$23:$C$25,门客进修!D$23:D$25,基础信息!N102))</f>
        <v>0</v>
      </c>
      <c r="H97" s="69">
        <f>基础信息!$G102*基础信息!J102*(1+求节点(门客进修!$C$23:$C$25,门客进修!E$23:E$25,基础信息!O102))</f>
        <v>0</v>
      </c>
      <c r="I97" s="69">
        <f>基础信息!$G102*基础信息!K102*(1+求节点(门客进修!$C$23:$C$25,门客进修!F$23:F$25,基础信息!P102))</f>
        <v>0</v>
      </c>
      <c r="J97" s="69">
        <f>基础信息!$G102*基础信息!L102*(1+求节点(门客进修!$C$23:$C$25,门客进修!G$23:G$25,基础信息!Q102))</f>
        <v>0</v>
      </c>
      <c r="K97" s="69">
        <f>基础信息!$G102*基础信息!M102*(1+求节点(门客进修!$C$23:$C$25,门客进修!H$23:H$25,基础信息!R102))</f>
        <v>91</v>
      </c>
      <c r="L97" s="103">
        <f>寻访!AD97+基础投放!N97+基础投放!AL97+付费投放!T97+寻访!AM97</f>
        <v>415.44687098562548</v>
      </c>
      <c r="M97" s="103">
        <f>寻访!AE97+基础投放!O97+基础投放!AM97+付费投放!U97+寻访!AN97</f>
        <v>545.38582048983449</v>
      </c>
      <c r="N97" s="103">
        <f>寻访!AF97+基础投放!P97+基础投放!AN97+付费投放!V97+寻访!AO97</f>
        <v>1574.2345979034208</v>
      </c>
      <c r="O97" s="103">
        <f>寻访!AG97+基础投放!Q97+基础投放!AO97+付费投放!W97+寻访!AP97</f>
        <v>906.01723069879631</v>
      </c>
      <c r="P97" s="103">
        <f>寻访!AH97+基础投放!R97+基础投放!AP97+付费投放!X97+寻访!AQ97</f>
        <v>116.51730634063648</v>
      </c>
      <c r="Q97" s="83">
        <f t="shared" si="70"/>
        <v>0</v>
      </c>
      <c r="R97" s="83">
        <f t="shared" si="62"/>
        <v>0</v>
      </c>
      <c r="S97" s="83">
        <f t="shared" si="63"/>
        <v>0</v>
      </c>
      <c r="T97" s="83">
        <f t="shared" si="64"/>
        <v>0</v>
      </c>
      <c r="U97" s="83">
        <f t="shared" si="65"/>
        <v>1.2804099597872141</v>
      </c>
      <c r="V97" s="99">
        <f t="shared" si="71"/>
        <v>415.44687098562548</v>
      </c>
      <c r="W97" s="99">
        <f t="shared" si="66"/>
        <v>545.38582048983449</v>
      </c>
      <c r="X97" s="99">
        <f t="shared" si="67"/>
        <v>1574.2345979034208</v>
      </c>
      <c r="Y97" s="99">
        <f t="shared" si="68"/>
        <v>906.01723069879631</v>
      </c>
      <c r="Z97" s="99">
        <f t="shared" si="69"/>
        <v>25.51730634063648</v>
      </c>
      <c r="AB97" s="83">
        <f>寻访!AG97/$O97</f>
        <v>5.3923730916766881E-2</v>
      </c>
      <c r="AC97" s="83">
        <f>基础投放!Q97/$O97</f>
        <v>0</v>
      </c>
      <c r="AD97" s="83">
        <f>基础投放!AO97/$O97</f>
        <v>0</v>
      </c>
      <c r="AE97" s="83">
        <f>付费投放!W97/$O97</f>
        <v>0.94607626908323317</v>
      </c>
      <c r="AF97" s="83">
        <f>IFERROR(寻访!AH97/$P97,0)</f>
        <v>2.6659763711584603E-3</v>
      </c>
      <c r="AG97" s="83">
        <f>IFERROR(基础投放!R97/$P97,0)</f>
        <v>0</v>
      </c>
      <c r="AH97" s="83">
        <f>IFERROR(基础投放!AP97/$P97,0)</f>
        <v>0</v>
      </c>
      <c r="AI97" s="83">
        <f>IFERROR(付费投放!X97/$P97,0)</f>
        <v>0.99733402362884149</v>
      </c>
    </row>
    <row r="98" spans="3:35" x14ac:dyDescent="0.15">
      <c r="C98" s="70">
        <v>14</v>
      </c>
      <c r="D98" s="60">
        <f>基础信息!D103</f>
        <v>72</v>
      </c>
      <c r="E98" s="61">
        <f>基础信息!E103</f>
        <v>2961.6410125841235</v>
      </c>
      <c r="F98" s="61">
        <f>基础信息!F103</f>
        <v>134.91256595481366</v>
      </c>
      <c r="G98" s="69">
        <f>基础信息!$G103*基础信息!I103*(1+求节点(门客进修!$C$23:$C$25,门客进修!D$23:D$25,基础信息!N103))</f>
        <v>0</v>
      </c>
      <c r="H98" s="69">
        <f>基础信息!$G103*基础信息!J103*(1+求节点(门客进修!$C$23:$C$25,门客进修!E$23:E$25,基础信息!O103))</f>
        <v>0</v>
      </c>
      <c r="I98" s="69">
        <f>基础信息!$G103*基础信息!K103*(1+求节点(门客进修!$C$23:$C$25,门客进修!F$23:F$25,基础信息!P103))</f>
        <v>0</v>
      </c>
      <c r="J98" s="69">
        <f>基础信息!$G103*基础信息!L103*(1+求节点(门客进修!$C$23:$C$25,门客进修!G$23:G$25,基础信息!Q103))</f>
        <v>0</v>
      </c>
      <c r="K98" s="69">
        <f>基础信息!$G103*基础信息!M103*(1+求节点(门客进修!$C$23:$C$25,门客进修!H$23:H$25,基础信息!R103))</f>
        <v>98</v>
      </c>
      <c r="L98" s="103">
        <f>寻访!AD98+基础投放!N98+基础投放!AL98+付费投放!T98+寻访!AM98</f>
        <v>820.66866826939781</v>
      </c>
      <c r="M98" s="103">
        <f>寻访!AE98+基础投放!O98+基础投放!AM98+付费投放!U98+寻访!AN98</f>
        <v>1125.5897575097813</v>
      </c>
      <c r="N98" s="103">
        <f>寻访!AF98+基础投放!P98+基础投放!AN98+付费投放!V98+寻访!AO98</f>
        <v>3274.9222894446257</v>
      </c>
      <c r="O98" s="103">
        <f>寻访!AG98+基础投放!Q98+基础投放!AO98+付费投放!W98+寻访!AP98</f>
        <v>1865.7999368292619</v>
      </c>
      <c r="P98" s="103">
        <f>寻访!AH98+基础投放!R98+基础投放!AP98+付费投放!X98+寻访!AQ98</f>
        <v>245.03350762035458</v>
      </c>
      <c r="Q98" s="83">
        <f t="shared" si="70"/>
        <v>0</v>
      </c>
      <c r="R98" s="83">
        <f t="shared" si="62"/>
        <v>0</v>
      </c>
      <c r="S98" s="83">
        <f t="shared" si="63"/>
        <v>0</v>
      </c>
      <c r="T98" s="83">
        <f t="shared" si="64"/>
        <v>0</v>
      </c>
      <c r="U98" s="83">
        <f t="shared" si="65"/>
        <v>2.500341914493414</v>
      </c>
      <c r="V98" s="99">
        <f t="shared" si="71"/>
        <v>820.66866826939781</v>
      </c>
      <c r="W98" s="99">
        <f t="shared" si="66"/>
        <v>1125.5897575097813</v>
      </c>
      <c r="X98" s="99">
        <f t="shared" si="67"/>
        <v>3274.9222894446257</v>
      </c>
      <c r="Y98" s="99">
        <f t="shared" si="68"/>
        <v>1865.7999368292619</v>
      </c>
      <c r="Z98" s="99">
        <f t="shared" si="69"/>
        <v>147.03350762035458</v>
      </c>
      <c r="AB98" s="83">
        <f>寻访!AG98/$O98</f>
        <v>6.0736915695293936E-2</v>
      </c>
      <c r="AC98" s="83">
        <f>基础投放!Q98/$O98</f>
        <v>0</v>
      </c>
      <c r="AD98" s="83">
        <f>基础投放!AO98/$O98</f>
        <v>0</v>
      </c>
      <c r="AE98" s="83">
        <f>付费投放!W98/$O98</f>
        <v>0.93926308430470606</v>
      </c>
      <c r="AF98" s="83">
        <f>IFERROR(寻访!AH98/$P98,0)</f>
        <v>3.7733810964933148E-3</v>
      </c>
      <c r="AG98" s="83">
        <f>IFERROR(基础投放!R98/$P98,0)</f>
        <v>0</v>
      </c>
      <c r="AH98" s="83">
        <f>IFERROR(基础投放!AP98/$P98,0)</f>
        <v>0</v>
      </c>
      <c r="AI98" s="83">
        <f>IFERROR(付费投放!X98/$P98,0)</f>
        <v>0.99622661890350672</v>
      </c>
    </row>
    <row r="99" spans="3:35" x14ac:dyDescent="0.15">
      <c r="C99" s="70">
        <v>15</v>
      </c>
      <c r="D99" s="60">
        <f>基础信息!D104</f>
        <v>77</v>
      </c>
      <c r="E99" s="61">
        <f>基础信息!E104</f>
        <v>6139.6022012692774</v>
      </c>
      <c r="F99" s="61">
        <f>基础信息!F104</f>
        <v>145.53468456757108</v>
      </c>
      <c r="G99" s="69">
        <f>基础信息!$G104*基础信息!I104*(1+求节点(门客进修!$C$23:$C$25,门客进修!D$23:D$25,基础信息!N104))</f>
        <v>0</v>
      </c>
      <c r="H99" s="69">
        <f>基础信息!$G104*基础信息!J104*(1+求节点(门客进修!$C$23:$C$25,门客进修!E$23:E$25,基础信息!O104))</f>
        <v>0</v>
      </c>
      <c r="I99" s="69">
        <f>基础信息!$G104*基础信息!K104*(1+求节点(门客进修!$C$23:$C$25,门客进修!F$23:F$25,基础信息!P104))</f>
        <v>0</v>
      </c>
      <c r="J99" s="69">
        <f>基础信息!$G104*基础信息!L104*(1+求节点(门客进修!$C$23:$C$25,门客进修!G$23:G$25,基础信息!Q104))</f>
        <v>0</v>
      </c>
      <c r="K99" s="69">
        <f>基础信息!$G104*基础信息!M104*(1+求节点(门客进修!$C$23:$C$25,门客进修!H$23:H$25,基础信息!R104))</f>
        <v>105</v>
      </c>
      <c r="L99" s="103">
        <f>寻访!AD99+基础投放!N99+基础投放!AL99+付费投放!T99+寻访!AM99</f>
        <v>1646.9385773275378</v>
      </c>
      <c r="M99" s="103">
        <f>寻访!AE99+基础投放!O99+基础投放!AM99+付费投放!U99+寻访!AN99</f>
        <v>2317.3252032667142</v>
      </c>
      <c r="N99" s="103">
        <f>寻访!AF99+基础投放!P99+基础投放!AN99+付费投放!V99+寻访!AO99</f>
        <v>6802.2647393179641</v>
      </c>
      <c r="O99" s="103">
        <f>寻访!AG99+基础投放!Q99+基础投放!AO99+付费投放!W99+寻访!AP99</f>
        <v>3857.3636859670423</v>
      </c>
      <c r="P99" s="103">
        <f>寻访!AH99+基础投放!R99+基础投放!AP99+付费投放!X99+寻访!AQ99</f>
        <v>510.7018447356898</v>
      </c>
      <c r="Q99" s="83">
        <f t="shared" si="70"/>
        <v>0</v>
      </c>
      <c r="R99" s="83">
        <f t="shared" si="62"/>
        <v>0</v>
      </c>
      <c r="S99" s="83">
        <f t="shared" si="63"/>
        <v>0</v>
      </c>
      <c r="T99" s="83">
        <f t="shared" si="64"/>
        <v>0</v>
      </c>
      <c r="U99" s="83">
        <f t="shared" si="65"/>
        <v>4.8638270927208556</v>
      </c>
      <c r="V99" s="99">
        <f t="shared" si="71"/>
        <v>1646.9385773275378</v>
      </c>
      <c r="W99" s="99">
        <f t="shared" si="66"/>
        <v>2317.3252032667142</v>
      </c>
      <c r="X99" s="99">
        <f t="shared" si="67"/>
        <v>6802.2647393179641</v>
      </c>
      <c r="Y99" s="99">
        <f t="shared" si="68"/>
        <v>3857.3636859670423</v>
      </c>
      <c r="Z99" s="99">
        <f t="shared" si="69"/>
        <v>405.7018447356898</v>
      </c>
      <c r="AB99" s="83">
        <f>寻访!AG99/$O99</f>
        <v>6.6452429126877433E-2</v>
      </c>
      <c r="AC99" s="83">
        <f>基础投放!Q99/$O99</f>
        <v>0</v>
      </c>
      <c r="AD99" s="83">
        <f>基础投放!AO99/$O99</f>
        <v>0</v>
      </c>
      <c r="AE99" s="83">
        <f>付费投放!W99/$O99</f>
        <v>0.93354757087312246</v>
      </c>
      <c r="AF99" s="83">
        <f>IFERROR(寻访!AH99/$P99,0)</f>
        <v>4.9218255737955331E-3</v>
      </c>
      <c r="AG99" s="83">
        <f>IFERROR(基础投放!R99/$P99,0)</f>
        <v>0</v>
      </c>
      <c r="AH99" s="83">
        <f>IFERROR(基础投放!AP99/$P99,0)</f>
        <v>0</v>
      </c>
      <c r="AI99" s="83">
        <f>IFERROR(付费投放!X99/$P99,0)</f>
        <v>0.9950781744262045</v>
      </c>
    </row>
    <row r="100" spans="3:35" x14ac:dyDescent="0.15">
      <c r="C100" s="70">
        <v>16</v>
      </c>
      <c r="D100" s="60">
        <f>基础信息!D105</f>
        <v>80</v>
      </c>
      <c r="E100" s="61">
        <f>基础信息!E105</f>
        <v>9502.5750000000007</v>
      </c>
      <c r="F100" s="61">
        <f>基础信息!F105</f>
        <v>151.0810487166913</v>
      </c>
      <c r="G100" s="69">
        <f>基础信息!$G105*基础信息!I105*(1+求节点(门客进修!$C$23:$C$25,门客进修!D$23:D$25,基础信息!N105))</f>
        <v>0</v>
      </c>
      <c r="H100" s="69">
        <f>基础信息!$G105*基础信息!J105*(1+求节点(门客进修!$C$23:$C$25,门客进修!E$23:E$25,基础信息!O105))</f>
        <v>0</v>
      </c>
      <c r="I100" s="69">
        <f>基础信息!$G105*基础信息!K105*(1+求节点(门客进修!$C$23:$C$25,门客进修!F$23:F$25,基础信息!P105))</f>
        <v>0</v>
      </c>
      <c r="J100" s="69">
        <f>基础信息!$G105*基础信息!L105*(1+求节点(门客进修!$C$23:$C$25,门客进修!G$23:G$25,基础信息!Q105))</f>
        <v>0</v>
      </c>
      <c r="K100" s="69">
        <f>基础信息!$G105*基础信息!M105*(1+求节点(门客进修!$C$23:$C$25,门客进修!H$23:H$25,基础信息!R105))</f>
        <v>112</v>
      </c>
      <c r="L100" s="103">
        <f>寻访!AD100+基础投放!N100+基础投放!AL100+付费投放!T100+寻访!AM100</f>
        <v>2521.3115049975258</v>
      </c>
      <c r="M100" s="103">
        <f>寻访!AE100+基础投放!O100+基础投放!AM100+付费投放!U100+寻访!AN100</f>
        <v>3578.4400027907354</v>
      </c>
      <c r="N100" s="103">
        <f>寻访!AF100+基础投放!P100+基础投放!AN100+付费投放!V100+寻访!AO100</f>
        <v>10531.266476385063</v>
      </c>
      <c r="O100" s="103">
        <f>寻访!AG100+基础投放!Q100+基础投放!AO100+付费投放!W100+寻访!AP100</f>
        <v>5961.2363930693637</v>
      </c>
      <c r="P100" s="103">
        <f>寻访!AH100+基础投放!R100+基础投放!AP100+付费投放!X100+寻访!AQ100</f>
        <v>791.31746415783221</v>
      </c>
      <c r="Q100" s="83">
        <f t="shared" si="70"/>
        <v>0</v>
      </c>
      <c r="R100" s="83">
        <f t="shared" si="62"/>
        <v>0</v>
      </c>
      <c r="S100" s="83">
        <f t="shared" si="63"/>
        <v>0</v>
      </c>
      <c r="T100" s="83">
        <f t="shared" si="64"/>
        <v>0</v>
      </c>
      <c r="U100" s="83">
        <f t="shared" si="65"/>
        <v>7.0653345014092164</v>
      </c>
      <c r="V100" s="105">
        <f t="shared" ref="V100" si="72">MAX(L100-G100,0)</f>
        <v>2521.3115049975258</v>
      </c>
      <c r="W100" s="105">
        <f t="shared" ref="W100" si="73">MAX(M100-H100,0)</f>
        <v>3578.4400027907354</v>
      </c>
      <c r="X100" s="105">
        <f t="shared" ref="X100" si="74">MAX(N100-I100,0)</f>
        <v>10531.266476385063</v>
      </c>
      <c r="Y100" s="105">
        <f t="shared" ref="Y100" si="75">MAX(O100-J100,0)</f>
        <v>5961.2363930693637</v>
      </c>
      <c r="Z100" s="105">
        <f t="shared" ref="Z100" si="76">MAX(P100-K100,0)</f>
        <v>679.31746415783221</v>
      </c>
      <c r="AB100" s="83">
        <f>寻访!AG100/$O100</f>
        <v>6.8385974992563034E-2</v>
      </c>
      <c r="AC100" s="83">
        <f>基础投放!Q100/$O100</f>
        <v>0</v>
      </c>
      <c r="AD100" s="83">
        <f>基础投放!AO100/$O100</f>
        <v>0</v>
      </c>
      <c r="AE100" s="83">
        <f>付费投放!W100/$O100</f>
        <v>0.93161402500743695</v>
      </c>
      <c r="AF100" s="83">
        <f>IFERROR(寻访!AH100/$P100,0)</f>
        <v>5.3013764884295633E-3</v>
      </c>
      <c r="AG100" s="83">
        <f>IFERROR(基础投放!R100/$P100,0)</f>
        <v>0</v>
      </c>
      <c r="AH100" s="83">
        <f>IFERROR(基础投放!AP100/$P100,0)</f>
        <v>0</v>
      </c>
      <c r="AI100" s="83">
        <f>IFERROR(付费投放!X100/$P100,0)</f>
        <v>0.99469862351157046</v>
      </c>
    </row>
  </sheetData>
  <mergeCells count="30">
    <mergeCell ref="AB63:AE63"/>
    <mergeCell ref="AF63:AI63"/>
    <mergeCell ref="AB83:AE83"/>
    <mergeCell ref="AF83:AI83"/>
    <mergeCell ref="AB3:AE3"/>
    <mergeCell ref="AF3:AI3"/>
    <mergeCell ref="AB23:AE23"/>
    <mergeCell ref="AF23:AI23"/>
    <mergeCell ref="AB43:AE43"/>
    <mergeCell ref="AF43:AI43"/>
    <mergeCell ref="Q3:U3"/>
    <mergeCell ref="Q23:U23"/>
    <mergeCell ref="Q43:U43"/>
    <mergeCell ref="Q63:U63"/>
    <mergeCell ref="Q83:U83"/>
    <mergeCell ref="L3:P3"/>
    <mergeCell ref="L23:P23"/>
    <mergeCell ref="L43:P43"/>
    <mergeCell ref="L63:P63"/>
    <mergeCell ref="L83:P83"/>
    <mergeCell ref="G3:K3"/>
    <mergeCell ref="G23:K23"/>
    <mergeCell ref="G43:K43"/>
    <mergeCell ref="G63:K63"/>
    <mergeCell ref="G83:K83"/>
    <mergeCell ref="V3:Z3"/>
    <mergeCell ref="V23:Z23"/>
    <mergeCell ref="V43:Z43"/>
    <mergeCell ref="V63:Z63"/>
    <mergeCell ref="V83:Z83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Y160"/>
  <sheetViews>
    <sheetView topLeftCell="F1" workbookViewId="0">
      <selection activeCell="X1" sqref="X1:X1048576"/>
    </sheetView>
  </sheetViews>
  <sheetFormatPr defaultColWidth="6.625" defaultRowHeight="11.25" customHeight="1" x14ac:dyDescent="0.15"/>
  <cols>
    <col min="1" max="1" width="6.625" style="10"/>
    <col min="2" max="2" width="10.5" style="10" bestFit="1" customWidth="1"/>
    <col min="3" max="3" width="17.25" style="10" bestFit="1" customWidth="1"/>
    <col min="4" max="4" width="9" style="10" bestFit="1" customWidth="1"/>
    <col min="5" max="5" width="18.875" style="10" bestFit="1" customWidth="1"/>
    <col min="6" max="7" width="6.625" style="10"/>
    <col min="8" max="8" width="9.75" style="10" bestFit="1" customWidth="1"/>
    <col min="9" max="9" width="9.75" style="86" customWidth="1"/>
    <col min="10" max="10" width="63.75" style="92" bestFit="1" customWidth="1"/>
    <col min="11" max="20" width="5.125" style="31" customWidth="1"/>
    <col min="21" max="21" width="9" style="10" bestFit="1" customWidth="1"/>
    <col min="22" max="16384" width="6.625" style="10"/>
  </cols>
  <sheetData>
    <row r="1" spans="1:22" ht="11.25" customHeight="1" x14ac:dyDescent="0.15">
      <c r="P1" s="121" t="s">
        <v>109</v>
      </c>
      <c r="Q1" s="121"/>
      <c r="R1" s="121"/>
      <c r="S1" s="121"/>
      <c r="T1" s="121"/>
    </row>
    <row r="2" spans="1:22" ht="11.25" customHeight="1" x14ac:dyDescent="0.15">
      <c r="P2" s="31">
        <v>10</v>
      </c>
      <c r="Q2" s="31">
        <v>12</v>
      </c>
      <c r="R2" s="31">
        <v>15</v>
      </c>
      <c r="S2" s="31">
        <v>20</v>
      </c>
      <c r="T2" s="31">
        <v>25</v>
      </c>
    </row>
    <row r="3" spans="1:22" ht="11.25" customHeight="1" x14ac:dyDescent="0.15">
      <c r="K3" s="129" t="s">
        <v>111</v>
      </c>
      <c r="L3" s="129"/>
      <c r="M3" s="129"/>
      <c r="N3" s="129"/>
      <c r="O3" s="129"/>
      <c r="P3" s="129" t="s">
        <v>110</v>
      </c>
      <c r="Q3" s="129"/>
      <c r="R3" s="129"/>
      <c r="S3" s="129"/>
      <c r="T3" s="129"/>
    </row>
    <row r="4" spans="1:22" ht="11.25" customHeight="1" x14ac:dyDescent="0.15">
      <c r="K4" s="30" t="s">
        <v>104</v>
      </c>
      <c r="L4" s="30" t="s">
        <v>105</v>
      </c>
      <c r="M4" s="30" t="s">
        <v>106</v>
      </c>
      <c r="N4" s="30" t="s">
        <v>107</v>
      </c>
      <c r="O4" s="30" t="s">
        <v>108</v>
      </c>
      <c r="P4" s="30" t="s">
        <v>104</v>
      </c>
      <c r="Q4" s="30" t="s">
        <v>105</v>
      </c>
      <c r="R4" s="30" t="s">
        <v>106</v>
      </c>
      <c r="S4" s="30" t="s">
        <v>107</v>
      </c>
      <c r="T4" s="30" t="s">
        <v>108</v>
      </c>
    </row>
    <row r="5" spans="1:22" ht="11.25" customHeight="1" x14ac:dyDescent="0.15">
      <c r="B5" s="16" t="s">
        <v>38</v>
      </c>
      <c r="C5" s="16" t="s">
        <v>96</v>
      </c>
      <c r="D5" s="16" t="s">
        <v>54</v>
      </c>
      <c r="E5" s="10" t="s">
        <v>97</v>
      </c>
      <c r="H5" s="14" t="s">
        <v>46</v>
      </c>
      <c r="I5" s="14" t="s">
        <v>218</v>
      </c>
      <c r="J5" s="93" t="s">
        <v>47</v>
      </c>
      <c r="K5" s="14"/>
      <c r="L5" s="14"/>
      <c r="M5" s="14"/>
      <c r="N5" s="14"/>
      <c r="O5" s="14"/>
      <c r="P5" s="14"/>
      <c r="Q5" s="14"/>
      <c r="R5" s="14"/>
      <c r="S5" s="14"/>
      <c r="T5" s="14"/>
      <c r="U5" s="14" t="s">
        <v>94</v>
      </c>
      <c r="V5" s="14" t="s">
        <v>98</v>
      </c>
    </row>
    <row r="6" spans="1:22" ht="11.25" customHeight="1" x14ac:dyDescent="0.15">
      <c r="B6" s="10">
        <v>1</v>
      </c>
      <c r="C6" s="10" t="s">
        <v>95</v>
      </c>
      <c r="D6" s="10">
        <v>20</v>
      </c>
      <c r="E6" s="10">
        <f>ROUND(24*3600/D6,0)</f>
        <v>4320</v>
      </c>
      <c r="H6" s="13" t="s">
        <v>48</v>
      </c>
      <c r="I6" s="13" t="s">
        <v>219</v>
      </c>
      <c r="J6" s="94" t="s">
        <v>227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ht="11.25" customHeight="1" x14ac:dyDescent="0.15">
      <c r="B7" s="10">
        <v>2</v>
      </c>
      <c r="C7" s="10" t="s">
        <v>95</v>
      </c>
      <c r="D7" s="28">
        <v>30</v>
      </c>
      <c r="E7" s="47">
        <f t="shared" ref="E7:E15" si="0">ROUND(24*3600/D7,0)</f>
        <v>2880</v>
      </c>
      <c r="G7" s="28"/>
      <c r="H7" s="13" t="s">
        <v>49</v>
      </c>
      <c r="I7" s="13" t="s">
        <v>220</v>
      </c>
      <c r="J7" s="94" t="s">
        <v>228</v>
      </c>
      <c r="K7" s="34">
        <v>0.08</v>
      </c>
      <c r="L7" s="34">
        <v>0.1</v>
      </c>
      <c r="M7" s="34">
        <v>0.12</v>
      </c>
      <c r="N7" s="34">
        <v>0.15</v>
      </c>
      <c r="O7" s="34">
        <v>0.18</v>
      </c>
      <c r="P7" s="33">
        <f>P2*$U7/[5]效果!$E$50*5/30/10%*[1]节奏总纲!$R$83</f>
        <v>3.7827968618990127E-2</v>
      </c>
      <c r="Q7" s="33">
        <f>Q2*$U7/[5]效果!$E$50*5/30/10%*[1]节奏总纲!$R$83</f>
        <v>4.5393562342788164E-2</v>
      </c>
      <c r="R7" s="33">
        <f>R2*$U7/[5]效果!$E$50*5/30/10%*[1]节奏总纲!$R$83</f>
        <v>5.6741952928485204E-2</v>
      </c>
      <c r="S7" s="33">
        <f>S2*$U7/[5]效果!$E$50*5/30/10%*[1]节奏总纲!$R$83</f>
        <v>7.5655937237980253E-2</v>
      </c>
      <c r="T7" s="33">
        <f>T2*$U7/[5]效果!$E$50*5/30/10%*[1]节奏总纲!$R$83</f>
        <v>9.456992154747533E-2</v>
      </c>
      <c r="U7" s="13">
        <v>10</v>
      </c>
      <c r="V7" s="13">
        <f>4*3600</f>
        <v>14400</v>
      </c>
    </row>
    <row r="8" spans="1:22" ht="11.25" customHeight="1" x14ac:dyDescent="0.15">
      <c r="A8" s="28"/>
      <c r="B8" s="10">
        <v>3</v>
      </c>
      <c r="C8" s="10" t="s">
        <v>95</v>
      </c>
      <c r="D8" s="28">
        <v>40</v>
      </c>
      <c r="E8" s="47">
        <f t="shared" si="0"/>
        <v>2160</v>
      </c>
      <c r="F8" s="28"/>
      <c r="G8" s="28"/>
      <c r="H8" s="13" t="s">
        <v>50</v>
      </c>
      <c r="I8" s="13" t="s">
        <v>221</v>
      </c>
      <c r="J8" s="94" t="s">
        <v>229</v>
      </c>
      <c r="K8" s="13">
        <v>40000</v>
      </c>
      <c r="L8" s="13">
        <v>80000</v>
      </c>
      <c r="M8" s="13">
        <v>150000</v>
      </c>
      <c r="N8" s="13">
        <v>300000</v>
      </c>
      <c r="O8" s="13">
        <v>600000</v>
      </c>
      <c r="P8" s="13">
        <f>INDEX([6]国家城池攻打!$AG$4:$AG$103,20,1)*P2*$U8/[5]效果!$E$56*2</f>
        <v>20309.240610119818</v>
      </c>
      <c r="Q8" s="13">
        <f>INDEX([6]国家城池攻打!$AG$4:$AG$103,30,1)*Q2*$U8/[5]效果!$E$56*2</f>
        <v>42003.252176497008</v>
      </c>
      <c r="R8" s="13">
        <f>INDEX([6]国家城池攻打!$AG$4:$AG$103,40,1)*R2*$U8/[5]效果!$E$56*2</f>
        <v>85536.92040365361</v>
      </c>
      <c r="S8" s="13">
        <f>INDEX([6]国家城池攻打!$AG$4:$AG$103,50,1)*S2*$U8/[5]效果!$E$56*2</f>
        <v>165693.98797214133</v>
      </c>
      <c r="T8" s="13">
        <f>INDEX([6]国家城池攻打!$AG$4:$AG$103,60,1)*T2*$U8/[5]效果!$E$56*2</f>
        <v>314739.36076322442</v>
      </c>
      <c r="U8" s="13">
        <v>20</v>
      </c>
      <c r="V8" s="13">
        <f>4*3600</f>
        <v>14400</v>
      </c>
    </row>
    <row r="9" spans="1:22" ht="11.25" customHeight="1" x14ac:dyDescent="0.15">
      <c r="A9" s="28"/>
      <c r="B9" s="10">
        <v>4</v>
      </c>
      <c r="C9" s="10" t="s">
        <v>92</v>
      </c>
      <c r="D9" s="28">
        <v>48</v>
      </c>
      <c r="E9" s="47">
        <f t="shared" si="0"/>
        <v>1800</v>
      </c>
      <c r="F9" s="28"/>
      <c r="G9" s="28"/>
      <c r="H9" s="13"/>
      <c r="I9" s="13"/>
      <c r="J9" s="94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11.25" customHeight="1" x14ac:dyDescent="0.15">
      <c r="A10" s="28"/>
      <c r="B10" s="10">
        <v>5</v>
      </c>
      <c r="C10" s="10" t="s">
        <v>92</v>
      </c>
      <c r="D10" s="28">
        <v>54</v>
      </c>
      <c r="E10" s="47">
        <f t="shared" si="0"/>
        <v>1600</v>
      </c>
      <c r="F10" s="28"/>
      <c r="G10" s="28"/>
      <c r="H10" s="13" t="s">
        <v>51</v>
      </c>
      <c r="I10" s="13" t="s">
        <v>222</v>
      </c>
      <c r="J10" s="94" t="s">
        <v>230</v>
      </c>
      <c r="K10" s="13">
        <v>5000</v>
      </c>
      <c r="L10" s="13">
        <v>6500</v>
      </c>
      <c r="M10" s="13">
        <v>8000</v>
      </c>
      <c r="N10" s="13">
        <v>12000</v>
      </c>
      <c r="O10" s="13">
        <v>15000</v>
      </c>
      <c r="P10" s="13">
        <f>P$2/('[1]功能-战损相关'!$GN$50/$U10)</f>
        <v>7444.2823698884749</v>
      </c>
      <c r="Q10" s="13">
        <f>Q$2/('[1]功能-战损相关'!$GN$50/$U10)</f>
        <v>8933.1388438661706</v>
      </c>
      <c r="R10" s="13">
        <f>R$2/('[1]功能-战损相关'!$GN$50/$U10)</f>
        <v>11166.423554832712</v>
      </c>
      <c r="S10" s="13">
        <f>S$2/('[1]功能-战损相关'!$GN$50/$U10)</f>
        <v>14888.56473977695</v>
      </c>
      <c r="T10" s="13">
        <f>T$2/('[1]功能-战损相关'!$GN$50/$U10)</f>
        <v>18610.705924721187</v>
      </c>
      <c r="U10" s="13">
        <v>10</v>
      </c>
      <c r="V10" s="13">
        <f>8*3600</f>
        <v>28800</v>
      </c>
    </row>
    <row r="11" spans="1:22" ht="11.25" customHeight="1" x14ac:dyDescent="0.15">
      <c r="A11" s="28"/>
      <c r="B11" s="10">
        <v>6</v>
      </c>
      <c r="C11" s="10" t="s">
        <v>92</v>
      </c>
      <c r="D11" s="28">
        <v>64</v>
      </c>
      <c r="E11" s="47">
        <f t="shared" si="0"/>
        <v>1350</v>
      </c>
      <c r="F11" s="28"/>
      <c r="G11" s="28"/>
      <c r="H11" s="13" t="s">
        <v>52</v>
      </c>
      <c r="I11" s="13" t="s">
        <v>223</v>
      </c>
      <c r="J11" s="94" t="s">
        <v>231</v>
      </c>
      <c r="K11" s="13">
        <v>8</v>
      </c>
      <c r="L11" s="13">
        <v>10</v>
      </c>
      <c r="M11" s="13">
        <v>12</v>
      </c>
      <c r="N11" s="13">
        <v>15</v>
      </c>
      <c r="O11" s="13">
        <v>20</v>
      </c>
      <c r="P11" s="13">
        <f>30/3</f>
        <v>10</v>
      </c>
      <c r="Q11" s="13"/>
      <c r="R11" s="13"/>
      <c r="S11" s="13"/>
      <c r="T11" s="13"/>
      <c r="U11" s="13">
        <v>10</v>
      </c>
      <c r="V11" s="13">
        <f>48*3600</f>
        <v>172800</v>
      </c>
    </row>
    <row r="12" spans="1:22" ht="11.25" customHeight="1" x14ac:dyDescent="0.15">
      <c r="A12" s="28"/>
      <c r="B12" s="10">
        <v>7</v>
      </c>
      <c r="C12" s="10" t="s">
        <v>93</v>
      </c>
      <c r="D12" s="28">
        <v>72</v>
      </c>
      <c r="E12" s="47">
        <f t="shared" si="0"/>
        <v>1200</v>
      </c>
      <c r="F12" s="28"/>
      <c r="G12" s="28"/>
      <c r="H12" s="13" t="s">
        <v>53</v>
      </c>
      <c r="I12" s="13" t="s">
        <v>224</v>
      </c>
      <c r="J12" s="94" t="s">
        <v>232</v>
      </c>
      <c r="K12" s="13">
        <v>20</v>
      </c>
      <c r="L12" s="13">
        <v>30</v>
      </c>
      <c r="M12" s="13">
        <v>40</v>
      </c>
      <c r="N12" s="13">
        <v>60</v>
      </c>
      <c r="O12" s="13">
        <v>80</v>
      </c>
      <c r="P12" s="13"/>
      <c r="Q12" s="13"/>
      <c r="R12" s="13"/>
      <c r="S12" s="13"/>
      <c r="T12" s="13"/>
      <c r="U12" s="27">
        <v>20</v>
      </c>
      <c r="V12" s="27">
        <f>60*5</f>
        <v>300</v>
      </c>
    </row>
    <row r="13" spans="1:22" ht="11.25" customHeight="1" x14ac:dyDescent="0.15">
      <c r="A13" s="28"/>
      <c r="B13" s="10">
        <v>8</v>
      </c>
      <c r="C13" s="10" t="s">
        <v>93</v>
      </c>
      <c r="D13" s="28">
        <v>80</v>
      </c>
      <c r="E13" s="47">
        <f t="shared" si="0"/>
        <v>1080</v>
      </c>
      <c r="F13" s="28"/>
      <c r="G13" s="28"/>
      <c r="H13" s="13"/>
      <c r="I13" s="13"/>
      <c r="J13" s="94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11.25" customHeight="1" x14ac:dyDescent="0.15">
      <c r="A14" s="28"/>
      <c r="B14" s="10">
        <v>9</v>
      </c>
      <c r="C14" s="10" t="s">
        <v>93</v>
      </c>
      <c r="D14" s="28">
        <v>90</v>
      </c>
      <c r="E14" s="47">
        <f t="shared" si="0"/>
        <v>960</v>
      </c>
      <c r="F14" s="28"/>
      <c r="G14" s="28"/>
      <c r="H14" s="13" t="s">
        <v>216</v>
      </c>
      <c r="I14" s="13" t="s">
        <v>225</v>
      </c>
      <c r="J14" s="94" t="s">
        <v>233</v>
      </c>
      <c r="K14" s="34">
        <v>0.2</v>
      </c>
      <c r="L14" s="34">
        <v>0.25</v>
      </c>
      <c r="M14" s="34">
        <v>0.3</v>
      </c>
      <c r="N14" s="34">
        <v>0.4</v>
      </c>
      <c r="O14" s="34">
        <v>0.5</v>
      </c>
      <c r="P14" s="33">
        <f>P$2*$U14/[5]效果!$E$41/300*$V14</f>
        <v>0.1137167348829633</v>
      </c>
      <c r="Q14" s="33">
        <f>Q$2*$U14/[5]效果!$E$41/300*$V14</f>
        <v>0.13646008185955597</v>
      </c>
      <c r="R14" s="33">
        <f>R$2*$U14/[5]效果!$E$41/300*$V14</f>
        <v>0.17057510232444492</v>
      </c>
      <c r="S14" s="33">
        <f>S$2*$U14/[5]效果!$E$41/300*$V14</f>
        <v>0.2274334697659266</v>
      </c>
      <c r="T14" s="33">
        <f>T$2*$U14/[5]效果!$E$41/300*$V14</f>
        <v>0.28429183720740825</v>
      </c>
      <c r="U14" s="13">
        <v>20</v>
      </c>
      <c r="V14" s="13">
        <f>4*3600</f>
        <v>14400</v>
      </c>
    </row>
    <row r="15" spans="1:22" ht="11.25" customHeight="1" x14ac:dyDescent="0.15">
      <c r="A15" s="28"/>
      <c r="B15" s="10">
        <v>10</v>
      </c>
      <c r="C15" s="10" t="s">
        <v>93</v>
      </c>
      <c r="D15" s="28">
        <v>100</v>
      </c>
      <c r="E15" s="47">
        <f t="shared" si="0"/>
        <v>864</v>
      </c>
      <c r="F15" s="28"/>
      <c r="G15" s="28"/>
      <c r="H15" s="13" t="s">
        <v>237</v>
      </c>
      <c r="I15" s="13" t="s">
        <v>236</v>
      </c>
      <c r="J15" s="94" t="s">
        <v>235</v>
      </c>
      <c r="K15" s="34">
        <v>0.1</v>
      </c>
      <c r="L15" s="34">
        <v>0.15</v>
      </c>
      <c r="M15" s="34">
        <v>0.2</v>
      </c>
      <c r="N15" s="34">
        <v>0.25</v>
      </c>
      <c r="O15" s="34">
        <v>0.3</v>
      </c>
      <c r="P15" s="33">
        <f>P$2*$U15/[5]效果!$E$41/300*$V15</f>
        <v>5.685836744148165E-2</v>
      </c>
      <c r="Q15" s="33">
        <f>Q$2*$U15/[5]效果!$E$41/300*$V15</f>
        <v>6.8230040929777983E-2</v>
      </c>
      <c r="R15" s="33">
        <f>R$2*$U15/[5]效果!$E$41/300*$V15</f>
        <v>8.5287551162222461E-2</v>
      </c>
      <c r="S15" s="33">
        <f>S$2*$U15/[5]效果!$E$41/300*$V15</f>
        <v>0.1137167348829633</v>
      </c>
      <c r="T15" s="33">
        <f>T$2*$U15/[5]效果!$E$41/300*$V15</f>
        <v>0.14214591860370412</v>
      </c>
      <c r="U15" s="13">
        <v>10</v>
      </c>
      <c r="V15" s="13">
        <f>4*3600</f>
        <v>14400</v>
      </c>
    </row>
    <row r="16" spans="1:22" ht="11.25" customHeight="1" x14ac:dyDescent="0.15">
      <c r="A16" s="47"/>
      <c r="B16" s="47">
        <v>11</v>
      </c>
      <c r="C16" s="47" t="s">
        <v>93</v>
      </c>
      <c r="D16" s="52">
        <v>100</v>
      </c>
      <c r="E16" s="52">
        <f t="shared" ref="E16:E18" si="1">ROUND(24*3600/D16,0)</f>
        <v>864</v>
      </c>
      <c r="F16" s="52"/>
      <c r="G16" s="47"/>
      <c r="H16" s="13" t="s">
        <v>217</v>
      </c>
      <c r="I16" s="13" t="s">
        <v>226</v>
      </c>
      <c r="J16" s="94" t="s">
        <v>234</v>
      </c>
      <c r="K16" s="34">
        <v>0.1</v>
      </c>
      <c r="L16" s="34">
        <v>0.12</v>
      </c>
      <c r="M16" s="34">
        <v>0.15</v>
      </c>
      <c r="N16" s="34">
        <v>0.2</v>
      </c>
      <c r="O16" s="34">
        <v>0.25</v>
      </c>
      <c r="P16" s="33">
        <f>P$2*$U16/[5]效果!$E$52/300*$V16*10</f>
        <v>4.6890634671887817E-2</v>
      </c>
      <c r="Q16" s="33">
        <f>Q$2*$U16/[5]效果!$E$52/300*$V16*10</f>
        <v>5.6268761606265372E-2</v>
      </c>
      <c r="R16" s="33">
        <f>R$2*$U16/[5]效果!$E$52/300*$V16*10</f>
        <v>7.0335952007831729E-2</v>
      </c>
      <c r="S16" s="33">
        <f>S$2*$U16/[5]效果!$E$52/300*$V16*10</f>
        <v>9.3781269343775633E-2</v>
      </c>
      <c r="T16" s="33">
        <f>T$2*$U16/[5]效果!$E$52/300*$V16*10</f>
        <v>0.11722658667971952</v>
      </c>
      <c r="U16" s="13">
        <v>10</v>
      </c>
      <c r="V16" s="13">
        <f>4*3600</f>
        <v>14400</v>
      </c>
    </row>
    <row r="17" spans="1:25" ht="11.25" customHeight="1" x14ac:dyDescent="0.15">
      <c r="A17" s="52"/>
      <c r="B17" s="52">
        <v>12</v>
      </c>
      <c r="C17" s="52" t="s">
        <v>93</v>
      </c>
      <c r="D17" s="52">
        <v>100</v>
      </c>
      <c r="E17" s="52">
        <f>ROUND(24*3600/D17,0)</f>
        <v>864</v>
      </c>
      <c r="F17" s="52"/>
      <c r="G17" s="52"/>
      <c r="H17" s="13" t="s">
        <v>238</v>
      </c>
      <c r="I17" s="13" t="s">
        <v>244</v>
      </c>
      <c r="J17" s="94" t="s">
        <v>245</v>
      </c>
      <c r="K17" s="34">
        <v>0.1</v>
      </c>
      <c r="L17" s="34">
        <v>0.15</v>
      </c>
      <c r="M17" s="34">
        <v>0.2</v>
      </c>
      <c r="N17" s="34">
        <v>0.25</v>
      </c>
      <c r="O17" s="34">
        <v>0.3</v>
      </c>
      <c r="P17" s="33">
        <f>P$2*$U17/[5]效果!$E$57/2*24</f>
        <v>6.9228452234092616E-2</v>
      </c>
      <c r="Q17" s="33">
        <f>Q$2*$U17/[5]效果!$E$57/2*24</f>
        <v>8.3074142680911151E-2</v>
      </c>
      <c r="R17" s="33">
        <f>R$2*$U17/[5]效果!$E$57/2*24</f>
        <v>0.10384267835113895</v>
      </c>
      <c r="S17" s="33">
        <f>S$2*$U17/[5]效果!$E$57/2*24</f>
        <v>0.13845690446818523</v>
      </c>
      <c r="T17" s="33">
        <f>T$2*$U17/[5]效果!$E$57/2*24</f>
        <v>0.17307113058523155</v>
      </c>
      <c r="U17" s="13">
        <v>20</v>
      </c>
      <c r="V17" s="13">
        <f>8*3600</f>
        <v>28800</v>
      </c>
    </row>
    <row r="18" spans="1:25" ht="11.25" customHeight="1" x14ac:dyDescent="0.15">
      <c r="A18" s="86"/>
      <c r="B18" s="86">
        <v>13</v>
      </c>
      <c r="C18" s="86" t="s">
        <v>93</v>
      </c>
      <c r="D18" s="86">
        <v>100</v>
      </c>
      <c r="E18" s="86">
        <f t="shared" si="1"/>
        <v>864</v>
      </c>
      <c r="F18" s="86"/>
      <c r="G18" s="86"/>
      <c r="H18" s="13" t="s">
        <v>239</v>
      </c>
      <c r="I18" s="13" t="s">
        <v>240</v>
      </c>
      <c r="J18" s="94" t="s">
        <v>246</v>
      </c>
      <c r="K18" s="34">
        <v>0.1</v>
      </c>
      <c r="L18" s="34">
        <v>0.15</v>
      </c>
      <c r="M18" s="34">
        <v>0.2</v>
      </c>
      <c r="N18" s="34">
        <v>0.25</v>
      </c>
      <c r="O18" s="34">
        <v>0.3</v>
      </c>
      <c r="P18" s="33">
        <f>P$2*$U18/[5]效果!$E$16/300*$V18</f>
        <v>0.101101340335642</v>
      </c>
      <c r="Q18" s="33">
        <f>Q$2*$U18/[5]效果!$E$16/300*$V18</f>
        <v>0.1213216084027704</v>
      </c>
      <c r="R18" s="33">
        <f>R$2*$U18/[5]效果!$E$16/300*$V18</f>
        <v>0.151652010503463</v>
      </c>
      <c r="S18" s="33">
        <f>S$2*$U18/[5]效果!$E$16/300*$V18</f>
        <v>0.202202680671284</v>
      </c>
      <c r="T18" s="33">
        <f>T$2*$U18/[5]效果!$E$16/300*$V18</f>
        <v>0.252753350839105</v>
      </c>
      <c r="U18" s="13">
        <v>20</v>
      </c>
      <c r="V18" s="13">
        <f>4*3600</f>
        <v>14400</v>
      </c>
    </row>
    <row r="19" spans="1:25" s="86" customFormat="1" ht="11.25" customHeight="1" x14ac:dyDescent="0.15">
      <c r="B19" s="86">
        <v>14</v>
      </c>
      <c r="C19" s="86" t="s">
        <v>93</v>
      </c>
      <c r="D19" s="86">
        <v>100</v>
      </c>
      <c r="E19" s="86">
        <f t="shared" ref="E19:E21" si="2">ROUND(24*3600/D19,0)</f>
        <v>864</v>
      </c>
      <c r="H19" s="13" t="s">
        <v>241</v>
      </c>
      <c r="I19" s="13" t="s">
        <v>242</v>
      </c>
      <c r="J19" s="94" t="s">
        <v>243</v>
      </c>
      <c r="K19" s="13">
        <v>1</v>
      </c>
      <c r="L19" s="13">
        <v>2</v>
      </c>
      <c r="M19" s="13">
        <v>3</v>
      </c>
      <c r="N19" s="13">
        <v>4</v>
      </c>
      <c r="O19" s="13">
        <v>5</v>
      </c>
      <c r="P19" s="13"/>
      <c r="Q19" s="13"/>
      <c r="R19" s="13"/>
      <c r="S19" s="13"/>
      <c r="T19" s="13"/>
      <c r="U19" s="13">
        <v>20</v>
      </c>
      <c r="V19" s="13">
        <f>8*3600</f>
        <v>28800</v>
      </c>
      <c r="Y19" s="10"/>
    </row>
    <row r="20" spans="1:25" s="86" customFormat="1" ht="11.25" customHeight="1" x14ac:dyDescent="0.15">
      <c r="B20" s="86">
        <v>15</v>
      </c>
      <c r="C20" s="86" t="s">
        <v>93</v>
      </c>
      <c r="D20" s="86">
        <v>100</v>
      </c>
      <c r="E20" s="86">
        <f t="shared" si="2"/>
        <v>864</v>
      </c>
      <c r="H20" s="13"/>
      <c r="I20" s="13"/>
      <c r="J20" s="94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Y20" s="10"/>
    </row>
    <row r="21" spans="1:25" s="86" customFormat="1" ht="11.25" customHeight="1" x14ac:dyDescent="0.15">
      <c r="B21" s="86">
        <v>16</v>
      </c>
      <c r="C21" s="86" t="s">
        <v>93</v>
      </c>
      <c r="D21" s="86">
        <v>100</v>
      </c>
      <c r="E21" s="86">
        <f t="shared" si="2"/>
        <v>864</v>
      </c>
      <c r="J21" s="92"/>
      <c r="Y21" s="10"/>
    </row>
    <row r="22" spans="1:25" s="86" customFormat="1" ht="11.25" customHeight="1" x14ac:dyDescent="0.15">
      <c r="J22" s="92"/>
      <c r="Y22" s="10"/>
    </row>
    <row r="23" spans="1:25" ht="11.25" customHeight="1" x14ac:dyDescent="0.15">
      <c r="G23" s="32"/>
      <c r="H23" s="32"/>
    </row>
    <row r="24" spans="1:25" ht="11.25" customHeight="1" x14ac:dyDescent="0.15">
      <c r="A24" s="86"/>
      <c r="B24" s="86"/>
      <c r="C24" s="86"/>
      <c r="D24" s="86"/>
      <c r="E24" s="86"/>
      <c r="F24" s="86"/>
      <c r="G24" s="86"/>
      <c r="H24" s="32"/>
    </row>
    <row r="25" spans="1:25" ht="11.25" customHeight="1" x14ac:dyDescent="0.15">
      <c r="A25" s="86"/>
      <c r="B25" s="86"/>
      <c r="C25" s="86"/>
      <c r="D25" s="86"/>
      <c r="E25" s="86"/>
      <c r="F25" s="86"/>
      <c r="G25" s="86"/>
      <c r="H25" s="32"/>
    </row>
    <row r="26" spans="1:25" ht="11.25" customHeight="1" x14ac:dyDescent="0.15">
      <c r="A26" s="86"/>
      <c r="B26" s="86"/>
      <c r="C26" s="86"/>
      <c r="D26" s="86"/>
      <c r="E26" s="86"/>
      <c r="F26" s="86"/>
      <c r="G26" s="86"/>
      <c r="H26" s="32"/>
    </row>
    <row r="27" spans="1:25" ht="11.25" customHeight="1" x14ac:dyDescent="0.15">
      <c r="A27" s="86"/>
      <c r="B27" s="86"/>
      <c r="C27" s="86"/>
      <c r="D27" s="86"/>
      <c r="E27" s="86"/>
      <c r="F27" s="86"/>
      <c r="G27" s="86"/>
      <c r="H27" s="32"/>
    </row>
    <row r="28" spans="1:25" ht="11.25" customHeight="1" x14ac:dyDescent="0.15">
      <c r="A28" s="86"/>
      <c r="B28" s="86"/>
      <c r="C28" s="86"/>
      <c r="D28" s="86"/>
      <c r="E28" s="86"/>
      <c r="F28" s="86"/>
      <c r="G28" s="86"/>
      <c r="H28" s="32"/>
    </row>
    <row r="29" spans="1:25" ht="11.25" customHeight="1" x14ac:dyDescent="0.15">
      <c r="A29" s="86"/>
      <c r="B29" s="86"/>
      <c r="C29" s="86"/>
      <c r="D29" s="86"/>
      <c r="E29" s="86"/>
      <c r="F29" s="86"/>
      <c r="G29" s="86"/>
      <c r="H29" s="32"/>
    </row>
    <row r="30" spans="1:25" ht="11.25" customHeight="1" x14ac:dyDescent="0.15">
      <c r="A30" s="86"/>
      <c r="B30" s="86"/>
      <c r="C30" s="86"/>
      <c r="D30" s="86"/>
      <c r="E30" s="86"/>
      <c r="G30" s="32"/>
      <c r="H30" s="32"/>
    </row>
    <row r="31" spans="1:25" ht="11.25" customHeight="1" x14ac:dyDescent="0.15">
      <c r="A31" s="86"/>
      <c r="B31" s="86"/>
      <c r="C31" s="86"/>
      <c r="D31" s="86"/>
      <c r="E31" s="86"/>
      <c r="G31" s="32"/>
      <c r="H31" s="32"/>
    </row>
    <row r="32" spans="1:25" ht="11.25" customHeight="1" x14ac:dyDescent="0.15">
      <c r="A32" s="86"/>
      <c r="B32" s="86"/>
      <c r="C32" s="86"/>
      <c r="D32" s="86"/>
      <c r="E32" s="86"/>
      <c r="G32" s="32"/>
      <c r="H32" s="32"/>
    </row>
    <row r="33" spans="1:8" ht="11.25" customHeight="1" x14ac:dyDescent="0.15">
      <c r="A33" s="86"/>
      <c r="B33" s="86"/>
      <c r="C33" s="86"/>
      <c r="D33" s="86"/>
      <c r="E33" s="86"/>
      <c r="G33" s="32"/>
      <c r="H33" s="32"/>
    </row>
    <row r="34" spans="1:8" ht="11.25" customHeight="1" x14ac:dyDescent="0.15">
      <c r="A34" s="86"/>
      <c r="B34" s="86"/>
      <c r="C34" s="86"/>
      <c r="D34" s="86"/>
      <c r="E34" s="86"/>
      <c r="G34" s="32"/>
      <c r="H34" s="32"/>
    </row>
    <row r="35" spans="1:8" ht="11.25" customHeight="1" x14ac:dyDescent="0.15">
      <c r="A35" s="86"/>
      <c r="B35" s="86"/>
      <c r="C35" s="86"/>
      <c r="D35" s="86"/>
      <c r="E35" s="86"/>
      <c r="G35" s="32"/>
      <c r="H35" s="32"/>
    </row>
    <row r="36" spans="1:8" ht="11.25" customHeight="1" x14ac:dyDescent="0.15">
      <c r="A36" s="86"/>
      <c r="B36" s="86"/>
      <c r="C36" s="86"/>
      <c r="D36" s="86"/>
      <c r="E36" s="86"/>
      <c r="F36" s="32"/>
      <c r="G36" s="32"/>
      <c r="H36" s="32"/>
    </row>
    <row r="37" spans="1:8" ht="11.25" customHeight="1" x14ac:dyDescent="0.15">
      <c r="A37" s="86"/>
      <c r="B37" s="86"/>
      <c r="C37" s="86"/>
      <c r="D37" s="86"/>
      <c r="E37" s="86"/>
      <c r="F37" s="32"/>
      <c r="G37" s="32"/>
      <c r="H37" s="32"/>
    </row>
    <row r="38" spans="1:8" ht="11.25" customHeight="1" x14ac:dyDescent="0.15">
      <c r="D38" s="32"/>
      <c r="F38" s="32"/>
      <c r="G38" s="32"/>
      <c r="H38" s="32"/>
    </row>
    <row r="39" spans="1:8" ht="11.25" customHeight="1" x14ac:dyDescent="0.15">
      <c r="D39" s="32"/>
      <c r="F39" s="32"/>
      <c r="G39" s="32"/>
      <c r="H39" s="32"/>
    </row>
    <row r="40" spans="1:8" ht="11.25" customHeight="1" x14ac:dyDescent="0.15">
      <c r="D40" s="32"/>
      <c r="F40" s="32"/>
      <c r="G40" s="32"/>
      <c r="H40" s="32"/>
    </row>
    <row r="41" spans="1:8" ht="11.25" customHeight="1" x14ac:dyDescent="0.15">
      <c r="D41" s="32"/>
      <c r="F41" s="32"/>
      <c r="G41" s="32"/>
      <c r="H41" s="32"/>
    </row>
    <row r="42" spans="1:8" ht="11.25" customHeight="1" x14ac:dyDescent="0.15">
      <c r="D42" s="32"/>
      <c r="E42" s="28"/>
      <c r="F42" s="32"/>
      <c r="G42" s="32"/>
      <c r="H42" s="32"/>
    </row>
    <row r="43" spans="1:8" ht="11.25" customHeight="1" x14ac:dyDescent="0.15">
      <c r="D43" s="32"/>
      <c r="E43" s="28"/>
      <c r="F43" s="32"/>
      <c r="G43" s="32"/>
      <c r="H43" s="32"/>
    </row>
    <row r="44" spans="1:8" ht="11.25" customHeight="1" x14ac:dyDescent="0.15">
      <c r="D44" s="28"/>
      <c r="E44" s="28"/>
      <c r="G44" s="32"/>
      <c r="H44" s="32"/>
    </row>
    <row r="45" spans="1:8" ht="11.25" customHeight="1" x14ac:dyDescent="0.15">
      <c r="D45" s="28"/>
      <c r="E45" s="28"/>
      <c r="G45" s="32"/>
      <c r="H45" s="32"/>
    </row>
    <row r="46" spans="1:8" ht="11.25" customHeight="1" x14ac:dyDescent="0.15">
      <c r="D46" s="28"/>
      <c r="E46" s="28"/>
      <c r="G46" s="32"/>
      <c r="H46" s="32"/>
    </row>
    <row r="47" spans="1:8" ht="11.25" customHeight="1" x14ac:dyDescent="0.15">
      <c r="D47" s="28"/>
      <c r="E47" s="28"/>
      <c r="G47" s="32"/>
      <c r="H47" s="32"/>
    </row>
    <row r="48" spans="1:8" ht="11.25" customHeight="1" x14ac:dyDescent="0.15">
      <c r="D48" s="28"/>
      <c r="E48" s="28"/>
      <c r="G48" s="32"/>
      <c r="H48" s="32"/>
    </row>
    <row r="49" spans="4:8" ht="11.25" customHeight="1" x14ac:dyDescent="0.15">
      <c r="D49" s="28"/>
      <c r="E49" s="28"/>
      <c r="G49" s="32"/>
      <c r="H49" s="32"/>
    </row>
    <row r="50" spans="4:8" ht="11.25" customHeight="1" x14ac:dyDescent="0.15">
      <c r="D50" s="28"/>
      <c r="E50" s="28"/>
      <c r="G50" s="32"/>
      <c r="H50" s="32"/>
    </row>
    <row r="51" spans="4:8" ht="11.25" customHeight="1" x14ac:dyDescent="0.15">
      <c r="D51" s="28"/>
      <c r="E51" s="28"/>
      <c r="G51" s="32"/>
      <c r="H51" s="32"/>
    </row>
    <row r="52" spans="4:8" ht="11.25" customHeight="1" x14ac:dyDescent="0.15">
      <c r="D52" s="28"/>
      <c r="E52" s="28"/>
      <c r="G52" s="32"/>
      <c r="H52" s="32"/>
    </row>
    <row r="53" spans="4:8" ht="11.25" customHeight="1" x14ac:dyDescent="0.15">
      <c r="D53" s="28"/>
      <c r="E53" s="28"/>
      <c r="G53" s="32"/>
      <c r="H53" s="32"/>
    </row>
    <row r="54" spans="4:8" ht="11.25" customHeight="1" x14ac:dyDescent="0.15">
      <c r="D54" s="28"/>
      <c r="E54" s="28"/>
      <c r="G54" s="32"/>
      <c r="H54" s="32"/>
    </row>
    <row r="55" spans="4:8" ht="11.25" customHeight="1" x14ac:dyDescent="0.15">
      <c r="D55" s="28"/>
      <c r="E55" s="28"/>
      <c r="G55" s="32"/>
      <c r="H55" s="32"/>
    </row>
    <row r="56" spans="4:8" ht="11.25" customHeight="1" x14ac:dyDescent="0.15">
      <c r="D56" s="28"/>
      <c r="E56" s="28"/>
      <c r="G56" s="32"/>
      <c r="H56" s="32"/>
    </row>
    <row r="57" spans="4:8" ht="11.25" customHeight="1" x14ac:dyDescent="0.15">
      <c r="D57" s="28"/>
      <c r="E57" s="28"/>
      <c r="G57" s="32"/>
      <c r="H57" s="32"/>
    </row>
    <row r="58" spans="4:8" ht="11.25" customHeight="1" x14ac:dyDescent="0.15">
      <c r="D58" s="28"/>
      <c r="E58" s="28"/>
      <c r="G58" s="32"/>
      <c r="H58" s="32"/>
    </row>
    <row r="59" spans="4:8" ht="11.25" customHeight="1" x14ac:dyDescent="0.15">
      <c r="D59" s="28"/>
      <c r="E59" s="28"/>
      <c r="G59" s="32"/>
      <c r="H59" s="32"/>
    </row>
    <row r="60" spans="4:8" ht="11.25" customHeight="1" x14ac:dyDescent="0.15">
      <c r="D60" s="28"/>
      <c r="E60" s="28"/>
      <c r="G60" s="32"/>
      <c r="H60" s="32"/>
    </row>
    <row r="61" spans="4:8" ht="11.25" customHeight="1" x14ac:dyDescent="0.15">
      <c r="D61" s="28"/>
      <c r="E61" s="28"/>
      <c r="G61" s="32"/>
      <c r="H61" s="32"/>
    </row>
    <row r="62" spans="4:8" ht="11.25" customHeight="1" x14ac:dyDescent="0.15">
      <c r="D62" s="28"/>
      <c r="E62" s="28"/>
      <c r="G62" s="32"/>
      <c r="H62" s="32"/>
    </row>
    <row r="63" spans="4:8" ht="11.25" customHeight="1" x14ac:dyDescent="0.15">
      <c r="D63" s="28"/>
      <c r="E63" s="28"/>
      <c r="G63" s="32"/>
      <c r="H63" s="32"/>
    </row>
    <row r="64" spans="4:8" ht="11.25" customHeight="1" x14ac:dyDescent="0.15">
      <c r="D64" s="28"/>
      <c r="E64" s="28"/>
      <c r="G64" s="32"/>
      <c r="H64" s="32"/>
    </row>
    <row r="65" spans="4:8" ht="11.25" customHeight="1" x14ac:dyDescent="0.15">
      <c r="D65" s="28"/>
      <c r="E65" s="28"/>
      <c r="G65" s="32"/>
      <c r="H65" s="32"/>
    </row>
    <row r="66" spans="4:8" ht="11.25" customHeight="1" x14ac:dyDescent="0.15">
      <c r="D66" s="28"/>
      <c r="E66" s="28"/>
      <c r="G66" s="32"/>
      <c r="H66" s="32"/>
    </row>
    <row r="67" spans="4:8" ht="11.25" customHeight="1" x14ac:dyDescent="0.15">
      <c r="D67" s="28"/>
      <c r="E67" s="28"/>
      <c r="G67" s="32"/>
      <c r="H67" s="32"/>
    </row>
    <row r="68" spans="4:8" ht="11.25" customHeight="1" x14ac:dyDescent="0.15">
      <c r="D68" s="28"/>
      <c r="E68" s="28"/>
      <c r="G68" s="32"/>
      <c r="H68" s="32"/>
    </row>
    <row r="69" spans="4:8" ht="11.25" customHeight="1" x14ac:dyDescent="0.15">
      <c r="D69" s="28"/>
      <c r="E69" s="28"/>
      <c r="G69" s="32"/>
      <c r="H69" s="32"/>
    </row>
    <row r="70" spans="4:8" ht="11.25" customHeight="1" x14ac:dyDescent="0.15">
      <c r="D70" s="28"/>
      <c r="E70" s="28"/>
      <c r="G70" s="32"/>
      <c r="H70" s="32"/>
    </row>
    <row r="71" spans="4:8" ht="11.25" customHeight="1" x14ac:dyDescent="0.15">
      <c r="D71" s="28"/>
      <c r="E71" s="28"/>
      <c r="G71" s="32"/>
      <c r="H71" s="32"/>
    </row>
    <row r="72" spans="4:8" ht="11.25" customHeight="1" x14ac:dyDescent="0.15">
      <c r="D72" s="28"/>
      <c r="E72" s="28"/>
      <c r="G72" s="32"/>
      <c r="H72" s="32"/>
    </row>
    <row r="73" spans="4:8" ht="11.25" customHeight="1" x14ac:dyDescent="0.15">
      <c r="D73" s="28"/>
      <c r="E73" s="28"/>
      <c r="G73" s="32"/>
      <c r="H73" s="32"/>
    </row>
    <row r="74" spans="4:8" ht="11.25" customHeight="1" x14ac:dyDescent="0.15">
      <c r="D74" s="28"/>
      <c r="E74" s="28"/>
      <c r="G74" s="32"/>
      <c r="H74" s="32"/>
    </row>
    <row r="75" spans="4:8" ht="11.25" customHeight="1" x14ac:dyDescent="0.15">
      <c r="D75" s="28"/>
      <c r="E75" s="28"/>
      <c r="G75" s="32"/>
      <c r="H75" s="32"/>
    </row>
    <row r="76" spans="4:8" ht="11.25" customHeight="1" x14ac:dyDescent="0.15">
      <c r="D76" s="28"/>
      <c r="E76" s="28"/>
      <c r="G76" s="32"/>
      <c r="H76" s="32"/>
    </row>
    <row r="77" spans="4:8" ht="11.25" customHeight="1" x14ac:dyDescent="0.15">
      <c r="D77" s="28"/>
      <c r="E77" s="28"/>
      <c r="G77" s="32"/>
      <c r="H77" s="32"/>
    </row>
    <row r="78" spans="4:8" ht="11.25" customHeight="1" x14ac:dyDescent="0.15">
      <c r="D78" s="28"/>
      <c r="E78" s="28"/>
      <c r="G78" s="32"/>
      <c r="H78" s="32"/>
    </row>
    <row r="79" spans="4:8" ht="11.25" customHeight="1" x14ac:dyDescent="0.15">
      <c r="D79" s="28"/>
      <c r="E79" s="28"/>
      <c r="G79" s="32"/>
      <c r="H79" s="32"/>
    </row>
    <row r="80" spans="4:8" ht="11.25" customHeight="1" x14ac:dyDescent="0.15">
      <c r="D80" s="28"/>
      <c r="E80" s="28"/>
      <c r="G80" s="32"/>
      <c r="H80" s="32"/>
    </row>
    <row r="81" spans="4:8" ht="11.25" customHeight="1" x14ac:dyDescent="0.15">
      <c r="D81" s="28"/>
      <c r="E81" s="28"/>
      <c r="G81" s="32"/>
      <c r="H81" s="32"/>
    </row>
    <row r="82" spans="4:8" ht="11.25" customHeight="1" x14ac:dyDescent="0.15">
      <c r="D82" s="28"/>
      <c r="E82" s="28"/>
      <c r="G82" s="32"/>
      <c r="H82" s="32"/>
    </row>
    <row r="83" spans="4:8" ht="11.25" customHeight="1" x14ac:dyDescent="0.15">
      <c r="D83" s="28"/>
      <c r="E83" s="28"/>
      <c r="G83" s="32"/>
      <c r="H83" s="32"/>
    </row>
    <row r="84" spans="4:8" ht="11.25" customHeight="1" x14ac:dyDescent="0.15">
      <c r="D84" s="28"/>
      <c r="E84" s="28"/>
      <c r="G84" s="32"/>
      <c r="H84" s="32"/>
    </row>
    <row r="85" spans="4:8" ht="11.25" customHeight="1" x14ac:dyDescent="0.15">
      <c r="D85" s="28"/>
      <c r="E85" s="28"/>
      <c r="G85" s="32"/>
      <c r="H85" s="32"/>
    </row>
    <row r="86" spans="4:8" ht="11.25" customHeight="1" x14ac:dyDescent="0.15">
      <c r="D86" s="28"/>
      <c r="E86" s="28"/>
      <c r="G86" s="32"/>
      <c r="H86" s="32"/>
    </row>
    <row r="87" spans="4:8" ht="11.25" customHeight="1" x14ac:dyDescent="0.15">
      <c r="D87" s="28"/>
      <c r="E87" s="28"/>
      <c r="G87" s="32"/>
      <c r="H87" s="32"/>
    </row>
    <row r="88" spans="4:8" ht="11.25" customHeight="1" x14ac:dyDescent="0.15">
      <c r="D88" s="28"/>
      <c r="E88" s="28"/>
      <c r="G88" s="32"/>
      <c r="H88" s="32"/>
    </row>
    <row r="89" spans="4:8" ht="11.25" customHeight="1" x14ac:dyDescent="0.15">
      <c r="D89" s="28"/>
      <c r="E89" s="28"/>
      <c r="G89" s="32"/>
      <c r="H89" s="32"/>
    </row>
    <row r="90" spans="4:8" ht="11.25" customHeight="1" x14ac:dyDescent="0.15">
      <c r="D90" s="28"/>
      <c r="E90" s="28"/>
      <c r="G90" s="32"/>
      <c r="H90" s="32"/>
    </row>
    <row r="91" spans="4:8" ht="11.25" customHeight="1" x14ac:dyDescent="0.15">
      <c r="D91" s="28"/>
      <c r="E91" s="28"/>
      <c r="G91" s="32"/>
      <c r="H91" s="32"/>
    </row>
    <row r="92" spans="4:8" ht="11.25" customHeight="1" x14ac:dyDescent="0.15">
      <c r="D92" s="28"/>
      <c r="E92" s="28"/>
      <c r="G92" s="32"/>
      <c r="H92" s="32"/>
    </row>
    <row r="93" spans="4:8" ht="11.25" customHeight="1" x14ac:dyDescent="0.15">
      <c r="D93" s="28"/>
      <c r="E93" s="28"/>
      <c r="G93" s="32"/>
      <c r="H93" s="32"/>
    </row>
    <row r="94" spans="4:8" ht="11.25" customHeight="1" x14ac:dyDescent="0.15">
      <c r="D94" s="28"/>
      <c r="E94" s="28"/>
      <c r="G94" s="32"/>
      <c r="H94" s="32"/>
    </row>
    <row r="95" spans="4:8" ht="11.25" customHeight="1" x14ac:dyDescent="0.15">
      <c r="D95" s="28"/>
      <c r="E95" s="28"/>
      <c r="G95" s="32"/>
      <c r="H95" s="32"/>
    </row>
    <row r="96" spans="4:8" ht="11.25" customHeight="1" x14ac:dyDescent="0.15">
      <c r="D96" s="28"/>
      <c r="E96" s="28"/>
      <c r="G96" s="32"/>
      <c r="H96" s="32"/>
    </row>
    <row r="97" spans="4:8" ht="11.25" customHeight="1" x14ac:dyDescent="0.15">
      <c r="D97" s="28"/>
      <c r="E97" s="28"/>
      <c r="G97" s="32"/>
      <c r="H97" s="32"/>
    </row>
    <row r="98" spans="4:8" ht="11.25" customHeight="1" x14ac:dyDescent="0.15">
      <c r="D98" s="28"/>
      <c r="E98" s="28"/>
      <c r="G98" s="32"/>
      <c r="H98" s="32"/>
    </row>
    <row r="99" spans="4:8" ht="11.25" customHeight="1" x14ac:dyDescent="0.15">
      <c r="D99" s="28"/>
      <c r="E99" s="28"/>
      <c r="G99" s="32"/>
      <c r="H99" s="32"/>
    </row>
    <row r="100" spans="4:8" ht="11.25" customHeight="1" x14ac:dyDescent="0.15">
      <c r="D100" s="28"/>
      <c r="E100" s="28"/>
      <c r="G100" s="32"/>
      <c r="H100" s="32"/>
    </row>
    <row r="101" spans="4:8" ht="11.25" customHeight="1" x14ac:dyDescent="0.15">
      <c r="D101" s="28"/>
      <c r="E101" s="28"/>
      <c r="G101" s="32"/>
      <c r="H101" s="32"/>
    </row>
    <row r="102" spans="4:8" ht="11.25" customHeight="1" x14ac:dyDescent="0.15">
      <c r="D102" s="28"/>
      <c r="E102" s="28"/>
      <c r="G102" s="32"/>
      <c r="H102" s="32"/>
    </row>
    <row r="103" spans="4:8" ht="11.25" customHeight="1" x14ac:dyDescent="0.15">
      <c r="D103" s="28"/>
      <c r="E103" s="28"/>
      <c r="G103" s="32"/>
      <c r="H103" s="32"/>
    </row>
    <row r="104" spans="4:8" ht="11.25" customHeight="1" x14ac:dyDescent="0.15">
      <c r="D104" s="28"/>
      <c r="E104" s="28"/>
      <c r="G104" s="32"/>
      <c r="H104" s="32"/>
    </row>
    <row r="105" spans="4:8" ht="11.25" customHeight="1" x14ac:dyDescent="0.15">
      <c r="D105" s="28"/>
      <c r="E105" s="28"/>
      <c r="G105" s="32"/>
      <c r="H105" s="32"/>
    </row>
    <row r="106" spans="4:8" ht="11.25" customHeight="1" x14ac:dyDescent="0.15">
      <c r="D106" s="28"/>
      <c r="E106" s="28"/>
      <c r="G106" s="32"/>
      <c r="H106" s="32"/>
    </row>
    <row r="107" spans="4:8" ht="11.25" customHeight="1" x14ac:dyDescent="0.15">
      <c r="D107" s="28"/>
      <c r="E107" s="28"/>
      <c r="G107" s="32"/>
      <c r="H107" s="32"/>
    </row>
    <row r="108" spans="4:8" ht="11.25" customHeight="1" x14ac:dyDescent="0.15">
      <c r="D108" s="28"/>
      <c r="E108" s="28"/>
      <c r="G108" s="32"/>
      <c r="H108" s="32"/>
    </row>
    <row r="109" spans="4:8" ht="11.25" customHeight="1" x14ac:dyDescent="0.15">
      <c r="D109" s="28"/>
      <c r="E109" s="28"/>
      <c r="G109" s="32"/>
      <c r="H109" s="32"/>
    </row>
    <row r="110" spans="4:8" ht="11.25" customHeight="1" x14ac:dyDescent="0.15">
      <c r="D110" s="28"/>
      <c r="E110" s="28"/>
      <c r="G110" s="32"/>
      <c r="H110" s="32"/>
    </row>
    <row r="111" spans="4:8" ht="11.25" customHeight="1" x14ac:dyDescent="0.15">
      <c r="D111" s="28"/>
      <c r="E111" s="28"/>
      <c r="G111" s="32"/>
      <c r="H111" s="32"/>
    </row>
    <row r="112" spans="4:8" ht="11.25" customHeight="1" x14ac:dyDescent="0.15">
      <c r="D112" s="28"/>
      <c r="E112" s="28"/>
      <c r="G112" s="32"/>
      <c r="H112" s="32"/>
    </row>
    <row r="113" spans="4:8" ht="11.25" customHeight="1" x14ac:dyDescent="0.15">
      <c r="D113" s="28"/>
      <c r="E113" s="28"/>
      <c r="G113" s="32"/>
      <c r="H113" s="32"/>
    </row>
    <row r="114" spans="4:8" ht="11.25" customHeight="1" x14ac:dyDescent="0.15">
      <c r="D114" s="28"/>
      <c r="E114" s="28"/>
      <c r="G114" s="32"/>
      <c r="H114" s="32"/>
    </row>
    <row r="115" spans="4:8" ht="11.25" customHeight="1" x14ac:dyDescent="0.15">
      <c r="D115" s="28"/>
      <c r="E115" s="28"/>
      <c r="G115" s="32"/>
      <c r="H115" s="32"/>
    </row>
    <row r="116" spans="4:8" ht="11.25" customHeight="1" x14ac:dyDescent="0.15">
      <c r="D116" s="28"/>
      <c r="E116" s="28"/>
      <c r="G116" s="32"/>
      <c r="H116" s="32"/>
    </row>
    <row r="117" spans="4:8" ht="11.25" customHeight="1" x14ac:dyDescent="0.15">
      <c r="D117" s="28"/>
      <c r="E117" s="28"/>
      <c r="G117" s="32"/>
      <c r="H117" s="32"/>
    </row>
    <row r="118" spans="4:8" ht="11.25" customHeight="1" x14ac:dyDescent="0.15">
      <c r="D118" s="28"/>
      <c r="E118" s="28"/>
      <c r="G118" s="32"/>
      <c r="H118" s="32"/>
    </row>
    <row r="119" spans="4:8" ht="11.25" customHeight="1" x14ac:dyDescent="0.15">
      <c r="D119" s="28"/>
      <c r="E119" s="28"/>
      <c r="G119" s="32"/>
      <c r="H119" s="32"/>
    </row>
    <row r="120" spans="4:8" ht="11.25" customHeight="1" x14ac:dyDescent="0.15">
      <c r="D120" s="28"/>
      <c r="E120" s="28"/>
      <c r="G120" s="32"/>
      <c r="H120" s="32"/>
    </row>
    <row r="121" spans="4:8" ht="11.25" customHeight="1" x14ac:dyDescent="0.15">
      <c r="D121" s="28"/>
      <c r="E121" s="28"/>
    </row>
    <row r="122" spans="4:8" ht="11.25" customHeight="1" x14ac:dyDescent="0.15">
      <c r="D122" s="28"/>
      <c r="E122" s="28"/>
    </row>
    <row r="123" spans="4:8" ht="11.25" customHeight="1" x14ac:dyDescent="0.15">
      <c r="D123" s="28"/>
      <c r="E123" s="28"/>
    </row>
    <row r="124" spans="4:8" ht="11.25" customHeight="1" x14ac:dyDescent="0.15">
      <c r="D124" s="28"/>
      <c r="E124" s="28"/>
    </row>
    <row r="125" spans="4:8" ht="11.25" customHeight="1" x14ac:dyDescent="0.15">
      <c r="D125" s="28"/>
      <c r="E125" s="28"/>
    </row>
    <row r="126" spans="4:8" ht="11.25" customHeight="1" x14ac:dyDescent="0.15">
      <c r="D126" s="28"/>
      <c r="E126" s="28"/>
    </row>
    <row r="127" spans="4:8" ht="11.25" customHeight="1" x14ac:dyDescent="0.15">
      <c r="D127" s="28"/>
      <c r="E127" s="28"/>
    </row>
    <row r="128" spans="4:8" ht="11.25" customHeight="1" x14ac:dyDescent="0.15">
      <c r="D128" s="28"/>
      <c r="E128" s="28"/>
    </row>
    <row r="129" spans="4:5" ht="11.25" customHeight="1" x14ac:dyDescent="0.15">
      <c r="D129" s="28"/>
      <c r="E129" s="28"/>
    </row>
    <row r="130" spans="4:5" ht="11.25" customHeight="1" x14ac:dyDescent="0.15">
      <c r="D130" s="28"/>
      <c r="E130" s="28"/>
    </row>
    <row r="131" spans="4:5" ht="11.25" customHeight="1" x14ac:dyDescent="0.15">
      <c r="D131" s="28"/>
      <c r="E131" s="28"/>
    </row>
    <row r="132" spans="4:5" ht="11.25" customHeight="1" x14ac:dyDescent="0.15">
      <c r="D132" s="28"/>
      <c r="E132" s="28"/>
    </row>
    <row r="133" spans="4:5" ht="11.25" customHeight="1" x14ac:dyDescent="0.15">
      <c r="D133" s="28"/>
      <c r="E133" s="28"/>
    </row>
    <row r="134" spans="4:5" ht="11.25" customHeight="1" x14ac:dyDescent="0.15">
      <c r="D134" s="28"/>
      <c r="E134" s="28"/>
    </row>
    <row r="135" spans="4:5" ht="11.25" customHeight="1" x14ac:dyDescent="0.15">
      <c r="D135" s="28"/>
      <c r="E135" s="28"/>
    </row>
    <row r="136" spans="4:5" ht="11.25" customHeight="1" x14ac:dyDescent="0.15">
      <c r="D136" s="28"/>
      <c r="E136" s="28"/>
    </row>
    <row r="137" spans="4:5" ht="11.25" customHeight="1" x14ac:dyDescent="0.15">
      <c r="D137" s="28"/>
      <c r="E137" s="28"/>
    </row>
    <row r="138" spans="4:5" ht="11.25" customHeight="1" x14ac:dyDescent="0.15">
      <c r="D138" s="28"/>
      <c r="E138" s="28"/>
    </row>
    <row r="139" spans="4:5" ht="11.25" customHeight="1" x14ac:dyDescent="0.15">
      <c r="D139" s="28"/>
      <c r="E139" s="28"/>
    </row>
    <row r="140" spans="4:5" ht="11.25" customHeight="1" x14ac:dyDescent="0.15">
      <c r="D140" s="28"/>
      <c r="E140" s="28"/>
    </row>
    <row r="141" spans="4:5" ht="11.25" customHeight="1" x14ac:dyDescent="0.15">
      <c r="D141" s="28"/>
      <c r="E141" s="28"/>
    </row>
    <row r="142" spans="4:5" ht="11.25" customHeight="1" x14ac:dyDescent="0.15">
      <c r="D142" s="28"/>
      <c r="E142" s="28"/>
    </row>
    <row r="143" spans="4:5" ht="11.25" customHeight="1" x14ac:dyDescent="0.15">
      <c r="D143" s="28"/>
      <c r="E143" s="28"/>
    </row>
    <row r="144" spans="4:5" ht="11.25" customHeight="1" x14ac:dyDescent="0.15">
      <c r="D144" s="28"/>
      <c r="E144" s="28"/>
    </row>
    <row r="145" spans="4:5" ht="11.25" customHeight="1" x14ac:dyDescent="0.15">
      <c r="D145" s="28"/>
      <c r="E145" s="28"/>
    </row>
    <row r="146" spans="4:5" ht="11.25" customHeight="1" x14ac:dyDescent="0.15">
      <c r="D146" s="28"/>
      <c r="E146" s="28"/>
    </row>
    <row r="147" spans="4:5" ht="11.25" customHeight="1" x14ac:dyDescent="0.15">
      <c r="D147" s="28"/>
      <c r="E147" s="28"/>
    </row>
    <row r="148" spans="4:5" ht="11.25" customHeight="1" x14ac:dyDescent="0.15">
      <c r="D148" s="28"/>
      <c r="E148" s="28"/>
    </row>
    <row r="149" spans="4:5" ht="11.25" customHeight="1" x14ac:dyDescent="0.15">
      <c r="D149" s="28"/>
      <c r="E149" s="28"/>
    </row>
    <row r="150" spans="4:5" ht="11.25" customHeight="1" x14ac:dyDescent="0.15">
      <c r="D150" s="28"/>
      <c r="E150" s="28"/>
    </row>
    <row r="151" spans="4:5" ht="11.25" customHeight="1" x14ac:dyDescent="0.15">
      <c r="D151" s="28"/>
      <c r="E151" s="28"/>
    </row>
    <row r="152" spans="4:5" ht="11.25" customHeight="1" x14ac:dyDescent="0.15">
      <c r="D152" s="28"/>
      <c r="E152" s="28"/>
    </row>
    <row r="153" spans="4:5" ht="11.25" customHeight="1" x14ac:dyDescent="0.15">
      <c r="D153" s="28"/>
      <c r="E153" s="28"/>
    </row>
    <row r="154" spans="4:5" ht="11.25" customHeight="1" x14ac:dyDescent="0.15">
      <c r="D154" s="28"/>
      <c r="E154" s="28"/>
    </row>
    <row r="155" spans="4:5" ht="11.25" customHeight="1" x14ac:dyDescent="0.15">
      <c r="D155" s="28"/>
      <c r="E155" s="28"/>
    </row>
    <row r="156" spans="4:5" ht="11.25" customHeight="1" x14ac:dyDescent="0.15">
      <c r="D156" s="28"/>
      <c r="E156" s="28"/>
    </row>
    <row r="157" spans="4:5" ht="11.25" customHeight="1" x14ac:dyDescent="0.15">
      <c r="D157" s="28"/>
      <c r="E157" s="28"/>
    </row>
    <row r="158" spans="4:5" ht="11.25" customHeight="1" x14ac:dyDescent="0.15">
      <c r="D158" s="28"/>
      <c r="E158" s="28"/>
    </row>
    <row r="159" spans="4:5" ht="11.25" customHeight="1" x14ac:dyDescent="0.15">
      <c r="D159" s="28"/>
      <c r="E159" s="28"/>
    </row>
    <row r="160" spans="4:5" ht="11.25" customHeight="1" x14ac:dyDescent="0.15">
      <c r="D160" s="28"/>
      <c r="E160" s="28"/>
    </row>
  </sheetData>
  <mergeCells count="3">
    <mergeCell ref="K3:O3"/>
    <mergeCell ref="P1:T1"/>
    <mergeCell ref="P3:T3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C5E3-8F6A-4D5A-8984-3739080E91C2}">
  <sheetPr codeName="Sheet19"/>
  <dimension ref="C2:X164"/>
  <sheetViews>
    <sheetView workbookViewId="0">
      <selection activeCell="N18" sqref="N18"/>
    </sheetView>
  </sheetViews>
  <sheetFormatPr defaultRowHeight="11.25" x14ac:dyDescent="0.15"/>
  <cols>
    <col min="1" max="16384" width="9" style="111"/>
  </cols>
  <sheetData>
    <row r="2" spans="3:24" x14ac:dyDescent="0.15">
      <c r="T2" s="106" t="s">
        <v>303</v>
      </c>
    </row>
    <row r="3" spans="3:24" x14ac:dyDescent="0.15">
      <c r="D3" s="127" t="s">
        <v>298</v>
      </c>
      <c r="E3" s="127"/>
      <c r="F3" s="127"/>
      <c r="G3" s="127"/>
      <c r="H3" s="127"/>
      <c r="L3" s="127" t="s">
        <v>299</v>
      </c>
      <c r="M3" s="127"/>
      <c r="N3" s="127"/>
      <c r="O3" s="127"/>
      <c r="P3" s="127"/>
      <c r="T3" s="127" t="s">
        <v>301</v>
      </c>
      <c r="U3" s="127"/>
      <c r="V3" s="127"/>
      <c r="W3" s="127"/>
      <c r="X3" s="127"/>
    </row>
    <row r="4" spans="3:24" x14ac:dyDescent="0.15">
      <c r="C4" s="111" t="s">
        <v>297</v>
      </c>
      <c r="D4" s="111" t="s">
        <v>104</v>
      </c>
      <c r="E4" s="111" t="s">
        <v>105</v>
      </c>
      <c r="F4" s="111" t="s">
        <v>106</v>
      </c>
      <c r="G4" s="111" t="s">
        <v>107</v>
      </c>
      <c r="H4" s="111" t="s">
        <v>108</v>
      </c>
      <c r="K4" s="111" t="s">
        <v>300</v>
      </c>
      <c r="L4" s="111" t="s">
        <v>104</v>
      </c>
      <c r="M4" s="111" t="s">
        <v>105</v>
      </c>
      <c r="N4" s="111" t="s">
        <v>106</v>
      </c>
      <c r="O4" s="111" t="s">
        <v>107</v>
      </c>
      <c r="P4" s="111" t="s">
        <v>108</v>
      </c>
      <c r="S4" s="111" t="s">
        <v>123</v>
      </c>
      <c r="T4" s="111" t="s">
        <v>0</v>
      </c>
      <c r="U4" s="111" t="s">
        <v>1</v>
      </c>
      <c r="V4" s="111" t="s">
        <v>2</v>
      </c>
      <c r="W4" s="111" t="s">
        <v>3</v>
      </c>
      <c r="X4" s="111" t="s">
        <v>4</v>
      </c>
    </row>
    <row r="5" spans="3:24" x14ac:dyDescent="0.15">
      <c r="C5" s="111">
        <v>1</v>
      </c>
      <c r="D5" s="111">
        <v>500</v>
      </c>
      <c r="E5" s="111">
        <v>1000</v>
      </c>
      <c r="F5" s="111">
        <v>2000</v>
      </c>
      <c r="G5" s="111">
        <v>5000</v>
      </c>
      <c r="H5" s="111">
        <v>10000</v>
      </c>
      <c r="K5" s="111" t="s">
        <v>105</v>
      </c>
      <c r="L5" s="111">
        <v>100</v>
      </c>
      <c r="M5" s="111">
        <v>500</v>
      </c>
      <c r="N5" s="111">
        <v>1000</v>
      </c>
      <c r="O5" s="111">
        <v>2000</v>
      </c>
      <c r="P5" s="111">
        <v>5000</v>
      </c>
      <c r="S5" s="111">
        <v>1</v>
      </c>
      <c r="T5" s="111">
        <f>IFERROR(求节点(基础信息!$F$10:$F$25,基础信息!$G$10:$G$25,$S5),0)*SUMPRODUCT(INDEX($D$5:$H$34,IFERROR(MATCH(求节点(基础信息!$F$10:$F$25,基础信息!$H$10:$H$25,$S5),$C$5:$C$34,1),1),),INDEX(基础信息!$I$10:$M$25,IFERROR(MATCH($S5,基础信息!$F$10:$F$25,1),1),))+IFERROR(SUMPRODUCT(INDEX(门客进修!$AE$5:$AI$20,MATCH($S5,基础信息!$F$10:$F$25,1),),INDEX(基础信息!$N$10:$R$25,MATCH($S5,基础信息!$F$10:$F$25,1),),INDEX(基础信息!$I$10:$M$25,MATCH($S5,基础信息!$F$10:$F$25,1),))*求节点(基础信息!$F$10:$F$25,基础信息!$G$10:$G$25,$S5),0)</f>
        <v>0</v>
      </c>
      <c r="U5" s="111">
        <f>IFERROR(求节点(基础信息!$F$30:$F$45,基础信息!$G$30:$G$45,$S5),0)*SUMPRODUCT(INDEX($D$5:$H$34,IFERROR(MATCH(求节点(基础信息!$F$30:$F$45,基础信息!$H$30:$H$45,$S5),$C$5:$C$34,1),1),),INDEX(基础信息!$I$30:$M$45,IFERROR(MATCH($S5,基础信息!$F$30:$F$45,1),1),))+IFERROR(SUMPRODUCT(INDEX(门客进修!$AE$25:$AI$40,MATCH($S5,基础信息!$F$30:$F$45,1),),INDEX(基础信息!$N$30:$R$45,MATCH($S5,基础信息!$F$30:$F$45,1),),INDEX(基础信息!$I$30:$M$45,MATCH($S5,基础信息!$F$30:$F$45,1),))*求节点(基础信息!$F$30:$F$45,基础信息!$G$30:$G$45,$S5),0)</f>
        <v>0</v>
      </c>
      <c r="V5" s="111">
        <f>IFERROR(求节点(基础信息!$F$50:$F$65,基础信息!$G$50:$G$65,$S5),0)*SUMPRODUCT(INDEX($D$5:$H$34,IFERROR(MATCH(求节点(基础信息!$F$50:$F$65,基础信息!$H$50:$H$65,$S5),$C$5:$C$34,1),1),),INDEX(基础信息!$I$50:$M$65,IFERROR(MATCH($S5,基础信息!$F$50:$F$65,1),1),))+IFERROR(SUMPRODUCT(INDEX(门客进修!$AE$45:$AI$60,MATCH($S5,基础信息!$F$50:$F$65,1),),INDEX(基础信息!$N$50:$R$65,MATCH($S5,基础信息!$F$50:$F$65,1),),INDEX(基础信息!$I$50:$M$65,MATCH($S5,基础信息!$F$50:$F$65,1),))*求节点(基础信息!$F$50:$F$65,基础信息!$G$50:$G$65,$S5),0)</f>
        <v>0</v>
      </c>
      <c r="W5" s="111">
        <f>IFERROR(求节点(基础信息!$F$70:$F$85,基础信息!$G$70:$G$85,$S5),0)*SUMPRODUCT(INDEX($D$5:$H$34,IFERROR(MATCH(求节点(基础信息!$F$70:$F$85,基础信息!$H$70:$H$85,$S5),$C$5:$C$34,1),1),),INDEX(基础信息!$I$70:$M$85,IFERROR(MATCH($S5,基础信息!$F$70:$F$85,1),1),))+IFERROR(SUMPRODUCT(INDEX(门客进修!$AE$65:$AI$80,MATCH($S5,基础信息!$F$70:$F$85,1),),INDEX(基础信息!$N$70:$R$85,MATCH($S5,基础信息!$F$70:$F$85,1),),INDEX(基础信息!$I$70:$M$85,MATCH($S5,基础信息!$F$70:$F$85,1),))*求节点(基础信息!$F$70:$F$85,基础信息!$G$70:$G$85,$S5),0)</f>
        <v>0</v>
      </c>
      <c r="X5" s="111">
        <f>IFERROR(求节点(基础信息!$F$90:$F$105,基础信息!$G$90:$G$105,$S5),0)*SUMPRODUCT(INDEX($D$5:$H$34,IFERROR(MATCH(求节点(基础信息!$F$90:$F$105,基础信息!$H$90:$H$105,$S5),$C$5:$C$34,1),1),),INDEX(基础信息!$I$90:$M$105,IFERROR(MATCH($S5,基础信息!$F$90:$F$105,1),1),))+IFERROR(SUMPRODUCT(INDEX(门客进修!$AE$85:$AI$100,MATCH($S5,基础信息!$F$90:$F$105,1),),INDEX(基础信息!$N$90:$R$105,MATCH($S5,基础信息!$F$90:$F$105,1),),INDEX(基础信息!$I$90:$M$105,MATCH($S5,基础信息!$F$90:$F$105,1),))*求节点(基础信息!$F$90:$F$105,基础信息!$G$90:$G$105,$S5),0)</f>
        <v>0</v>
      </c>
    </row>
    <row r="6" spans="3:24" x14ac:dyDescent="0.15">
      <c r="C6" s="111">
        <v>2</v>
      </c>
      <c r="D6" s="111">
        <f>D5+D$5*0.1</f>
        <v>550</v>
      </c>
      <c r="E6" s="111">
        <f t="shared" ref="E6:H6" si="0">E5+E$5*0.1</f>
        <v>1100</v>
      </c>
      <c r="F6" s="111">
        <f t="shared" si="0"/>
        <v>2200</v>
      </c>
      <c r="G6" s="111">
        <f t="shared" si="0"/>
        <v>5500</v>
      </c>
      <c r="H6" s="111">
        <f t="shared" si="0"/>
        <v>11000</v>
      </c>
      <c r="K6" s="111" t="s">
        <v>106</v>
      </c>
      <c r="L6" s="111">
        <v>100</v>
      </c>
      <c r="M6" s="111">
        <v>700</v>
      </c>
      <c r="N6" s="111">
        <v>1500</v>
      </c>
      <c r="O6" s="111">
        <v>3000</v>
      </c>
      <c r="P6" s="111">
        <v>7000</v>
      </c>
      <c r="S6" s="111">
        <v>2</v>
      </c>
      <c r="T6" s="111">
        <f>IFERROR(求节点(基础信息!$F$10:$F$25,基础信息!$G$10:$G$25,$S6),0)*SUMPRODUCT(INDEX($D$5:$H$34,IFERROR(MATCH(求节点(基础信息!$F$10:$F$25,基础信息!$H$10:$H$25,$S6),$C$5:$C$34,1),1),),INDEX(基础信息!$I$10:$M$25,IFERROR(MATCH($S6,基础信息!$F$10:$F$25,1),1),))+IFERROR(SUMPRODUCT(INDEX(门客进修!$AE$5:$AI$20,MATCH($S6,基础信息!$F$10:$F$25,1),),INDEX(基础信息!$N$10:$R$25,MATCH($S6,基础信息!$F$10:$F$25,1),),INDEX(基础信息!$I$10:$M$25,MATCH($S6,基础信息!$F$10:$F$25,1),))*求节点(基础信息!$F$10:$F$25,基础信息!$G$10:$G$25,$S6),0)</f>
        <v>0</v>
      </c>
      <c r="U6" s="111">
        <f>IFERROR(求节点(基础信息!$F$30:$F$45,基础信息!$G$30:$G$45,$S6),0)*SUMPRODUCT(INDEX($D$5:$H$34,IFERROR(MATCH(求节点(基础信息!$F$30:$F$45,基础信息!$H$30:$H$45,$S6),$C$5:$C$34,1),1),),INDEX(基础信息!$I$30:$M$45,IFERROR(MATCH($S6,基础信息!$F$30:$F$45,1),1),))+IFERROR(SUMPRODUCT(INDEX(门客进修!$AE$25:$AI$40,MATCH($S6,基础信息!$F$30:$F$45,1),),INDEX(基础信息!$N$30:$R$45,MATCH($S6,基础信息!$F$30:$F$45,1),),INDEX(基础信息!$I$30:$M$45,MATCH($S6,基础信息!$F$30:$F$45,1),))*求节点(基础信息!$F$30:$F$45,基础信息!$G$30:$G$45,$S6),0)</f>
        <v>0</v>
      </c>
      <c r="V6" s="111">
        <f>IFERROR(求节点(基础信息!$F$50:$F$65,基础信息!$G$50:$G$65,$S6),0)*SUMPRODUCT(INDEX($D$5:$H$34,IFERROR(MATCH(求节点(基础信息!$F$50:$F$65,基础信息!$H$50:$H$65,$S6),$C$5:$C$34,1),1),),INDEX(基础信息!$I$50:$M$65,IFERROR(MATCH($S6,基础信息!$F$50:$F$65,1),1),))+IFERROR(SUMPRODUCT(INDEX(门客进修!$AE$45:$AI$60,MATCH($S6,基础信息!$F$50:$F$65,1),),INDEX(基础信息!$N$50:$R$65,MATCH($S6,基础信息!$F$50:$F$65,1),),INDEX(基础信息!$I$50:$M$65,MATCH($S6,基础信息!$F$50:$F$65,1),))*求节点(基础信息!$F$50:$F$65,基础信息!$G$50:$G$65,$S6),0)</f>
        <v>0</v>
      </c>
      <c r="W6" s="111">
        <f>IFERROR(求节点(基础信息!$F$70:$F$85,基础信息!$G$70:$G$85,$S6),0)*SUMPRODUCT(INDEX($D$5:$H$34,IFERROR(MATCH(求节点(基础信息!$F$70:$F$85,基础信息!$H$70:$H$85,$S6),$C$5:$C$34,1),1),),INDEX(基础信息!$I$70:$M$85,IFERROR(MATCH($S6,基础信息!$F$70:$F$85,1),1),))+IFERROR(SUMPRODUCT(INDEX(门客进修!$AE$65:$AI$80,MATCH($S6,基础信息!$F$70:$F$85,1),),INDEX(基础信息!$N$70:$R$85,MATCH($S6,基础信息!$F$70:$F$85,1),),INDEX(基础信息!$I$70:$M$85,MATCH($S6,基础信息!$F$70:$F$85,1),))*求节点(基础信息!$F$70:$F$85,基础信息!$G$70:$G$85,$S6),0)</f>
        <v>0</v>
      </c>
      <c r="X6" s="111">
        <f>IFERROR(求节点(基础信息!$F$90:$F$105,基础信息!$G$90:$G$105,$S6),0)*SUMPRODUCT(INDEX($D$5:$H$34,IFERROR(MATCH(求节点(基础信息!$F$90:$F$105,基础信息!$H$90:$H$105,$S6),$C$5:$C$34,1),1),),INDEX(基础信息!$I$90:$M$105,IFERROR(MATCH($S6,基础信息!$F$90:$F$105,1),1),))+IFERROR(SUMPRODUCT(INDEX(门客进修!$AE$85:$AI$100,MATCH($S6,基础信息!$F$90:$F$105,1),),INDEX(基础信息!$N$90:$R$105,MATCH($S6,基础信息!$F$90:$F$105,1),),INDEX(基础信息!$I$90:$M$105,MATCH($S6,基础信息!$F$90:$F$105,1),))*求节点(基础信息!$F$90:$F$105,基础信息!$G$90:$G$105,$S6),0)</f>
        <v>0</v>
      </c>
    </row>
    <row r="7" spans="3:24" x14ac:dyDescent="0.15">
      <c r="C7" s="111">
        <v>3</v>
      </c>
      <c r="D7" s="111">
        <f t="shared" ref="D7:D34" si="1">D6+D$5*0.1</f>
        <v>600</v>
      </c>
      <c r="E7" s="111">
        <f t="shared" ref="E7:E34" si="2">E6+E$5*0.1</f>
        <v>1200</v>
      </c>
      <c r="F7" s="111">
        <f t="shared" ref="F7:F34" si="3">F6+F$5*0.1</f>
        <v>2400</v>
      </c>
      <c r="G7" s="111">
        <f t="shared" ref="G7:G34" si="4">G6+G$5*0.1</f>
        <v>6000</v>
      </c>
      <c r="H7" s="111">
        <f t="shared" ref="H7:H34" si="5">H6+H$5*0.1</f>
        <v>12000</v>
      </c>
      <c r="K7" s="111" t="s">
        <v>107</v>
      </c>
      <c r="L7" s="111">
        <v>100</v>
      </c>
      <c r="M7" s="111">
        <v>1000</v>
      </c>
      <c r="N7" s="111">
        <v>2000</v>
      </c>
      <c r="O7" s="111">
        <v>5000</v>
      </c>
      <c r="P7" s="111">
        <v>10000</v>
      </c>
      <c r="S7" s="111">
        <v>3</v>
      </c>
      <c r="T7" s="111">
        <f>IFERROR(求节点(基础信息!$F$10:$F$25,基础信息!$G$10:$G$25,$S7),0)*SUMPRODUCT(INDEX($D$5:$H$34,IFERROR(MATCH(求节点(基础信息!$F$10:$F$25,基础信息!$H$10:$H$25,$S7),$C$5:$C$34,1),1),),INDEX(基础信息!$I$10:$M$25,IFERROR(MATCH($S7,基础信息!$F$10:$F$25,1),1),))+IFERROR(SUMPRODUCT(INDEX(门客进修!$AE$5:$AI$20,MATCH($S7,基础信息!$F$10:$F$25,1),),INDEX(基础信息!$N$10:$R$25,MATCH($S7,基础信息!$F$10:$F$25,1),),INDEX(基础信息!$I$10:$M$25,MATCH($S7,基础信息!$F$10:$F$25,1),))*求节点(基础信息!$F$10:$F$25,基础信息!$G$10:$G$25,$S7),0)</f>
        <v>0</v>
      </c>
      <c r="U7" s="111">
        <f>IFERROR(求节点(基础信息!$F$30:$F$45,基础信息!$G$30:$G$45,$S7),0)*SUMPRODUCT(INDEX($D$5:$H$34,IFERROR(MATCH(求节点(基础信息!$F$30:$F$45,基础信息!$H$30:$H$45,$S7),$C$5:$C$34,1),1),),INDEX(基础信息!$I$30:$M$45,IFERROR(MATCH($S7,基础信息!$F$30:$F$45,1),1),))+IFERROR(SUMPRODUCT(INDEX(门客进修!$AE$25:$AI$40,MATCH($S7,基础信息!$F$30:$F$45,1),),INDEX(基础信息!$N$30:$R$45,MATCH($S7,基础信息!$F$30:$F$45,1),),INDEX(基础信息!$I$30:$M$45,MATCH($S7,基础信息!$F$30:$F$45,1),))*求节点(基础信息!$F$30:$F$45,基础信息!$G$30:$G$45,$S7),0)</f>
        <v>0</v>
      </c>
      <c r="V7" s="111">
        <f>IFERROR(求节点(基础信息!$F$50:$F$65,基础信息!$G$50:$G$65,$S7),0)*SUMPRODUCT(INDEX($D$5:$H$34,IFERROR(MATCH(求节点(基础信息!$F$50:$F$65,基础信息!$H$50:$H$65,$S7),$C$5:$C$34,1),1),),INDEX(基础信息!$I$50:$M$65,IFERROR(MATCH($S7,基础信息!$F$50:$F$65,1),1),))+IFERROR(SUMPRODUCT(INDEX(门客进修!$AE$45:$AI$60,MATCH($S7,基础信息!$F$50:$F$65,1),),INDEX(基础信息!$N$50:$R$65,MATCH($S7,基础信息!$F$50:$F$65,1),),INDEX(基础信息!$I$50:$M$65,MATCH($S7,基础信息!$F$50:$F$65,1),))*求节点(基础信息!$F$50:$F$65,基础信息!$G$50:$G$65,$S7),0)</f>
        <v>0</v>
      </c>
      <c r="W7" s="111">
        <f>IFERROR(求节点(基础信息!$F$70:$F$85,基础信息!$G$70:$G$85,$S7),0)*SUMPRODUCT(INDEX($D$5:$H$34,IFERROR(MATCH(求节点(基础信息!$F$70:$F$85,基础信息!$H$70:$H$85,$S7),$C$5:$C$34,1),1),),INDEX(基础信息!$I$70:$M$85,IFERROR(MATCH($S7,基础信息!$F$70:$F$85,1),1),))+IFERROR(SUMPRODUCT(INDEX(门客进修!$AE$65:$AI$80,MATCH($S7,基础信息!$F$70:$F$85,1),),INDEX(基础信息!$N$70:$R$85,MATCH($S7,基础信息!$F$70:$F$85,1),),INDEX(基础信息!$I$70:$M$85,MATCH($S7,基础信息!$F$70:$F$85,1),))*求节点(基础信息!$F$70:$F$85,基础信息!$G$70:$G$85,$S7),0)</f>
        <v>0</v>
      </c>
      <c r="X7" s="111">
        <f>IFERROR(求节点(基础信息!$F$90:$F$105,基础信息!$G$90:$G$105,$S7),0)*SUMPRODUCT(INDEX($D$5:$H$34,IFERROR(MATCH(求节点(基础信息!$F$90:$F$105,基础信息!$H$90:$H$105,$S7),$C$5:$C$34,1),1),),INDEX(基础信息!$I$90:$M$105,IFERROR(MATCH($S7,基础信息!$F$90:$F$105,1),1),))+IFERROR(SUMPRODUCT(INDEX(门客进修!$AE$85:$AI$100,MATCH($S7,基础信息!$F$90:$F$105,1),),INDEX(基础信息!$N$90:$R$105,MATCH($S7,基础信息!$F$90:$F$105,1),),INDEX(基础信息!$I$90:$M$105,MATCH($S7,基础信息!$F$90:$F$105,1),))*求节点(基础信息!$F$90:$F$105,基础信息!$G$90:$G$105,$S7),0)</f>
        <v>0</v>
      </c>
    </row>
    <row r="8" spans="3:24" x14ac:dyDescent="0.15">
      <c r="C8" s="111">
        <v>4</v>
      </c>
      <c r="D8" s="111">
        <f t="shared" si="1"/>
        <v>650</v>
      </c>
      <c r="E8" s="111">
        <f t="shared" si="2"/>
        <v>1300</v>
      </c>
      <c r="F8" s="111">
        <f t="shared" si="3"/>
        <v>2600</v>
      </c>
      <c r="G8" s="111">
        <f t="shared" si="4"/>
        <v>6500</v>
      </c>
      <c r="H8" s="111">
        <f t="shared" si="5"/>
        <v>13000</v>
      </c>
      <c r="S8" s="111">
        <v>4</v>
      </c>
      <c r="T8" s="111">
        <f>IFERROR(求节点(基础信息!$F$10:$F$25,基础信息!$G$10:$G$25,$S8),0)*SUMPRODUCT(INDEX($D$5:$H$34,IFERROR(MATCH(求节点(基础信息!$F$10:$F$25,基础信息!$H$10:$H$25,$S8),$C$5:$C$34,1),1),),INDEX(基础信息!$I$10:$M$25,IFERROR(MATCH($S8,基础信息!$F$10:$F$25,1),1),))+IFERROR(SUMPRODUCT(INDEX(门客进修!$AE$5:$AI$20,MATCH($S8,基础信息!$F$10:$F$25,1),),INDEX(基础信息!$N$10:$R$25,MATCH($S8,基础信息!$F$10:$F$25,1),),INDEX(基础信息!$I$10:$M$25,MATCH($S8,基础信息!$F$10:$F$25,1),))*求节点(基础信息!$F$10:$F$25,基础信息!$G$10:$G$25,$S8),0)</f>
        <v>0</v>
      </c>
      <c r="U8" s="111">
        <f>IFERROR(求节点(基础信息!$F$30:$F$45,基础信息!$G$30:$G$45,$S8),0)*SUMPRODUCT(INDEX($D$5:$H$34,IFERROR(MATCH(求节点(基础信息!$F$30:$F$45,基础信息!$H$30:$H$45,$S8),$C$5:$C$34,1),1),),INDEX(基础信息!$I$30:$M$45,IFERROR(MATCH($S8,基础信息!$F$30:$F$45,1),1),))+IFERROR(SUMPRODUCT(INDEX(门客进修!$AE$25:$AI$40,MATCH($S8,基础信息!$F$30:$F$45,1),),INDEX(基础信息!$N$30:$R$45,MATCH($S8,基础信息!$F$30:$F$45,1),),INDEX(基础信息!$I$30:$M$45,MATCH($S8,基础信息!$F$30:$F$45,1),))*求节点(基础信息!$F$30:$F$45,基础信息!$G$30:$G$45,$S8),0)</f>
        <v>0</v>
      </c>
      <c r="V8" s="111">
        <f>IFERROR(求节点(基础信息!$F$50:$F$65,基础信息!$G$50:$G$65,$S8),0)*SUMPRODUCT(INDEX($D$5:$H$34,IFERROR(MATCH(求节点(基础信息!$F$50:$F$65,基础信息!$H$50:$H$65,$S8),$C$5:$C$34,1),1),),INDEX(基础信息!$I$50:$M$65,IFERROR(MATCH($S8,基础信息!$F$50:$F$65,1),1),))+IFERROR(SUMPRODUCT(INDEX(门客进修!$AE$45:$AI$60,MATCH($S8,基础信息!$F$50:$F$65,1),),INDEX(基础信息!$N$50:$R$65,MATCH($S8,基础信息!$F$50:$F$65,1),),INDEX(基础信息!$I$50:$M$65,MATCH($S8,基础信息!$F$50:$F$65,1),))*求节点(基础信息!$F$50:$F$65,基础信息!$G$50:$G$65,$S8),0)</f>
        <v>0</v>
      </c>
      <c r="W8" s="111">
        <f>IFERROR(求节点(基础信息!$F$70:$F$85,基础信息!$G$70:$G$85,$S8),0)*SUMPRODUCT(INDEX($D$5:$H$34,IFERROR(MATCH(求节点(基础信息!$F$70:$F$85,基础信息!$H$70:$H$85,$S8),$C$5:$C$34,1),1),),INDEX(基础信息!$I$70:$M$85,IFERROR(MATCH($S8,基础信息!$F$70:$F$85,1),1),))+IFERROR(SUMPRODUCT(INDEX(门客进修!$AE$65:$AI$80,MATCH($S8,基础信息!$F$70:$F$85,1),),INDEX(基础信息!$N$70:$R$85,MATCH($S8,基础信息!$F$70:$F$85,1),),INDEX(基础信息!$I$70:$M$85,MATCH($S8,基础信息!$F$70:$F$85,1),))*求节点(基础信息!$F$70:$F$85,基础信息!$G$70:$G$85,$S8),0)</f>
        <v>0</v>
      </c>
      <c r="X8" s="111">
        <f>IFERROR(求节点(基础信息!$F$90:$F$105,基础信息!$G$90:$G$105,$S8),0)*SUMPRODUCT(INDEX($D$5:$H$34,IFERROR(MATCH(求节点(基础信息!$F$90:$F$105,基础信息!$H$90:$H$105,$S8),$C$5:$C$34,1),1),),INDEX(基础信息!$I$90:$M$105,IFERROR(MATCH($S8,基础信息!$F$90:$F$105,1),1),))+IFERROR(SUMPRODUCT(INDEX(门客进修!$AE$85:$AI$100,MATCH($S8,基础信息!$F$90:$F$105,1),),INDEX(基础信息!$N$90:$R$105,MATCH($S8,基础信息!$F$90:$F$105,1),),INDEX(基础信息!$I$90:$M$105,MATCH($S8,基础信息!$F$90:$F$105,1),))*求节点(基础信息!$F$90:$F$105,基础信息!$G$90:$G$105,$S8),0)</f>
        <v>0</v>
      </c>
    </row>
    <row r="9" spans="3:24" x14ac:dyDescent="0.15">
      <c r="C9" s="111">
        <v>5</v>
      </c>
      <c r="D9" s="111">
        <f t="shared" si="1"/>
        <v>700</v>
      </c>
      <c r="E9" s="111">
        <f t="shared" si="2"/>
        <v>1400</v>
      </c>
      <c r="F9" s="111">
        <f t="shared" si="3"/>
        <v>2800</v>
      </c>
      <c r="G9" s="111">
        <f t="shared" si="4"/>
        <v>7000</v>
      </c>
      <c r="H9" s="111">
        <f t="shared" si="5"/>
        <v>14000</v>
      </c>
      <c r="S9" s="111">
        <v>5</v>
      </c>
      <c r="T9" s="111">
        <f>IFERROR(求节点(基础信息!$F$10:$F$25,基础信息!$G$10:$G$25,$S9),0)*SUMPRODUCT(INDEX($D$5:$H$34,IFERROR(MATCH(求节点(基础信息!$F$10:$F$25,基础信息!$H$10:$H$25,$S9),$C$5:$C$34,1),1),),INDEX(基础信息!$I$10:$M$25,IFERROR(MATCH($S9,基础信息!$F$10:$F$25,1),1),))+IFERROR(SUMPRODUCT(INDEX(门客进修!$AE$5:$AI$20,MATCH($S9,基础信息!$F$10:$F$25,1),),INDEX(基础信息!$N$10:$R$25,MATCH($S9,基础信息!$F$10:$F$25,1),),INDEX(基础信息!$I$10:$M$25,MATCH($S9,基础信息!$F$10:$F$25,1),))*求节点(基础信息!$F$10:$F$25,基础信息!$G$10:$G$25,$S9),0)</f>
        <v>0</v>
      </c>
      <c r="U9" s="111">
        <f>IFERROR(求节点(基础信息!$F$30:$F$45,基础信息!$G$30:$G$45,$S9),0)*SUMPRODUCT(INDEX($D$5:$H$34,IFERROR(MATCH(求节点(基础信息!$F$30:$F$45,基础信息!$H$30:$H$45,$S9),$C$5:$C$34,1),1),),INDEX(基础信息!$I$30:$M$45,IFERROR(MATCH($S9,基础信息!$F$30:$F$45,1),1),))+IFERROR(SUMPRODUCT(INDEX(门客进修!$AE$25:$AI$40,MATCH($S9,基础信息!$F$30:$F$45,1),),INDEX(基础信息!$N$30:$R$45,MATCH($S9,基础信息!$F$30:$F$45,1),),INDEX(基础信息!$I$30:$M$45,MATCH($S9,基础信息!$F$30:$F$45,1),))*求节点(基础信息!$F$30:$F$45,基础信息!$G$30:$G$45,$S9),0)</f>
        <v>0</v>
      </c>
      <c r="V9" s="111">
        <f>IFERROR(求节点(基础信息!$F$50:$F$65,基础信息!$G$50:$G$65,$S9),0)*SUMPRODUCT(INDEX($D$5:$H$34,IFERROR(MATCH(求节点(基础信息!$F$50:$F$65,基础信息!$H$50:$H$65,$S9),$C$5:$C$34,1),1),),INDEX(基础信息!$I$50:$M$65,IFERROR(MATCH($S9,基础信息!$F$50:$F$65,1),1),))+IFERROR(SUMPRODUCT(INDEX(门客进修!$AE$45:$AI$60,MATCH($S9,基础信息!$F$50:$F$65,1),),INDEX(基础信息!$N$50:$R$65,MATCH($S9,基础信息!$F$50:$F$65,1),),INDEX(基础信息!$I$50:$M$65,MATCH($S9,基础信息!$F$50:$F$65,1),))*求节点(基础信息!$F$50:$F$65,基础信息!$G$50:$G$65,$S9),0)</f>
        <v>0</v>
      </c>
      <c r="W9" s="111">
        <f>IFERROR(求节点(基础信息!$F$70:$F$85,基础信息!$G$70:$G$85,$S9),0)*SUMPRODUCT(INDEX($D$5:$H$34,IFERROR(MATCH(求节点(基础信息!$F$70:$F$85,基础信息!$H$70:$H$85,$S9),$C$5:$C$34,1),1),),INDEX(基础信息!$I$70:$M$85,IFERROR(MATCH($S9,基础信息!$F$70:$F$85,1),1),))+IFERROR(SUMPRODUCT(INDEX(门客进修!$AE$65:$AI$80,MATCH($S9,基础信息!$F$70:$F$85,1),),INDEX(基础信息!$N$70:$R$85,MATCH($S9,基础信息!$F$70:$F$85,1),),INDEX(基础信息!$I$70:$M$85,MATCH($S9,基础信息!$F$70:$F$85,1),))*求节点(基础信息!$F$70:$F$85,基础信息!$G$70:$G$85,$S9),0)</f>
        <v>0</v>
      </c>
      <c r="X9" s="111">
        <f>IFERROR(求节点(基础信息!$F$90:$F$105,基础信息!$G$90:$G$105,$S9),0)*SUMPRODUCT(INDEX($D$5:$H$34,IFERROR(MATCH(求节点(基础信息!$F$90:$F$105,基础信息!$H$90:$H$105,$S9),$C$5:$C$34,1),1),),INDEX(基础信息!$I$90:$M$105,IFERROR(MATCH($S9,基础信息!$F$90:$F$105,1),1),))+IFERROR(SUMPRODUCT(INDEX(门客进修!$AE$85:$AI$100,MATCH($S9,基础信息!$F$90:$F$105,1),),INDEX(基础信息!$N$90:$R$105,MATCH($S9,基础信息!$F$90:$F$105,1),),INDEX(基础信息!$I$90:$M$105,MATCH($S9,基础信息!$F$90:$F$105,1),))*求节点(基础信息!$F$90:$F$105,基础信息!$G$90:$G$105,$S9),0)</f>
        <v>0</v>
      </c>
    </row>
    <row r="10" spans="3:24" x14ac:dyDescent="0.15">
      <c r="C10" s="111">
        <v>6</v>
      </c>
      <c r="D10" s="111">
        <f t="shared" si="1"/>
        <v>750</v>
      </c>
      <c r="E10" s="111">
        <f t="shared" si="2"/>
        <v>1500</v>
      </c>
      <c r="F10" s="111">
        <f t="shared" si="3"/>
        <v>3000</v>
      </c>
      <c r="G10" s="111">
        <f t="shared" si="4"/>
        <v>7500</v>
      </c>
      <c r="H10" s="111">
        <f t="shared" si="5"/>
        <v>15000</v>
      </c>
      <c r="S10" s="111">
        <v>6</v>
      </c>
      <c r="T10" s="111">
        <f>IFERROR(求节点(基础信息!$F$10:$F$25,基础信息!$G$10:$G$25,$S10),0)*SUMPRODUCT(INDEX($D$5:$H$34,IFERROR(MATCH(求节点(基础信息!$F$10:$F$25,基础信息!$H$10:$H$25,$S10),$C$5:$C$34,1),1),),INDEX(基础信息!$I$10:$M$25,IFERROR(MATCH($S10,基础信息!$F$10:$F$25,1),1),))+IFERROR(SUMPRODUCT(INDEX(门客进修!$AE$5:$AI$20,MATCH($S10,基础信息!$F$10:$F$25,1),),INDEX(基础信息!$N$10:$R$25,MATCH($S10,基础信息!$F$10:$F$25,1),),INDEX(基础信息!$I$10:$M$25,MATCH($S10,基础信息!$F$10:$F$25,1),))*求节点(基础信息!$F$10:$F$25,基础信息!$G$10:$G$25,$S10),0)</f>
        <v>0</v>
      </c>
      <c r="U10" s="111">
        <f>IFERROR(求节点(基础信息!$F$30:$F$45,基础信息!$G$30:$G$45,$S10),0)*SUMPRODUCT(INDEX($D$5:$H$34,IFERROR(MATCH(求节点(基础信息!$F$30:$F$45,基础信息!$H$30:$H$45,$S10),$C$5:$C$34,1),1),),INDEX(基础信息!$I$30:$M$45,IFERROR(MATCH($S10,基础信息!$F$30:$F$45,1),1),))+IFERROR(SUMPRODUCT(INDEX(门客进修!$AE$25:$AI$40,MATCH($S10,基础信息!$F$30:$F$45,1),),INDEX(基础信息!$N$30:$R$45,MATCH($S10,基础信息!$F$30:$F$45,1),),INDEX(基础信息!$I$30:$M$45,MATCH($S10,基础信息!$F$30:$F$45,1),))*求节点(基础信息!$F$30:$F$45,基础信息!$G$30:$G$45,$S10),0)</f>
        <v>0</v>
      </c>
      <c r="V10" s="111">
        <f>IFERROR(求节点(基础信息!$F$50:$F$65,基础信息!$G$50:$G$65,$S10),0)*SUMPRODUCT(INDEX($D$5:$H$34,IFERROR(MATCH(求节点(基础信息!$F$50:$F$65,基础信息!$H$50:$H$65,$S10),$C$5:$C$34,1),1),),INDEX(基础信息!$I$50:$M$65,IFERROR(MATCH($S10,基础信息!$F$50:$F$65,1),1),))+IFERROR(SUMPRODUCT(INDEX(门客进修!$AE$45:$AI$60,MATCH($S10,基础信息!$F$50:$F$65,1),),INDEX(基础信息!$N$50:$R$65,MATCH($S10,基础信息!$F$50:$F$65,1),),INDEX(基础信息!$I$50:$M$65,MATCH($S10,基础信息!$F$50:$F$65,1),))*求节点(基础信息!$F$50:$F$65,基础信息!$G$50:$G$65,$S10),0)</f>
        <v>0</v>
      </c>
      <c r="W10" s="111">
        <f>IFERROR(求节点(基础信息!$F$70:$F$85,基础信息!$G$70:$G$85,$S10),0)*SUMPRODUCT(INDEX($D$5:$H$34,IFERROR(MATCH(求节点(基础信息!$F$70:$F$85,基础信息!$H$70:$H$85,$S10),$C$5:$C$34,1),1),),INDEX(基础信息!$I$70:$M$85,IFERROR(MATCH($S10,基础信息!$F$70:$F$85,1),1),))+IFERROR(SUMPRODUCT(INDEX(门客进修!$AE$65:$AI$80,MATCH($S10,基础信息!$F$70:$F$85,1),),INDEX(基础信息!$N$70:$R$85,MATCH($S10,基础信息!$F$70:$F$85,1),),INDEX(基础信息!$I$70:$M$85,MATCH($S10,基础信息!$F$70:$F$85,1),))*求节点(基础信息!$F$70:$F$85,基础信息!$G$70:$G$85,$S10),0)</f>
        <v>0</v>
      </c>
      <c r="X10" s="111">
        <f>IFERROR(求节点(基础信息!$F$90:$F$105,基础信息!$G$90:$G$105,$S10),0)*SUMPRODUCT(INDEX($D$5:$H$34,IFERROR(MATCH(求节点(基础信息!$F$90:$F$105,基础信息!$H$90:$H$105,$S10),$C$5:$C$34,1),1),),INDEX(基础信息!$I$90:$M$105,IFERROR(MATCH($S10,基础信息!$F$90:$F$105,1),1),))+IFERROR(SUMPRODUCT(INDEX(门客进修!$AE$85:$AI$100,MATCH($S10,基础信息!$F$90:$F$105,1),),INDEX(基础信息!$N$90:$R$105,MATCH($S10,基础信息!$F$90:$F$105,1),),INDEX(基础信息!$I$90:$M$105,MATCH($S10,基础信息!$F$90:$F$105,1),))*求节点(基础信息!$F$90:$F$105,基础信息!$G$90:$G$105,$S10),0)</f>
        <v>0</v>
      </c>
    </row>
    <row r="11" spans="3:24" x14ac:dyDescent="0.15">
      <c r="C11" s="111">
        <v>7</v>
      </c>
      <c r="D11" s="111">
        <f t="shared" si="1"/>
        <v>800</v>
      </c>
      <c r="E11" s="111">
        <f t="shared" si="2"/>
        <v>1600</v>
      </c>
      <c r="F11" s="111">
        <f t="shared" si="3"/>
        <v>3200</v>
      </c>
      <c r="G11" s="111">
        <f t="shared" si="4"/>
        <v>8000</v>
      </c>
      <c r="H11" s="111">
        <f t="shared" si="5"/>
        <v>16000</v>
      </c>
      <c r="S11" s="111">
        <v>7</v>
      </c>
      <c r="T11" s="111">
        <f>IFERROR(求节点(基础信息!$F$10:$F$25,基础信息!$G$10:$G$25,$S11),0)*SUMPRODUCT(INDEX($D$5:$H$34,IFERROR(MATCH(求节点(基础信息!$F$10:$F$25,基础信息!$H$10:$H$25,$S11),$C$5:$C$34,1),1),),INDEX(基础信息!$I$10:$M$25,IFERROR(MATCH($S11,基础信息!$F$10:$F$25,1),1),))+IFERROR(SUMPRODUCT(INDEX(门客进修!$AE$5:$AI$20,MATCH($S11,基础信息!$F$10:$F$25,1),),INDEX(基础信息!$N$10:$R$25,MATCH($S11,基础信息!$F$10:$F$25,1),),INDEX(基础信息!$I$10:$M$25,MATCH($S11,基础信息!$F$10:$F$25,1),))*求节点(基础信息!$F$10:$F$25,基础信息!$G$10:$G$25,$S11),0)</f>
        <v>0</v>
      </c>
      <c r="U11" s="111">
        <f>IFERROR(求节点(基础信息!$F$30:$F$45,基础信息!$G$30:$G$45,$S11),0)*SUMPRODUCT(INDEX($D$5:$H$34,IFERROR(MATCH(求节点(基础信息!$F$30:$F$45,基础信息!$H$30:$H$45,$S11),$C$5:$C$34,1),1),),INDEX(基础信息!$I$30:$M$45,IFERROR(MATCH($S11,基础信息!$F$30:$F$45,1),1),))+IFERROR(SUMPRODUCT(INDEX(门客进修!$AE$25:$AI$40,MATCH($S11,基础信息!$F$30:$F$45,1),),INDEX(基础信息!$N$30:$R$45,MATCH($S11,基础信息!$F$30:$F$45,1),),INDEX(基础信息!$I$30:$M$45,MATCH($S11,基础信息!$F$30:$F$45,1),))*求节点(基础信息!$F$30:$F$45,基础信息!$G$30:$G$45,$S11),0)</f>
        <v>0</v>
      </c>
      <c r="V11" s="111">
        <f>IFERROR(求节点(基础信息!$F$50:$F$65,基础信息!$G$50:$G$65,$S11),0)*SUMPRODUCT(INDEX($D$5:$H$34,IFERROR(MATCH(求节点(基础信息!$F$50:$F$65,基础信息!$H$50:$H$65,$S11),$C$5:$C$34,1),1),),INDEX(基础信息!$I$50:$M$65,IFERROR(MATCH($S11,基础信息!$F$50:$F$65,1),1),))+IFERROR(SUMPRODUCT(INDEX(门客进修!$AE$45:$AI$60,MATCH($S11,基础信息!$F$50:$F$65,1),),INDEX(基础信息!$N$50:$R$65,MATCH($S11,基础信息!$F$50:$F$65,1),),INDEX(基础信息!$I$50:$M$65,MATCH($S11,基础信息!$F$50:$F$65,1),))*求节点(基础信息!$F$50:$F$65,基础信息!$G$50:$G$65,$S11),0)</f>
        <v>0</v>
      </c>
      <c r="W11" s="111">
        <f>IFERROR(求节点(基础信息!$F$70:$F$85,基础信息!$G$70:$G$85,$S11),0)*SUMPRODUCT(INDEX($D$5:$H$34,IFERROR(MATCH(求节点(基础信息!$F$70:$F$85,基础信息!$H$70:$H$85,$S11),$C$5:$C$34,1),1),),INDEX(基础信息!$I$70:$M$85,IFERROR(MATCH($S11,基础信息!$F$70:$F$85,1),1),))+IFERROR(SUMPRODUCT(INDEX(门客进修!$AE$65:$AI$80,MATCH($S11,基础信息!$F$70:$F$85,1),),INDEX(基础信息!$N$70:$R$85,MATCH($S11,基础信息!$F$70:$F$85,1),),INDEX(基础信息!$I$70:$M$85,MATCH($S11,基础信息!$F$70:$F$85,1),))*求节点(基础信息!$F$70:$F$85,基础信息!$G$70:$G$85,$S11),0)</f>
        <v>0</v>
      </c>
      <c r="X11" s="111">
        <f>IFERROR(求节点(基础信息!$F$90:$F$105,基础信息!$G$90:$G$105,$S11),0)*SUMPRODUCT(INDEX($D$5:$H$34,IFERROR(MATCH(求节点(基础信息!$F$90:$F$105,基础信息!$H$90:$H$105,$S11),$C$5:$C$34,1),1),),INDEX(基础信息!$I$90:$M$105,IFERROR(MATCH($S11,基础信息!$F$90:$F$105,1),1),))+IFERROR(SUMPRODUCT(INDEX(门客进修!$AE$85:$AI$100,MATCH($S11,基础信息!$F$90:$F$105,1),),INDEX(基础信息!$N$90:$R$105,MATCH($S11,基础信息!$F$90:$F$105,1),),INDEX(基础信息!$I$90:$M$105,MATCH($S11,基础信息!$F$90:$F$105,1),))*求节点(基础信息!$F$90:$F$105,基础信息!$G$90:$G$105,$S11),0)</f>
        <v>0</v>
      </c>
    </row>
    <row r="12" spans="3:24" x14ac:dyDescent="0.15">
      <c r="C12" s="111">
        <v>8</v>
      </c>
      <c r="D12" s="111">
        <f t="shared" si="1"/>
        <v>850</v>
      </c>
      <c r="E12" s="111">
        <f t="shared" si="2"/>
        <v>1700</v>
      </c>
      <c r="F12" s="111">
        <f t="shared" si="3"/>
        <v>3400</v>
      </c>
      <c r="G12" s="111">
        <f t="shared" si="4"/>
        <v>8500</v>
      </c>
      <c r="H12" s="111">
        <f t="shared" si="5"/>
        <v>17000</v>
      </c>
      <c r="S12" s="111">
        <v>8</v>
      </c>
      <c r="T12" s="111">
        <f>IFERROR(求节点(基础信息!$F$10:$F$25,基础信息!$G$10:$G$25,$S12),0)*SUMPRODUCT(INDEX($D$5:$H$34,IFERROR(MATCH(求节点(基础信息!$F$10:$F$25,基础信息!$H$10:$H$25,$S12),$C$5:$C$34,1),1),),INDEX(基础信息!$I$10:$M$25,IFERROR(MATCH($S12,基础信息!$F$10:$F$25,1),1),))+IFERROR(SUMPRODUCT(INDEX(门客进修!$AE$5:$AI$20,MATCH($S12,基础信息!$F$10:$F$25,1),),INDEX(基础信息!$N$10:$R$25,MATCH($S12,基础信息!$F$10:$F$25,1),),INDEX(基础信息!$I$10:$M$25,MATCH($S12,基础信息!$F$10:$F$25,1),))*求节点(基础信息!$F$10:$F$25,基础信息!$G$10:$G$25,$S12),0)</f>
        <v>0</v>
      </c>
      <c r="U12" s="111">
        <f>IFERROR(求节点(基础信息!$F$30:$F$45,基础信息!$G$30:$G$45,$S12),0)*SUMPRODUCT(INDEX($D$5:$H$34,IFERROR(MATCH(求节点(基础信息!$F$30:$F$45,基础信息!$H$30:$H$45,$S12),$C$5:$C$34,1),1),),INDEX(基础信息!$I$30:$M$45,IFERROR(MATCH($S12,基础信息!$F$30:$F$45,1),1),))+IFERROR(SUMPRODUCT(INDEX(门客进修!$AE$25:$AI$40,MATCH($S12,基础信息!$F$30:$F$45,1),),INDEX(基础信息!$N$30:$R$45,MATCH($S12,基础信息!$F$30:$F$45,1),),INDEX(基础信息!$I$30:$M$45,MATCH($S12,基础信息!$F$30:$F$45,1),))*求节点(基础信息!$F$30:$F$45,基础信息!$G$30:$G$45,$S12),0)</f>
        <v>0</v>
      </c>
      <c r="V12" s="111">
        <f>IFERROR(求节点(基础信息!$F$50:$F$65,基础信息!$G$50:$G$65,$S12),0)*SUMPRODUCT(INDEX($D$5:$H$34,IFERROR(MATCH(求节点(基础信息!$F$50:$F$65,基础信息!$H$50:$H$65,$S12),$C$5:$C$34,1),1),),INDEX(基础信息!$I$50:$M$65,IFERROR(MATCH($S12,基础信息!$F$50:$F$65,1),1),))+IFERROR(SUMPRODUCT(INDEX(门客进修!$AE$45:$AI$60,MATCH($S12,基础信息!$F$50:$F$65,1),),INDEX(基础信息!$N$50:$R$65,MATCH($S12,基础信息!$F$50:$F$65,1),),INDEX(基础信息!$I$50:$M$65,MATCH($S12,基础信息!$F$50:$F$65,1),))*求节点(基础信息!$F$50:$F$65,基础信息!$G$50:$G$65,$S12),0)</f>
        <v>0</v>
      </c>
      <c r="W12" s="111">
        <f>IFERROR(求节点(基础信息!$F$70:$F$85,基础信息!$G$70:$G$85,$S12),0)*SUMPRODUCT(INDEX($D$5:$H$34,IFERROR(MATCH(求节点(基础信息!$F$70:$F$85,基础信息!$H$70:$H$85,$S12),$C$5:$C$34,1),1),),INDEX(基础信息!$I$70:$M$85,IFERROR(MATCH($S12,基础信息!$F$70:$F$85,1),1),))+IFERROR(SUMPRODUCT(INDEX(门客进修!$AE$65:$AI$80,MATCH($S12,基础信息!$F$70:$F$85,1),),INDEX(基础信息!$N$70:$R$85,MATCH($S12,基础信息!$F$70:$F$85,1),),INDEX(基础信息!$I$70:$M$85,MATCH($S12,基础信息!$F$70:$F$85,1),))*求节点(基础信息!$F$70:$F$85,基础信息!$G$70:$G$85,$S12),0)</f>
        <v>0</v>
      </c>
      <c r="X12" s="111">
        <f>IFERROR(求节点(基础信息!$F$90:$F$105,基础信息!$G$90:$G$105,$S12),0)*SUMPRODUCT(INDEX($D$5:$H$34,IFERROR(MATCH(求节点(基础信息!$F$90:$F$105,基础信息!$H$90:$H$105,$S12),$C$5:$C$34,1),1),),INDEX(基础信息!$I$90:$M$105,IFERROR(MATCH($S12,基础信息!$F$90:$F$105,1),1),))+IFERROR(SUMPRODUCT(INDEX(门客进修!$AE$85:$AI$100,MATCH($S12,基础信息!$F$90:$F$105,1),),INDEX(基础信息!$N$90:$R$105,MATCH($S12,基础信息!$F$90:$F$105,1),),INDEX(基础信息!$I$90:$M$105,MATCH($S12,基础信息!$F$90:$F$105,1),))*求节点(基础信息!$F$90:$F$105,基础信息!$G$90:$G$105,$S12),0)</f>
        <v>0</v>
      </c>
    </row>
    <row r="13" spans="3:24" x14ac:dyDescent="0.15">
      <c r="C13" s="111">
        <v>9</v>
      </c>
      <c r="D13" s="111">
        <f t="shared" si="1"/>
        <v>900</v>
      </c>
      <c r="E13" s="111">
        <f t="shared" si="2"/>
        <v>1800</v>
      </c>
      <c r="F13" s="111">
        <f t="shared" si="3"/>
        <v>3600</v>
      </c>
      <c r="G13" s="111">
        <f t="shared" si="4"/>
        <v>9000</v>
      </c>
      <c r="H13" s="111">
        <f t="shared" si="5"/>
        <v>18000</v>
      </c>
      <c r="S13" s="111">
        <v>9</v>
      </c>
      <c r="T13" s="111">
        <f>IFERROR(求节点(基础信息!$F$10:$F$25,基础信息!$G$10:$G$25,$S13),0)*SUMPRODUCT(INDEX($D$5:$H$34,IFERROR(MATCH(求节点(基础信息!$F$10:$F$25,基础信息!$H$10:$H$25,$S13),$C$5:$C$34,1),1),),INDEX(基础信息!$I$10:$M$25,IFERROR(MATCH($S13,基础信息!$F$10:$F$25,1),1),))+IFERROR(SUMPRODUCT(INDEX(门客进修!$AE$5:$AI$20,MATCH($S13,基础信息!$F$10:$F$25,1),),INDEX(基础信息!$N$10:$R$25,MATCH($S13,基础信息!$F$10:$F$25,1),),INDEX(基础信息!$I$10:$M$25,MATCH($S13,基础信息!$F$10:$F$25,1),))*求节点(基础信息!$F$10:$F$25,基础信息!$G$10:$G$25,$S13),0)</f>
        <v>0</v>
      </c>
      <c r="U13" s="111">
        <f>IFERROR(求节点(基础信息!$F$30:$F$45,基础信息!$G$30:$G$45,$S13),0)*SUMPRODUCT(INDEX($D$5:$H$34,IFERROR(MATCH(求节点(基础信息!$F$30:$F$45,基础信息!$H$30:$H$45,$S13),$C$5:$C$34,1),1),),INDEX(基础信息!$I$30:$M$45,IFERROR(MATCH($S13,基础信息!$F$30:$F$45,1),1),))+IFERROR(SUMPRODUCT(INDEX(门客进修!$AE$25:$AI$40,MATCH($S13,基础信息!$F$30:$F$45,1),),INDEX(基础信息!$N$30:$R$45,MATCH($S13,基础信息!$F$30:$F$45,1),),INDEX(基础信息!$I$30:$M$45,MATCH($S13,基础信息!$F$30:$F$45,1),))*求节点(基础信息!$F$30:$F$45,基础信息!$G$30:$G$45,$S13),0)</f>
        <v>0</v>
      </c>
      <c r="V13" s="111">
        <f>IFERROR(求节点(基础信息!$F$50:$F$65,基础信息!$G$50:$G$65,$S13),0)*SUMPRODUCT(INDEX($D$5:$H$34,IFERROR(MATCH(求节点(基础信息!$F$50:$F$65,基础信息!$H$50:$H$65,$S13),$C$5:$C$34,1),1),),INDEX(基础信息!$I$50:$M$65,IFERROR(MATCH($S13,基础信息!$F$50:$F$65,1),1),))+IFERROR(SUMPRODUCT(INDEX(门客进修!$AE$45:$AI$60,MATCH($S13,基础信息!$F$50:$F$65,1),),INDEX(基础信息!$N$50:$R$65,MATCH($S13,基础信息!$F$50:$F$65,1),),INDEX(基础信息!$I$50:$M$65,MATCH($S13,基础信息!$F$50:$F$65,1),))*求节点(基础信息!$F$50:$F$65,基础信息!$G$50:$G$65,$S13),0)</f>
        <v>0</v>
      </c>
      <c r="W13" s="111">
        <f>IFERROR(求节点(基础信息!$F$70:$F$85,基础信息!$G$70:$G$85,$S13),0)*SUMPRODUCT(INDEX($D$5:$H$34,IFERROR(MATCH(求节点(基础信息!$F$70:$F$85,基础信息!$H$70:$H$85,$S13),$C$5:$C$34,1),1),),INDEX(基础信息!$I$70:$M$85,IFERROR(MATCH($S13,基础信息!$F$70:$F$85,1),1),))+IFERROR(SUMPRODUCT(INDEX(门客进修!$AE$65:$AI$80,MATCH($S13,基础信息!$F$70:$F$85,1),),INDEX(基础信息!$N$70:$R$85,MATCH($S13,基础信息!$F$70:$F$85,1),),INDEX(基础信息!$I$70:$M$85,MATCH($S13,基础信息!$F$70:$F$85,1),))*求节点(基础信息!$F$70:$F$85,基础信息!$G$70:$G$85,$S13),0)</f>
        <v>0</v>
      </c>
      <c r="X13" s="111">
        <f>IFERROR(求节点(基础信息!$F$90:$F$105,基础信息!$G$90:$G$105,$S13),0)*SUMPRODUCT(INDEX($D$5:$H$34,IFERROR(MATCH(求节点(基础信息!$F$90:$F$105,基础信息!$H$90:$H$105,$S13),$C$5:$C$34,1),1),),INDEX(基础信息!$I$90:$M$105,IFERROR(MATCH($S13,基础信息!$F$90:$F$105,1),1),))+IFERROR(SUMPRODUCT(INDEX(门客进修!$AE$85:$AI$100,MATCH($S13,基础信息!$F$90:$F$105,1),),INDEX(基础信息!$N$90:$R$105,MATCH($S13,基础信息!$F$90:$F$105,1),),INDEX(基础信息!$I$90:$M$105,MATCH($S13,基础信息!$F$90:$F$105,1),))*求节点(基础信息!$F$90:$F$105,基础信息!$G$90:$G$105,$S13),0)</f>
        <v>0</v>
      </c>
    </row>
    <row r="14" spans="3:24" x14ac:dyDescent="0.15">
      <c r="C14" s="111">
        <v>10</v>
      </c>
      <c r="D14" s="111">
        <f t="shared" si="1"/>
        <v>950</v>
      </c>
      <c r="E14" s="111">
        <f t="shared" si="2"/>
        <v>1900</v>
      </c>
      <c r="F14" s="111">
        <f t="shared" si="3"/>
        <v>3800</v>
      </c>
      <c r="G14" s="111">
        <f t="shared" si="4"/>
        <v>9500</v>
      </c>
      <c r="H14" s="111">
        <f t="shared" si="5"/>
        <v>19000</v>
      </c>
      <c r="S14" s="111">
        <v>10</v>
      </c>
      <c r="T14" s="111">
        <f>IFERROR(求节点(基础信息!$F$10:$F$25,基础信息!$G$10:$G$25,$S14),0)*SUMPRODUCT(INDEX($D$5:$H$34,IFERROR(MATCH(求节点(基础信息!$F$10:$F$25,基础信息!$H$10:$H$25,$S14),$C$5:$C$34,1),1),),INDEX(基础信息!$I$10:$M$25,IFERROR(MATCH($S14,基础信息!$F$10:$F$25,1),1),))+IFERROR(SUMPRODUCT(INDEX(门客进修!$AE$5:$AI$20,MATCH($S14,基础信息!$F$10:$F$25,1),),INDEX(基础信息!$N$10:$R$25,MATCH($S14,基础信息!$F$10:$F$25,1),),INDEX(基础信息!$I$10:$M$25,MATCH($S14,基础信息!$F$10:$F$25,1),))*求节点(基础信息!$F$10:$F$25,基础信息!$G$10:$G$25,$S14),0)</f>
        <v>0</v>
      </c>
      <c r="U14" s="111">
        <f>IFERROR(求节点(基础信息!$F$30:$F$45,基础信息!$G$30:$G$45,$S14),0)*SUMPRODUCT(INDEX($D$5:$H$34,IFERROR(MATCH(求节点(基础信息!$F$30:$F$45,基础信息!$H$30:$H$45,$S14),$C$5:$C$34,1),1),),INDEX(基础信息!$I$30:$M$45,IFERROR(MATCH($S14,基础信息!$F$30:$F$45,1),1),))+IFERROR(SUMPRODUCT(INDEX(门客进修!$AE$25:$AI$40,MATCH($S14,基础信息!$F$30:$F$45,1),),INDEX(基础信息!$N$30:$R$45,MATCH($S14,基础信息!$F$30:$F$45,1),),INDEX(基础信息!$I$30:$M$45,MATCH($S14,基础信息!$F$30:$F$45,1),))*求节点(基础信息!$F$30:$F$45,基础信息!$G$30:$G$45,$S14),0)</f>
        <v>0</v>
      </c>
      <c r="V14" s="111">
        <f>IFERROR(求节点(基础信息!$F$50:$F$65,基础信息!$G$50:$G$65,$S14),0)*SUMPRODUCT(INDEX($D$5:$H$34,IFERROR(MATCH(求节点(基础信息!$F$50:$F$65,基础信息!$H$50:$H$65,$S14),$C$5:$C$34,1),1),),INDEX(基础信息!$I$50:$M$65,IFERROR(MATCH($S14,基础信息!$F$50:$F$65,1),1),))+IFERROR(SUMPRODUCT(INDEX(门客进修!$AE$45:$AI$60,MATCH($S14,基础信息!$F$50:$F$65,1),),INDEX(基础信息!$N$50:$R$65,MATCH($S14,基础信息!$F$50:$F$65,1),),INDEX(基础信息!$I$50:$M$65,MATCH($S14,基础信息!$F$50:$F$65,1),))*求节点(基础信息!$F$50:$F$65,基础信息!$G$50:$G$65,$S14),0)</f>
        <v>0</v>
      </c>
      <c r="W14" s="111">
        <f>IFERROR(求节点(基础信息!$F$70:$F$85,基础信息!$G$70:$G$85,$S14),0)*SUMPRODUCT(INDEX($D$5:$H$34,IFERROR(MATCH(求节点(基础信息!$F$70:$F$85,基础信息!$H$70:$H$85,$S14),$C$5:$C$34,1),1),),INDEX(基础信息!$I$70:$M$85,IFERROR(MATCH($S14,基础信息!$F$70:$F$85,1),1),))+IFERROR(SUMPRODUCT(INDEX(门客进修!$AE$65:$AI$80,MATCH($S14,基础信息!$F$70:$F$85,1),),INDEX(基础信息!$N$70:$R$85,MATCH($S14,基础信息!$F$70:$F$85,1),),INDEX(基础信息!$I$70:$M$85,MATCH($S14,基础信息!$F$70:$F$85,1),))*求节点(基础信息!$F$70:$F$85,基础信息!$G$70:$G$85,$S14),0)</f>
        <v>0</v>
      </c>
      <c r="X14" s="111">
        <f>IFERROR(求节点(基础信息!$F$90:$F$105,基础信息!$G$90:$G$105,$S14),0)*SUMPRODUCT(INDEX($D$5:$H$34,IFERROR(MATCH(求节点(基础信息!$F$90:$F$105,基础信息!$H$90:$H$105,$S14),$C$5:$C$34,1),1),),INDEX(基础信息!$I$90:$M$105,IFERROR(MATCH($S14,基础信息!$F$90:$F$105,1),1),))+IFERROR(SUMPRODUCT(INDEX(门客进修!$AE$85:$AI$100,MATCH($S14,基础信息!$F$90:$F$105,1),),INDEX(基础信息!$N$90:$R$105,MATCH($S14,基础信息!$F$90:$F$105,1),),INDEX(基础信息!$I$90:$M$105,MATCH($S14,基础信息!$F$90:$F$105,1),))*求节点(基础信息!$F$90:$F$105,基础信息!$G$90:$G$105,$S14),0)</f>
        <v>0</v>
      </c>
    </row>
    <row r="15" spans="3:24" x14ac:dyDescent="0.15">
      <c r="C15" s="111">
        <v>11</v>
      </c>
      <c r="D15" s="111">
        <f t="shared" si="1"/>
        <v>1000</v>
      </c>
      <c r="E15" s="111">
        <f t="shared" si="2"/>
        <v>2000</v>
      </c>
      <c r="F15" s="111">
        <f t="shared" si="3"/>
        <v>4000</v>
      </c>
      <c r="G15" s="111">
        <f t="shared" si="4"/>
        <v>10000</v>
      </c>
      <c r="H15" s="111">
        <f t="shared" si="5"/>
        <v>20000</v>
      </c>
      <c r="S15" s="111">
        <v>11</v>
      </c>
      <c r="T15" s="111">
        <f>IFERROR(求节点(基础信息!$F$10:$F$25,基础信息!$G$10:$G$25,$S15),0)*SUMPRODUCT(INDEX($D$5:$H$34,IFERROR(MATCH(求节点(基础信息!$F$10:$F$25,基础信息!$H$10:$H$25,$S15),$C$5:$C$34,1),1),),INDEX(基础信息!$I$10:$M$25,IFERROR(MATCH($S15,基础信息!$F$10:$F$25,1),1),))+IFERROR(SUMPRODUCT(INDEX(门客进修!$AE$5:$AI$20,MATCH($S15,基础信息!$F$10:$F$25,1),),INDEX(基础信息!$N$10:$R$25,MATCH($S15,基础信息!$F$10:$F$25,1),),INDEX(基础信息!$I$10:$M$25,MATCH($S15,基础信息!$F$10:$F$25,1),))*求节点(基础信息!$F$10:$F$25,基础信息!$G$10:$G$25,$S15),0)</f>
        <v>0</v>
      </c>
      <c r="U15" s="111">
        <f>IFERROR(求节点(基础信息!$F$30:$F$45,基础信息!$G$30:$G$45,$S15),0)*SUMPRODUCT(INDEX($D$5:$H$34,IFERROR(MATCH(求节点(基础信息!$F$30:$F$45,基础信息!$H$30:$H$45,$S15),$C$5:$C$34,1),1),),INDEX(基础信息!$I$30:$M$45,IFERROR(MATCH($S15,基础信息!$F$30:$F$45,1),1),))+IFERROR(SUMPRODUCT(INDEX(门客进修!$AE$25:$AI$40,MATCH($S15,基础信息!$F$30:$F$45,1),),INDEX(基础信息!$N$30:$R$45,MATCH($S15,基础信息!$F$30:$F$45,1),),INDEX(基础信息!$I$30:$M$45,MATCH($S15,基础信息!$F$30:$F$45,1),))*求节点(基础信息!$F$30:$F$45,基础信息!$G$30:$G$45,$S15),0)</f>
        <v>0</v>
      </c>
      <c r="V15" s="111">
        <f>IFERROR(求节点(基础信息!$F$50:$F$65,基础信息!$G$50:$G$65,$S15),0)*SUMPRODUCT(INDEX($D$5:$H$34,IFERROR(MATCH(求节点(基础信息!$F$50:$F$65,基础信息!$H$50:$H$65,$S15),$C$5:$C$34,1),1),),INDEX(基础信息!$I$50:$M$65,IFERROR(MATCH($S15,基础信息!$F$50:$F$65,1),1),))+IFERROR(SUMPRODUCT(INDEX(门客进修!$AE$45:$AI$60,MATCH($S15,基础信息!$F$50:$F$65,1),),INDEX(基础信息!$N$50:$R$65,MATCH($S15,基础信息!$F$50:$F$65,1),),INDEX(基础信息!$I$50:$M$65,MATCH($S15,基础信息!$F$50:$F$65,1),))*求节点(基础信息!$F$50:$F$65,基础信息!$G$50:$G$65,$S15),0)</f>
        <v>0</v>
      </c>
      <c r="W15" s="111">
        <f>IFERROR(求节点(基础信息!$F$70:$F$85,基础信息!$G$70:$G$85,$S15),0)*SUMPRODUCT(INDEX($D$5:$H$34,IFERROR(MATCH(求节点(基础信息!$F$70:$F$85,基础信息!$H$70:$H$85,$S15),$C$5:$C$34,1),1),),INDEX(基础信息!$I$70:$M$85,IFERROR(MATCH($S15,基础信息!$F$70:$F$85,1),1),))+IFERROR(SUMPRODUCT(INDEX(门客进修!$AE$65:$AI$80,MATCH($S15,基础信息!$F$70:$F$85,1),),INDEX(基础信息!$N$70:$R$85,MATCH($S15,基础信息!$F$70:$F$85,1),),INDEX(基础信息!$I$70:$M$85,MATCH($S15,基础信息!$F$70:$F$85,1),))*求节点(基础信息!$F$70:$F$85,基础信息!$G$70:$G$85,$S15),0)</f>
        <v>0</v>
      </c>
      <c r="X15" s="111">
        <f>IFERROR(求节点(基础信息!$F$90:$F$105,基础信息!$G$90:$G$105,$S15),0)*SUMPRODUCT(INDEX($D$5:$H$34,IFERROR(MATCH(求节点(基础信息!$F$90:$F$105,基础信息!$H$90:$H$105,$S15),$C$5:$C$34,1),1),),INDEX(基础信息!$I$90:$M$105,IFERROR(MATCH($S15,基础信息!$F$90:$F$105,1),1),))+IFERROR(SUMPRODUCT(INDEX(门客进修!$AE$85:$AI$100,MATCH($S15,基础信息!$F$90:$F$105,1),),INDEX(基础信息!$N$90:$R$105,MATCH($S15,基础信息!$F$90:$F$105,1),),INDEX(基础信息!$I$90:$M$105,MATCH($S15,基础信息!$F$90:$F$105,1),))*求节点(基础信息!$F$90:$F$105,基础信息!$G$90:$G$105,$S15),0)</f>
        <v>0</v>
      </c>
    </row>
    <row r="16" spans="3:24" x14ac:dyDescent="0.15">
      <c r="C16" s="111">
        <v>12</v>
      </c>
      <c r="D16" s="111">
        <f t="shared" si="1"/>
        <v>1050</v>
      </c>
      <c r="E16" s="111">
        <f t="shared" si="2"/>
        <v>2100</v>
      </c>
      <c r="F16" s="111">
        <f t="shared" si="3"/>
        <v>4200</v>
      </c>
      <c r="G16" s="111">
        <f t="shared" si="4"/>
        <v>10500</v>
      </c>
      <c r="H16" s="111">
        <f t="shared" si="5"/>
        <v>21000</v>
      </c>
      <c r="S16" s="111">
        <v>12</v>
      </c>
      <c r="T16" s="111">
        <f>IFERROR(求节点(基础信息!$F$10:$F$25,基础信息!$G$10:$G$25,$S16),0)*SUMPRODUCT(INDEX($D$5:$H$34,IFERROR(MATCH(求节点(基础信息!$F$10:$F$25,基础信息!$H$10:$H$25,$S16),$C$5:$C$34,1),1),),INDEX(基础信息!$I$10:$M$25,IFERROR(MATCH($S16,基础信息!$F$10:$F$25,1),1),))+IFERROR(SUMPRODUCT(INDEX(门客进修!$AE$5:$AI$20,MATCH($S16,基础信息!$F$10:$F$25,1),),INDEX(基础信息!$N$10:$R$25,MATCH($S16,基础信息!$F$10:$F$25,1),),INDEX(基础信息!$I$10:$M$25,MATCH($S16,基础信息!$F$10:$F$25,1),))*求节点(基础信息!$F$10:$F$25,基础信息!$G$10:$G$25,$S16),0)</f>
        <v>0</v>
      </c>
      <c r="U16" s="111">
        <f>IFERROR(求节点(基础信息!$F$30:$F$45,基础信息!$G$30:$G$45,$S16),0)*SUMPRODUCT(INDEX($D$5:$H$34,IFERROR(MATCH(求节点(基础信息!$F$30:$F$45,基础信息!$H$30:$H$45,$S16),$C$5:$C$34,1),1),),INDEX(基础信息!$I$30:$M$45,IFERROR(MATCH($S16,基础信息!$F$30:$F$45,1),1),))+IFERROR(SUMPRODUCT(INDEX(门客进修!$AE$25:$AI$40,MATCH($S16,基础信息!$F$30:$F$45,1),),INDEX(基础信息!$N$30:$R$45,MATCH($S16,基础信息!$F$30:$F$45,1),),INDEX(基础信息!$I$30:$M$45,MATCH($S16,基础信息!$F$30:$F$45,1),))*求节点(基础信息!$F$30:$F$45,基础信息!$G$30:$G$45,$S16),0)</f>
        <v>0</v>
      </c>
      <c r="V16" s="111">
        <f>IFERROR(求节点(基础信息!$F$50:$F$65,基础信息!$G$50:$G$65,$S16),0)*SUMPRODUCT(INDEX($D$5:$H$34,IFERROR(MATCH(求节点(基础信息!$F$50:$F$65,基础信息!$H$50:$H$65,$S16),$C$5:$C$34,1),1),),INDEX(基础信息!$I$50:$M$65,IFERROR(MATCH($S16,基础信息!$F$50:$F$65,1),1),))+IFERROR(SUMPRODUCT(INDEX(门客进修!$AE$45:$AI$60,MATCH($S16,基础信息!$F$50:$F$65,1),),INDEX(基础信息!$N$50:$R$65,MATCH($S16,基础信息!$F$50:$F$65,1),),INDEX(基础信息!$I$50:$M$65,MATCH($S16,基础信息!$F$50:$F$65,1),))*求节点(基础信息!$F$50:$F$65,基础信息!$G$50:$G$65,$S16),0)</f>
        <v>0</v>
      </c>
      <c r="W16" s="111">
        <f>IFERROR(求节点(基础信息!$F$70:$F$85,基础信息!$G$70:$G$85,$S16),0)*SUMPRODUCT(INDEX($D$5:$H$34,IFERROR(MATCH(求节点(基础信息!$F$70:$F$85,基础信息!$H$70:$H$85,$S16),$C$5:$C$34,1),1),),INDEX(基础信息!$I$70:$M$85,IFERROR(MATCH($S16,基础信息!$F$70:$F$85,1),1),))+IFERROR(SUMPRODUCT(INDEX(门客进修!$AE$65:$AI$80,MATCH($S16,基础信息!$F$70:$F$85,1),),INDEX(基础信息!$N$70:$R$85,MATCH($S16,基础信息!$F$70:$F$85,1),),INDEX(基础信息!$I$70:$M$85,MATCH($S16,基础信息!$F$70:$F$85,1),))*求节点(基础信息!$F$70:$F$85,基础信息!$G$70:$G$85,$S16),0)</f>
        <v>0</v>
      </c>
      <c r="X16" s="111">
        <f>IFERROR(求节点(基础信息!$F$90:$F$105,基础信息!$G$90:$G$105,$S16),0)*SUMPRODUCT(INDEX($D$5:$H$34,IFERROR(MATCH(求节点(基础信息!$F$90:$F$105,基础信息!$H$90:$H$105,$S16),$C$5:$C$34,1),1),),INDEX(基础信息!$I$90:$M$105,IFERROR(MATCH($S16,基础信息!$F$90:$F$105,1),1),))+IFERROR(SUMPRODUCT(INDEX(门客进修!$AE$85:$AI$100,MATCH($S16,基础信息!$F$90:$F$105,1),),INDEX(基础信息!$N$90:$R$105,MATCH($S16,基础信息!$F$90:$F$105,1),),INDEX(基础信息!$I$90:$M$105,MATCH($S16,基础信息!$F$90:$F$105,1),))*求节点(基础信息!$F$90:$F$105,基础信息!$G$90:$G$105,$S16),0)</f>
        <v>0</v>
      </c>
    </row>
    <row r="17" spans="3:24" x14ac:dyDescent="0.15">
      <c r="C17" s="111">
        <v>13</v>
      </c>
      <c r="D17" s="111">
        <f t="shared" si="1"/>
        <v>1100</v>
      </c>
      <c r="E17" s="111">
        <f t="shared" si="2"/>
        <v>2200</v>
      </c>
      <c r="F17" s="111">
        <f t="shared" si="3"/>
        <v>4400</v>
      </c>
      <c r="G17" s="111">
        <f t="shared" si="4"/>
        <v>11000</v>
      </c>
      <c r="H17" s="111">
        <f t="shared" si="5"/>
        <v>22000</v>
      </c>
      <c r="S17" s="111">
        <v>13</v>
      </c>
      <c r="T17" s="111">
        <f>IFERROR(求节点(基础信息!$F$10:$F$25,基础信息!$G$10:$G$25,$S17),0)*SUMPRODUCT(INDEX($D$5:$H$34,IFERROR(MATCH(求节点(基础信息!$F$10:$F$25,基础信息!$H$10:$H$25,$S17),$C$5:$C$34,1),1),),INDEX(基础信息!$I$10:$M$25,IFERROR(MATCH($S17,基础信息!$F$10:$F$25,1),1),))+IFERROR(SUMPRODUCT(INDEX(门客进修!$AE$5:$AI$20,MATCH($S17,基础信息!$F$10:$F$25,1),),INDEX(基础信息!$N$10:$R$25,MATCH($S17,基础信息!$F$10:$F$25,1),),INDEX(基础信息!$I$10:$M$25,MATCH($S17,基础信息!$F$10:$F$25,1),))*求节点(基础信息!$F$10:$F$25,基础信息!$G$10:$G$25,$S17),0)</f>
        <v>0</v>
      </c>
      <c r="U17" s="111">
        <f>IFERROR(求节点(基础信息!$F$30:$F$45,基础信息!$G$30:$G$45,$S17),0)*SUMPRODUCT(INDEX($D$5:$H$34,IFERROR(MATCH(求节点(基础信息!$F$30:$F$45,基础信息!$H$30:$H$45,$S17),$C$5:$C$34,1),1),),INDEX(基础信息!$I$30:$M$45,IFERROR(MATCH($S17,基础信息!$F$30:$F$45,1),1),))+IFERROR(SUMPRODUCT(INDEX(门客进修!$AE$25:$AI$40,MATCH($S17,基础信息!$F$30:$F$45,1),),INDEX(基础信息!$N$30:$R$45,MATCH($S17,基础信息!$F$30:$F$45,1),),INDEX(基础信息!$I$30:$M$45,MATCH($S17,基础信息!$F$30:$F$45,1),))*求节点(基础信息!$F$30:$F$45,基础信息!$G$30:$G$45,$S17),0)</f>
        <v>0</v>
      </c>
      <c r="V17" s="111">
        <f>IFERROR(求节点(基础信息!$F$50:$F$65,基础信息!$G$50:$G$65,$S17),0)*SUMPRODUCT(INDEX($D$5:$H$34,IFERROR(MATCH(求节点(基础信息!$F$50:$F$65,基础信息!$H$50:$H$65,$S17),$C$5:$C$34,1),1),),INDEX(基础信息!$I$50:$M$65,IFERROR(MATCH($S17,基础信息!$F$50:$F$65,1),1),))+IFERROR(SUMPRODUCT(INDEX(门客进修!$AE$45:$AI$60,MATCH($S17,基础信息!$F$50:$F$65,1),),INDEX(基础信息!$N$50:$R$65,MATCH($S17,基础信息!$F$50:$F$65,1),),INDEX(基础信息!$I$50:$M$65,MATCH($S17,基础信息!$F$50:$F$65,1),))*求节点(基础信息!$F$50:$F$65,基础信息!$G$50:$G$65,$S17),0)</f>
        <v>0</v>
      </c>
      <c r="W17" s="111">
        <f>IFERROR(求节点(基础信息!$F$70:$F$85,基础信息!$G$70:$G$85,$S17),0)*SUMPRODUCT(INDEX($D$5:$H$34,IFERROR(MATCH(求节点(基础信息!$F$70:$F$85,基础信息!$H$70:$H$85,$S17),$C$5:$C$34,1),1),),INDEX(基础信息!$I$70:$M$85,IFERROR(MATCH($S17,基础信息!$F$70:$F$85,1),1),))+IFERROR(SUMPRODUCT(INDEX(门客进修!$AE$65:$AI$80,MATCH($S17,基础信息!$F$70:$F$85,1),),INDEX(基础信息!$N$70:$R$85,MATCH($S17,基础信息!$F$70:$F$85,1),),INDEX(基础信息!$I$70:$M$85,MATCH($S17,基础信息!$F$70:$F$85,1),))*求节点(基础信息!$F$70:$F$85,基础信息!$G$70:$G$85,$S17),0)</f>
        <v>0</v>
      </c>
      <c r="X17" s="111">
        <f>IFERROR(求节点(基础信息!$F$90:$F$105,基础信息!$G$90:$G$105,$S17),0)*SUMPRODUCT(INDEX($D$5:$H$34,IFERROR(MATCH(求节点(基础信息!$F$90:$F$105,基础信息!$H$90:$H$105,$S17),$C$5:$C$34,1),1),),INDEX(基础信息!$I$90:$M$105,IFERROR(MATCH($S17,基础信息!$F$90:$F$105,1),1),))+IFERROR(SUMPRODUCT(INDEX(门客进修!$AE$85:$AI$100,MATCH($S17,基础信息!$F$90:$F$105,1),),INDEX(基础信息!$N$90:$R$105,MATCH($S17,基础信息!$F$90:$F$105,1),),INDEX(基础信息!$I$90:$M$105,MATCH($S17,基础信息!$F$90:$F$105,1),))*求节点(基础信息!$F$90:$F$105,基础信息!$G$90:$G$105,$S17),0)</f>
        <v>0</v>
      </c>
    </row>
    <row r="18" spans="3:24" x14ac:dyDescent="0.15">
      <c r="C18" s="111">
        <v>14</v>
      </c>
      <c r="D18" s="111">
        <f t="shared" si="1"/>
        <v>1150</v>
      </c>
      <c r="E18" s="111">
        <f t="shared" si="2"/>
        <v>2300</v>
      </c>
      <c r="F18" s="111">
        <f t="shared" si="3"/>
        <v>4600</v>
      </c>
      <c r="G18" s="111">
        <f t="shared" si="4"/>
        <v>11500</v>
      </c>
      <c r="H18" s="111">
        <f t="shared" si="5"/>
        <v>23000</v>
      </c>
      <c r="S18" s="111">
        <v>14</v>
      </c>
      <c r="T18" s="111">
        <f>IFERROR(求节点(基础信息!$F$10:$F$25,基础信息!$G$10:$G$25,$S18),0)*SUMPRODUCT(INDEX($D$5:$H$34,IFERROR(MATCH(求节点(基础信息!$F$10:$F$25,基础信息!$H$10:$H$25,$S18),$C$5:$C$34,1),1),),INDEX(基础信息!$I$10:$M$25,IFERROR(MATCH($S18,基础信息!$F$10:$F$25,1),1),))+IFERROR(SUMPRODUCT(INDEX(门客进修!$AE$5:$AI$20,MATCH($S18,基础信息!$F$10:$F$25,1),),INDEX(基础信息!$N$10:$R$25,MATCH($S18,基础信息!$F$10:$F$25,1),),INDEX(基础信息!$I$10:$M$25,MATCH($S18,基础信息!$F$10:$F$25,1),))*求节点(基础信息!$F$10:$F$25,基础信息!$G$10:$G$25,$S18),0)</f>
        <v>0</v>
      </c>
      <c r="U18" s="111">
        <f>IFERROR(求节点(基础信息!$F$30:$F$45,基础信息!$G$30:$G$45,$S18),0)*SUMPRODUCT(INDEX($D$5:$H$34,IFERROR(MATCH(求节点(基础信息!$F$30:$F$45,基础信息!$H$30:$H$45,$S18),$C$5:$C$34,1),1),),INDEX(基础信息!$I$30:$M$45,IFERROR(MATCH($S18,基础信息!$F$30:$F$45,1),1),))+IFERROR(SUMPRODUCT(INDEX(门客进修!$AE$25:$AI$40,MATCH($S18,基础信息!$F$30:$F$45,1),),INDEX(基础信息!$N$30:$R$45,MATCH($S18,基础信息!$F$30:$F$45,1),),INDEX(基础信息!$I$30:$M$45,MATCH($S18,基础信息!$F$30:$F$45,1),))*求节点(基础信息!$F$30:$F$45,基础信息!$G$30:$G$45,$S18),0)</f>
        <v>0</v>
      </c>
      <c r="V18" s="111">
        <f>IFERROR(求节点(基础信息!$F$50:$F$65,基础信息!$G$50:$G$65,$S18),0)*SUMPRODUCT(INDEX($D$5:$H$34,IFERROR(MATCH(求节点(基础信息!$F$50:$F$65,基础信息!$H$50:$H$65,$S18),$C$5:$C$34,1),1),),INDEX(基础信息!$I$50:$M$65,IFERROR(MATCH($S18,基础信息!$F$50:$F$65,1),1),))+IFERROR(SUMPRODUCT(INDEX(门客进修!$AE$45:$AI$60,MATCH($S18,基础信息!$F$50:$F$65,1),),INDEX(基础信息!$N$50:$R$65,MATCH($S18,基础信息!$F$50:$F$65,1),),INDEX(基础信息!$I$50:$M$65,MATCH($S18,基础信息!$F$50:$F$65,1),))*求节点(基础信息!$F$50:$F$65,基础信息!$G$50:$G$65,$S18),0)</f>
        <v>0</v>
      </c>
      <c r="W18" s="111">
        <f>IFERROR(求节点(基础信息!$F$70:$F$85,基础信息!$G$70:$G$85,$S18),0)*SUMPRODUCT(INDEX($D$5:$H$34,IFERROR(MATCH(求节点(基础信息!$F$70:$F$85,基础信息!$H$70:$H$85,$S18),$C$5:$C$34,1),1),),INDEX(基础信息!$I$70:$M$85,IFERROR(MATCH($S18,基础信息!$F$70:$F$85,1),1),))+IFERROR(SUMPRODUCT(INDEX(门客进修!$AE$65:$AI$80,MATCH($S18,基础信息!$F$70:$F$85,1),),INDEX(基础信息!$N$70:$R$85,MATCH($S18,基础信息!$F$70:$F$85,1),),INDEX(基础信息!$I$70:$M$85,MATCH($S18,基础信息!$F$70:$F$85,1),))*求节点(基础信息!$F$70:$F$85,基础信息!$G$70:$G$85,$S18),0)</f>
        <v>0</v>
      </c>
      <c r="X18" s="111">
        <f>IFERROR(求节点(基础信息!$F$90:$F$105,基础信息!$G$90:$G$105,$S18),0)*SUMPRODUCT(INDEX($D$5:$H$34,IFERROR(MATCH(求节点(基础信息!$F$90:$F$105,基础信息!$H$90:$H$105,$S18),$C$5:$C$34,1),1),),INDEX(基础信息!$I$90:$M$105,IFERROR(MATCH($S18,基础信息!$F$90:$F$105,1),1),))+IFERROR(SUMPRODUCT(INDEX(门客进修!$AE$85:$AI$100,MATCH($S18,基础信息!$F$90:$F$105,1),),INDEX(基础信息!$N$90:$R$105,MATCH($S18,基础信息!$F$90:$F$105,1),),INDEX(基础信息!$I$90:$M$105,MATCH($S18,基础信息!$F$90:$F$105,1),))*求节点(基础信息!$F$90:$F$105,基础信息!$G$90:$G$105,$S18),0)</f>
        <v>0</v>
      </c>
    </row>
    <row r="19" spans="3:24" x14ac:dyDescent="0.15">
      <c r="C19" s="111">
        <v>15</v>
      </c>
      <c r="D19" s="111">
        <f t="shared" si="1"/>
        <v>1200</v>
      </c>
      <c r="E19" s="111">
        <f t="shared" si="2"/>
        <v>2400</v>
      </c>
      <c r="F19" s="111">
        <f t="shared" si="3"/>
        <v>4800</v>
      </c>
      <c r="G19" s="111">
        <f t="shared" si="4"/>
        <v>12000</v>
      </c>
      <c r="H19" s="111">
        <f t="shared" si="5"/>
        <v>24000</v>
      </c>
      <c r="S19" s="111">
        <v>15</v>
      </c>
      <c r="T19" s="111">
        <f>IFERROR(求节点(基础信息!$F$10:$F$25,基础信息!$G$10:$G$25,$S19),0)*SUMPRODUCT(INDEX($D$5:$H$34,IFERROR(MATCH(求节点(基础信息!$F$10:$F$25,基础信息!$H$10:$H$25,$S19),$C$5:$C$34,1),1),),INDEX(基础信息!$I$10:$M$25,IFERROR(MATCH($S19,基础信息!$F$10:$F$25,1),1),))+IFERROR(SUMPRODUCT(INDEX(门客进修!$AE$5:$AI$20,MATCH($S19,基础信息!$F$10:$F$25,1),),INDEX(基础信息!$N$10:$R$25,MATCH($S19,基础信息!$F$10:$F$25,1),),INDEX(基础信息!$I$10:$M$25,MATCH($S19,基础信息!$F$10:$F$25,1),))*求节点(基础信息!$F$10:$F$25,基础信息!$G$10:$G$25,$S19),0)</f>
        <v>0</v>
      </c>
      <c r="U19" s="111">
        <f>IFERROR(求节点(基础信息!$F$30:$F$45,基础信息!$G$30:$G$45,$S19),0)*SUMPRODUCT(INDEX($D$5:$H$34,IFERROR(MATCH(求节点(基础信息!$F$30:$F$45,基础信息!$H$30:$H$45,$S19),$C$5:$C$34,1),1),),INDEX(基础信息!$I$30:$M$45,IFERROR(MATCH($S19,基础信息!$F$30:$F$45,1),1),))+IFERROR(SUMPRODUCT(INDEX(门客进修!$AE$25:$AI$40,MATCH($S19,基础信息!$F$30:$F$45,1),),INDEX(基础信息!$N$30:$R$45,MATCH($S19,基础信息!$F$30:$F$45,1),),INDEX(基础信息!$I$30:$M$45,MATCH($S19,基础信息!$F$30:$F$45,1),))*求节点(基础信息!$F$30:$F$45,基础信息!$G$30:$G$45,$S19),0)</f>
        <v>0</v>
      </c>
      <c r="V19" s="111">
        <f>IFERROR(求节点(基础信息!$F$50:$F$65,基础信息!$G$50:$G$65,$S19),0)*SUMPRODUCT(INDEX($D$5:$H$34,IFERROR(MATCH(求节点(基础信息!$F$50:$F$65,基础信息!$H$50:$H$65,$S19),$C$5:$C$34,1),1),),INDEX(基础信息!$I$50:$M$65,IFERROR(MATCH($S19,基础信息!$F$50:$F$65,1),1),))+IFERROR(SUMPRODUCT(INDEX(门客进修!$AE$45:$AI$60,MATCH($S19,基础信息!$F$50:$F$65,1),),INDEX(基础信息!$N$50:$R$65,MATCH($S19,基础信息!$F$50:$F$65,1),),INDEX(基础信息!$I$50:$M$65,MATCH($S19,基础信息!$F$50:$F$65,1),))*求节点(基础信息!$F$50:$F$65,基础信息!$G$50:$G$65,$S19),0)</f>
        <v>0</v>
      </c>
      <c r="W19" s="111">
        <f>IFERROR(求节点(基础信息!$F$70:$F$85,基础信息!$G$70:$G$85,$S19),0)*SUMPRODUCT(INDEX($D$5:$H$34,IFERROR(MATCH(求节点(基础信息!$F$70:$F$85,基础信息!$H$70:$H$85,$S19),$C$5:$C$34,1),1),),INDEX(基础信息!$I$70:$M$85,IFERROR(MATCH($S19,基础信息!$F$70:$F$85,1),1),))+IFERROR(SUMPRODUCT(INDEX(门客进修!$AE$65:$AI$80,MATCH($S19,基础信息!$F$70:$F$85,1),),INDEX(基础信息!$N$70:$R$85,MATCH($S19,基础信息!$F$70:$F$85,1),),INDEX(基础信息!$I$70:$M$85,MATCH($S19,基础信息!$F$70:$F$85,1),))*求节点(基础信息!$F$70:$F$85,基础信息!$G$70:$G$85,$S19),0)</f>
        <v>0</v>
      </c>
      <c r="X19" s="111">
        <f>IFERROR(求节点(基础信息!$F$90:$F$105,基础信息!$G$90:$G$105,$S19),0)*SUMPRODUCT(INDEX($D$5:$H$34,IFERROR(MATCH(求节点(基础信息!$F$90:$F$105,基础信息!$H$90:$H$105,$S19),$C$5:$C$34,1),1),),INDEX(基础信息!$I$90:$M$105,IFERROR(MATCH($S19,基础信息!$F$90:$F$105,1),1),))+IFERROR(SUMPRODUCT(INDEX(门客进修!$AE$85:$AI$100,MATCH($S19,基础信息!$F$90:$F$105,1),),INDEX(基础信息!$N$90:$R$105,MATCH($S19,基础信息!$F$90:$F$105,1),),INDEX(基础信息!$I$90:$M$105,MATCH($S19,基础信息!$F$90:$F$105,1),))*求节点(基础信息!$F$90:$F$105,基础信息!$G$90:$G$105,$S19),0)</f>
        <v>2526.0498750863599</v>
      </c>
    </row>
    <row r="20" spans="3:24" x14ac:dyDescent="0.15">
      <c r="C20" s="111">
        <v>16</v>
      </c>
      <c r="D20" s="111">
        <f t="shared" si="1"/>
        <v>1250</v>
      </c>
      <c r="E20" s="111">
        <f t="shared" si="2"/>
        <v>2500</v>
      </c>
      <c r="F20" s="111">
        <f t="shared" si="3"/>
        <v>5000</v>
      </c>
      <c r="G20" s="111">
        <f t="shared" si="4"/>
        <v>12500</v>
      </c>
      <c r="H20" s="111">
        <f t="shared" si="5"/>
        <v>25000</v>
      </c>
      <c r="S20" s="111">
        <v>16</v>
      </c>
      <c r="T20" s="111">
        <f>IFERROR(求节点(基础信息!$F$10:$F$25,基础信息!$G$10:$G$25,$S20),0)*SUMPRODUCT(INDEX($D$5:$H$34,IFERROR(MATCH(求节点(基础信息!$F$10:$F$25,基础信息!$H$10:$H$25,$S20),$C$5:$C$34,1),1),),INDEX(基础信息!$I$10:$M$25,IFERROR(MATCH($S20,基础信息!$F$10:$F$25,1),1),))+IFERROR(SUMPRODUCT(INDEX(门客进修!$AE$5:$AI$20,MATCH($S20,基础信息!$F$10:$F$25,1),),INDEX(基础信息!$N$10:$R$25,MATCH($S20,基础信息!$F$10:$F$25,1),),INDEX(基础信息!$I$10:$M$25,MATCH($S20,基础信息!$F$10:$F$25,1),))*求节点(基础信息!$F$10:$F$25,基础信息!$G$10:$G$25,$S20),0)</f>
        <v>0</v>
      </c>
      <c r="U20" s="111">
        <f>IFERROR(求节点(基础信息!$F$30:$F$45,基础信息!$G$30:$G$45,$S20),0)*SUMPRODUCT(INDEX($D$5:$H$34,IFERROR(MATCH(求节点(基础信息!$F$30:$F$45,基础信息!$H$30:$H$45,$S20),$C$5:$C$34,1),1),),INDEX(基础信息!$I$30:$M$45,IFERROR(MATCH($S20,基础信息!$F$30:$F$45,1),1),))+IFERROR(SUMPRODUCT(INDEX(门客进修!$AE$25:$AI$40,MATCH($S20,基础信息!$F$30:$F$45,1),),INDEX(基础信息!$N$30:$R$45,MATCH($S20,基础信息!$F$30:$F$45,1),),INDEX(基础信息!$I$30:$M$45,MATCH($S20,基础信息!$F$30:$F$45,1),))*求节点(基础信息!$F$30:$F$45,基础信息!$G$30:$G$45,$S20),0)</f>
        <v>0</v>
      </c>
      <c r="V20" s="111">
        <f>IFERROR(求节点(基础信息!$F$50:$F$65,基础信息!$G$50:$G$65,$S20),0)*SUMPRODUCT(INDEX($D$5:$H$34,IFERROR(MATCH(求节点(基础信息!$F$50:$F$65,基础信息!$H$50:$H$65,$S20),$C$5:$C$34,1),1),),INDEX(基础信息!$I$50:$M$65,IFERROR(MATCH($S20,基础信息!$F$50:$F$65,1),1),))+IFERROR(SUMPRODUCT(INDEX(门客进修!$AE$45:$AI$60,MATCH($S20,基础信息!$F$50:$F$65,1),),INDEX(基础信息!$N$50:$R$65,MATCH($S20,基础信息!$F$50:$F$65,1),),INDEX(基础信息!$I$50:$M$65,MATCH($S20,基础信息!$F$50:$F$65,1),))*求节点(基础信息!$F$50:$F$65,基础信息!$G$50:$G$65,$S20),0)</f>
        <v>0</v>
      </c>
      <c r="W20" s="111">
        <f>IFERROR(求节点(基础信息!$F$70:$F$85,基础信息!$G$70:$G$85,$S20),0)*SUMPRODUCT(INDEX($D$5:$H$34,IFERROR(MATCH(求节点(基础信息!$F$70:$F$85,基础信息!$H$70:$H$85,$S20),$C$5:$C$34,1),1),),INDEX(基础信息!$I$70:$M$85,IFERROR(MATCH($S20,基础信息!$F$70:$F$85,1),1),))+IFERROR(SUMPRODUCT(INDEX(门客进修!$AE$65:$AI$80,MATCH($S20,基础信息!$F$70:$F$85,1),),INDEX(基础信息!$N$70:$R$85,MATCH($S20,基础信息!$F$70:$F$85,1),),INDEX(基础信息!$I$70:$M$85,MATCH($S20,基础信息!$F$70:$F$85,1),))*求节点(基础信息!$F$70:$F$85,基础信息!$G$70:$G$85,$S20),0)</f>
        <v>2550.7129605607674</v>
      </c>
      <c r="X20" s="111">
        <f>IFERROR(求节点(基础信息!$F$90:$F$105,基础信息!$G$90:$G$105,$S20),0)*SUMPRODUCT(INDEX($D$5:$H$34,IFERROR(MATCH(求节点(基础信息!$F$90:$F$105,基础信息!$H$90:$H$105,$S20),$C$5:$C$34,1),1),),INDEX(基础信息!$I$90:$M$105,IFERROR(MATCH($S20,基础信息!$F$90:$F$105,1),1),))+IFERROR(SUMPRODUCT(INDEX(门客进修!$AE$85:$AI$100,MATCH($S20,基础信息!$F$90:$F$105,1),),INDEX(基础信息!$N$90:$R$105,MATCH($S20,基础信息!$F$90:$F$105,1),),INDEX(基础信息!$I$90:$M$105,MATCH($S20,基础信息!$F$90:$F$105,1),))*求节点(基础信息!$F$90:$F$105,基础信息!$G$90:$G$105,$S20),0)</f>
        <v>2909.9823176523178</v>
      </c>
    </row>
    <row r="21" spans="3:24" x14ac:dyDescent="0.15">
      <c r="C21" s="111">
        <v>17</v>
      </c>
      <c r="D21" s="111">
        <f t="shared" si="1"/>
        <v>1300</v>
      </c>
      <c r="E21" s="111">
        <f t="shared" si="2"/>
        <v>2600</v>
      </c>
      <c r="F21" s="111">
        <f t="shared" si="3"/>
        <v>5200</v>
      </c>
      <c r="G21" s="111">
        <f t="shared" si="4"/>
        <v>13000</v>
      </c>
      <c r="H21" s="111">
        <f t="shared" si="5"/>
        <v>26000</v>
      </c>
      <c r="S21" s="111">
        <v>17</v>
      </c>
      <c r="T21" s="111">
        <f>IFERROR(求节点(基础信息!$F$10:$F$25,基础信息!$G$10:$G$25,$S21),0)*SUMPRODUCT(INDEX($D$5:$H$34,IFERROR(MATCH(求节点(基础信息!$F$10:$F$25,基础信息!$H$10:$H$25,$S21),$C$5:$C$34,1),1),),INDEX(基础信息!$I$10:$M$25,IFERROR(MATCH($S21,基础信息!$F$10:$F$25,1),1),))+IFERROR(SUMPRODUCT(INDEX(门客进修!$AE$5:$AI$20,MATCH($S21,基础信息!$F$10:$F$25,1),),INDEX(基础信息!$N$10:$R$25,MATCH($S21,基础信息!$F$10:$F$25,1),),INDEX(基础信息!$I$10:$M$25,MATCH($S21,基础信息!$F$10:$F$25,1),))*求节点(基础信息!$F$10:$F$25,基础信息!$G$10:$G$25,$S21),0)</f>
        <v>0</v>
      </c>
      <c r="U21" s="111">
        <f>IFERROR(求节点(基础信息!$F$30:$F$45,基础信息!$G$30:$G$45,$S21),0)*SUMPRODUCT(INDEX($D$5:$H$34,IFERROR(MATCH(求节点(基础信息!$F$30:$F$45,基础信息!$H$30:$H$45,$S21),$C$5:$C$34,1),1),),INDEX(基础信息!$I$30:$M$45,IFERROR(MATCH($S21,基础信息!$F$30:$F$45,1),1),))+IFERROR(SUMPRODUCT(INDEX(门客进修!$AE$25:$AI$40,MATCH($S21,基础信息!$F$30:$F$45,1),),INDEX(基础信息!$N$30:$R$45,MATCH($S21,基础信息!$F$30:$F$45,1),),INDEX(基础信息!$I$30:$M$45,MATCH($S21,基础信息!$F$30:$F$45,1),))*求节点(基础信息!$F$30:$F$45,基础信息!$G$30:$G$45,$S21),0)</f>
        <v>0</v>
      </c>
      <c r="V21" s="111">
        <f>IFERROR(求节点(基础信息!$F$50:$F$65,基础信息!$G$50:$G$65,$S21),0)*SUMPRODUCT(INDEX($D$5:$H$34,IFERROR(MATCH(求节点(基础信息!$F$50:$F$65,基础信息!$H$50:$H$65,$S21),$C$5:$C$34,1),1),),INDEX(基础信息!$I$50:$M$65,IFERROR(MATCH($S21,基础信息!$F$50:$F$65,1),1),))+IFERROR(SUMPRODUCT(INDEX(门客进修!$AE$45:$AI$60,MATCH($S21,基础信息!$F$50:$F$65,1),),INDEX(基础信息!$N$50:$R$65,MATCH($S21,基础信息!$F$50:$F$65,1),),INDEX(基础信息!$I$50:$M$65,MATCH($S21,基础信息!$F$50:$F$65,1),))*求节点(基础信息!$F$50:$F$65,基础信息!$G$50:$G$65,$S21),0)</f>
        <v>1279.0357489754176</v>
      </c>
      <c r="W21" s="111">
        <f>IFERROR(求节点(基础信息!$F$70:$F$85,基础信息!$G$70:$G$85,$S21),0)*SUMPRODUCT(INDEX($D$5:$H$34,IFERROR(MATCH(求节点(基础信息!$F$70:$F$85,基础信息!$H$70:$H$85,$S21),$C$5:$C$34,1),1),),INDEX(基础信息!$I$70:$M$85,IFERROR(MATCH($S21,基础信息!$F$70:$F$85,1),1),))+IFERROR(SUMPRODUCT(INDEX(门客进修!$AE$65:$AI$80,MATCH($S21,基础信息!$F$70:$F$85,1),),INDEX(基础信息!$N$70:$R$85,MATCH($S21,基础信息!$F$70:$F$85,1),),INDEX(基础信息!$I$70:$M$85,MATCH($S21,基础信息!$F$70:$F$85,1),))*求节点(基础信息!$F$70:$F$85,基础信息!$G$70:$G$85,$S21),0)</f>
        <v>2917.9722641182489</v>
      </c>
      <c r="X21" s="111">
        <f>IFERROR(求节点(基础信息!$F$90:$F$105,基础信息!$G$90:$G$105,$S21),0)*SUMPRODUCT(INDEX($D$5:$H$34,IFERROR(MATCH(求节点(基础信息!$F$90:$F$105,基础信息!$H$90:$H$105,$S21),$C$5:$C$34,1),1),),INDEX(基础信息!$I$90:$M$105,IFERROR(MATCH($S21,基础信息!$F$90:$F$105,1),1),))+IFERROR(SUMPRODUCT(INDEX(门客进修!$AE$85:$AI$100,MATCH($S21,基础信息!$F$90:$F$105,1),),INDEX(基础信息!$N$90:$R$105,MATCH($S21,基础信息!$F$90:$F$105,1),),INDEX(基础信息!$I$90:$M$105,MATCH($S21,基础信息!$F$90:$F$105,1),))*求节点(基础信息!$F$90:$F$105,基础信息!$G$90:$G$105,$S21),0)</f>
        <v>3568.4076569031317</v>
      </c>
    </row>
    <row r="22" spans="3:24" x14ac:dyDescent="0.15">
      <c r="C22" s="111">
        <v>18</v>
      </c>
      <c r="D22" s="111">
        <f t="shared" si="1"/>
        <v>1350</v>
      </c>
      <c r="E22" s="111">
        <f t="shared" si="2"/>
        <v>2700</v>
      </c>
      <c r="F22" s="111">
        <f t="shared" si="3"/>
        <v>5400</v>
      </c>
      <c r="G22" s="111">
        <f t="shared" si="4"/>
        <v>13500</v>
      </c>
      <c r="H22" s="111">
        <f t="shared" si="5"/>
        <v>27000</v>
      </c>
      <c r="S22" s="111">
        <v>18</v>
      </c>
      <c r="T22" s="111">
        <f>IFERROR(求节点(基础信息!$F$10:$F$25,基础信息!$G$10:$G$25,$S22),0)*SUMPRODUCT(INDEX($D$5:$H$34,IFERROR(MATCH(求节点(基础信息!$F$10:$F$25,基础信息!$H$10:$H$25,$S22),$C$5:$C$34,1),1),),INDEX(基础信息!$I$10:$M$25,IFERROR(MATCH($S22,基础信息!$F$10:$F$25,1),1),))+IFERROR(SUMPRODUCT(INDEX(门客进修!$AE$5:$AI$20,MATCH($S22,基础信息!$F$10:$F$25,1),),INDEX(基础信息!$N$10:$R$25,MATCH($S22,基础信息!$F$10:$F$25,1),),INDEX(基础信息!$I$10:$M$25,MATCH($S22,基础信息!$F$10:$F$25,1),))*求节点(基础信息!$F$10:$F$25,基础信息!$G$10:$G$25,$S22),0)</f>
        <v>0</v>
      </c>
      <c r="U22" s="111">
        <f>IFERROR(求节点(基础信息!$F$30:$F$45,基础信息!$G$30:$G$45,$S22),0)*SUMPRODUCT(INDEX($D$5:$H$34,IFERROR(MATCH(求节点(基础信息!$F$30:$F$45,基础信息!$H$30:$H$45,$S22),$C$5:$C$34,1),1),),INDEX(基础信息!$I$30:$M$45,IFERROR(MATCH($S22,基础信息!$F$30:$F$45,1),1),))+IFERROR(SUMPRODUCT(INDEX(门客进修!$AE$25:$AI$40,MATCH($S22,基础信息!$F$30:$F$45,1),),INDEX(基础信息!$N$30:$R$45,MATCH($S22,基础信息!$F$30:$F$45,1),),INDEX(基础信息!$I$30:$M$45,MATCH($S22,基础信息!$F$30:$F$45,1),))*求节点(基础信息!$F$30:$F$45,基础信息!$G$30:$G$45,$S22),0)</f>
        <v>649.69994209648905</v>
      </c>
      <c r="V22" s="111">
        <f>IFERROR(求节点(基础信息!$F$50:$F$65,基础信息!$G$50:$G$65,$S22),0)*SUMPRODUCT(INDEX($D$5:$H$34,IFERROR(MATCH(求节点(基础信息!$F$50:$F$65,基础信息!$H$50:$H$65,$S22),$C$5:$C$34,1),1),),INDEX(基础信息!$I$50:$M$65,IFERROR(MATCH($S22,基础信息!$F$50:$F$65,1),1),))+IFERROR(SUMPRODUCT(INDEX(门客进修!$AE$45:$AI$60,MATCH($S22,基础信息!$F$50:$F$65,1),),INDEX(基础信息!$N$50:$R$65,MATCH($S22,基础信息!$F$50:$F$65,1),),INDEX(基础信息!$I$50:$M$65,MATCH($S22,基础信息!$F$50:$F$65,1),))*求节点(基础信息!$F$50:$F$65,基础信息!$G$50:$G$65,$S22),0)</f>
        <v>1456.0877915173398</v>
      </c>
      <c r="W22" s="111">
        <f>IFERROR(求节点(基础信息!$F$70:$F$85,基础信息!$G$70:$G$85,$S22),0)*SUMPRODUCT(INDEX($D$5:$H$34,IFERROR(MATCH(求节点(基础信息!$F$70:$F$85,基础信息!$H$70:$H$85,$S22),$C$5:$C$34,1),1),),INDEX(基础信息!$I$70:$M$85,IFERROR(MATCH($S22,基础信息!$F$70:$F$85,1),1),))+IFERROR(SUMPRODUCT(INDEX(门客进修!$AE$65:$AI$80,MATCH($S22,基础信息!$F$70:$F$85,1),),INDEX(基础信息!$N$70:$R$85,MATCH($S22,基础信息!$F$70:$F$85,1),),INDEX(基础信息!$I$70:$M$85,MATCH($S22,基础信息!$F$70:$F$85,1),))*求节点(基础信息!$F$70:$F$85,基础信息!$G$70:$G$85,$S22),0)</f>
        <v>3559.0008649820415</v>
      </c>
      <c r="X22" s="111">
        <f>IFERROR(求节点(基础信息!$F$90:$F$105,基础信息!$G$90:$G$105,$S22),0)*SUMPRODUCT(INDEX($D$5:$H$34,IFERROR(MATCH(求节点(基础信息!$F$90:$F$105,基础信息!$H$90:$H$105,$S22),$C$5:$C$34,1),1),),INDEX(基础信息!$I$90:$M$105,IFERROR(MATCH($S22,基础信息!$F$90:$F$105,1),1),))+IFERROR(SUMPRODUCT(INDEX(门客进修!$AE$85:$AI$100,MATCH($S22,基础信息!$F$90:$F$105,1),),INDEX(基础信息!$N$90:$R$105,MATCH($S22,基础信息!$F$90:$F$105,1),),INDEX(基础信息!$I$90:$M$105,MATCH($S22,基础信息!$F$90:$F$105,1),))*求节点(基础信息!$F$90:$F$105,基础信息!$G$90:$G$105,$S22),0)</f>
        <v>3984.334469682919</v>
      </c>
    </row>
    <row r="23" spans="3:24" x14ac:dyDescent="0.15">
      <c r="C23" s="111">
        <v>19</v>
      </c>
      <c r="D23" s="111">
        <f t="shared" si="1"/>
        <v>1400</v>
      </c>
      <c r="E23" s="111">
        <f t="shared" si="2"/>
        <v>2800</v>
      </c>
      <c r="F23" s="111">
        <f t="shared" si="3"/>
        <v>5600</v>
      </c>
      <c r="G23" s="111">
        <f t="shared" si="4"/>
        <v>14000</v>
      </c>
      <c r="H23" s="111">
        <f t="shared" si="5"/>
        <v>28000</v>
      </c>
      <c r="S23" s="111">
        <v>19</v>
      </c>
      <c r="T23" s="111">
        <f>IFERROR(求节点(基础信息!$F$10:$F$25,基础信息!$G$10:$G$25,$S23),0)*SUMPRODUCT(INDEX($D$5:$H$34,IFERROR(MATCH(求节点(基础信息!$F$10:$F$25,基础信息!$H$10:$H$25,$S23),$C$5:$C$34,1),1),),INDEX(基础信息!$I$10:$M$25,IFERROR(MATCH($S23,基础信息!$F$10:$F$25,1),1),))+IFERROR(SUMPRODUCT(INDEX(门客进修!$AE$5:$AI$20,MATCH($S23,基础信息!$F$10:$F$25,1),),INDEX(基础信息!$N$10:$R$25,MATCH($S23,基础信息!$F$10:$F$25,1),),INDEX(基础信息!$I$10:$M$25,MATCH($S23,基础信息!$F$10:$F$25,1),))*求节点(基础信息!$F$10:$F$25,基础信息!$G$10:$G$25,$S23),0)</f>
        <v>664.6274854252913</v>
      </c>
      <c r="U23" s="111">
        <f>IFERROR(求节点(基础信息!$F$30:$F$45,基础信息!$G$30:$G$45,$S23),0)*SUMPRODUCT(INDEX($D$5:$H$34,IFERROR(MATCH(求节点(基础信息!$F$30:$F$45,基础信息!$H$30:$H$45,$S23),$C$5:$C$34,1),1),),INDEX(基础信息!$I$30:$M$45,IFERROR(MATCH($S23,基础信息!$F$30:$F$45,1),1),))+IFERROR(SUMPRODUCT(INDEX(门客进修!$AE$25:$AI$40,MATCH($S23,基础信息!$F$30:$F$45,1),),INDEX(基础信息!$N$30:$R$45,MATCH($S23,基础信息!$F$30:$F$45,1),),INDEX(基础信息!$I$30:$M$45,MATCH($S23,基础信息!$F$30:$F$45,1),))*求节点(基础信息!$F$30:$F$45,基础信息!$G$30:$G$45,$S23),0)</f>
        <v>735.53363628086697</v>
      </c>
      <c r="V23" s="111">
        <f>IFERROR(求节点(基础信息!$F$50:$F$65,基础信息!$G$50:$G$65,$S23),0)*SUMPRODUCT(INDEX($D$5:$H$34,IFERROR(MATCH(求节点(基础信息!$F$50:$F$65,基础信息!$H$50:$H$65,$S23),$C$5:$C$34,1),1),),INDEX(基础信息!$I$50:$M$65,IFERROR(MATCH($S23,基础信息!$F$50:$F$65,1),1),))+IFERROR(SUMPRODUCT(INDEX(门客进修!$AE$45:$AI$60,MATCH($S23,基础信息!$F$50:$F$65,1),),INDEX(基础信息!$N$50:$R$65,MATCH($S23,基础信息!$F$50:$F$65,1),),INDEX(基础信息!$I$50:$M$65,MATCH($S23,基础信息!$F$50:$F$65,1),))*求节点(基础信息!$F$50:$F$65,基础信息!$G$50:$G$65,$S23),0)</f>
        <v>1769.2348202308674</v>
      </c>
      <c r="W23" s="111">
        <f>IFERROR(求节点(基础信息!$F$70:$F$85,基础信息!$G$70:$G$85,$S23),0)*SUMPRODUCT(INDEX($D$5:$H$34,IFERROR(MATCH(求节点(基础信息!$F$70:$F$85,基础信息!$H$70:$H$85,$S23),$C$5:$C$34,1),1),),INDEX(基础信息!$I$70:$M$85,IFERROR(MATCH($S23,基础信息!$F$70:$F$85,1),1),))+IFERROR(SUMPRODUCT(INDEX(门客进修!$AE$65:$AI$80,MATCH($S23,基础信息!$F$70:$F$85,1),),INDEX(基础信息!$N$70:$R$85,MATCH($S23,基础信息!$F$70:$F$85,1),),INDEX(基础信息!$I$70:$M$85,MATCH($S23,基础信息!$F$70:$F$85,1),))*求节点(基础信息!$F$70:$F$85,基础信息!$G$70:$G$85,$S23),0)</f>
        <v>3956.8651105026465</v>
      </c>
      <c r="X23" s="111">
        <f>IFERROR(求节点(基础信息!$F$90:$F$105,基础信息!$G$90:$G$105,$S23),0)*SUMPRODUCT(INDEX($D$5:$H$34,IFERROR(MATCH(求节点(基础信息!$F$90:$F$105,基础信息!$H$90:$H$105,$S23),$C$5:$C$34,1),1),),INDEX(基础信息!$I$90:$M$105,IFERROR(MATCH($S23,基础信息!$F$90:$F$105,1),1),))+IFERROR(SUMPRODUCT(INDEX(门客进修!$AE$85:$AI$100,MATCH($S23,基础信息!$F$90:$F$105,1),),INDEX(基础信息!$N$90:$R$105,MATCH($S23,基础信息!$F$90:$F$105,1),),INDEX(基础信息!$I$90:$M$105,MATCH($S23,基础信息!$F$90:$F$105,1),))*求节点(基础信息!$F$90:$F$105,基础信息!$G$90:$G$105,$S23),0)</f>
        <v>4738.742919575222</v>
      </c>
    </row>
    <row r="24" spans="3:24" x14ac:dyDescent="0.15">
      <c r="C24" s="111">
        <v>20</v>
      </c>
      <c r="D24" s="111">
        <f t="shared" si="1"/>
        <v>1450</v>
      </c>
      <c r="E24" s="111">
        <f t="shared" si="2"/>
        <v>2900</v>
      </c>
      <c r="F24" s="111">
        <f t="shared" si="3"/>
        <v>5800</v>
      </c>
      <c r="G24" s="111">
        <f t="shared" si="4"/>
        <v>14500</v>
      </c>
      <c r="H24" s="111">
        <f t="shared" si="5"/>
        <v>29000</v>
      </c>
      <c r="S24" s="111">
        <v>20</v>
      </c>
      <c r="T24" s="111">
        <f>IFERROR(求节点(基础信息!$F$10:$F$25,基础信息!$G$10:$G$25,$S24),0)*SUMPRODUCT(INDEX($D$5:$H$34,IFERROR(MATCH(求节点(基础信息!$F$10:$F$25,基础信息!$H$10:$H$25,$S24),$C$5:$C$34,1),1),),INDEX(基础信息!$I$10:$M$25,IFERROR(MATCH($S24,基础信息!$F$10:$F$25,1),1),))+IFERROR(SUMPRODUCT(INDEX(门客进修!$AE$5:$AI$20,MATCH($S24,基础信息!$F$10:$F$25,1),),INDEX(基础信息!$N$10:$R$25,MATCH($S24,基础信息!$F$10:$F$25,1),),INDEX(基础信息!$I$10:$M$25,MATCH($S24,基础信息!$F$10:$F$25,1),))*求节点(基础信息!$F$10:$F$25,基础信息!$G$10:$G$25,$S24),0)</f>
        <v>748.16247228781617</v>
      </c>
      <c r="U24" s="111">
        <f>IFERROR(求节点(基础信息!$F$30:$F$45,基础信息!$G$30:$G$45,$S24),0)*SUMPRODUCT(INDEX($D$5:$H$34,IFERROR(MATCH(求节点(基础信息!$F$30:$F$45,基础信息!$H$30:$H$45,$S24),$C$5:$C$34,1),1),),INDEX(基础信息!$I$30:$M$45,IFERROR(MATCH($S24,基础信息!$F$30:$F$45,1),1),))+IFERROR(SUMPRODUCT(INDEX(门客进修!$AE$25:$AI$40,MATCH($S24,基础信息!$F$30:$F$45,1),),INDEX(基础信息!$N$30:$R$45,MATCH($S24,基础信息!$F$30:$F$45,1),),INDEX(基础信息!$I$30:$M$45,MATCH($S24,基础信息!$F$30:$F$45,1),))*求节点(基础信息!$F$30:$F$45,基础信息!$G$30:$G$45,$S24),0)</f>
        <v>889.81460800401521</v>
      </c>
      <c r="V24" s="111">
        <f>IFERROR(求节点(基础信息!$F$50:$F$65,基础信息!$G$50:$G$65,$S24),0)*SUMPRODUCT(INDEX($D$5:$H$34,IFERROR(MATCH(求节点(基础信息!$F$50:$F$65,基础信息!$H$50:$H$65,$S24),$C$5:$C$34,1),1),),INDEX(基础信息!$I$50:$M$65,IFERROR(MATCH($S24,基础信息!$F$50:$F$65,1),1),))+IFERROR(SUMPRODUCT(INDEX(门客进修!$AE$45:$AI$60,MATCH($S24,基础信息!$F$50:$F$65,1),),INDEX(基础信息!$N$50:$R$65,MATCH($S24,基础信息!$F$50:$F$65,1),),INDEX(基础信息!$I$50:$M$65,MATCH($S24,基础信息!$F$50:$F$65,1),))*求节点(基础信息!$F$50:$F$65,基础信息!$G$50:$G$65,$S24),0)</f>
        <v>1961.0411996512833</v>
      </c>
      <c r="W24" s="111">
        <f>IFERROR(求节点(基础信息!$F$70:$F$85,基础信息!$G$70:$G$85,$S24),0)*SUMPRODUCT(INDEX($D$5:$H$34,IFERROR(MATCH(求节点(基础信息!$F$70:$F$85,基础信息!$H$70:$H$85,$S24),$C$5:$C$34,1),1),),INDEX(基础信息!$I$70:$M$85,IFERROR(MATCH($S24,基础信息!$F$70:$F$85,1),1),))+IFERROR(SUMPRODUCT(INDEX(门客进修!$AE$65:$AI$80,MATCH($S24,基础信息!$F$70:$F$85,1),),INDEX(基础信息!$N$70:$R$85,MATCH($S24,基础信息!$F$70:$F$85,1),),INDEX(基础信息!$I$70:$M$85,MATCH($S24,基础信息!$F$70:$F$85,1),))*求节点(基础信息!$F$70:$F$85,基础信息!$G$70:$G$85,$S24),0)</f>
        <v>4689.7085372558095</v>
      </c>
      <c r="X24" s="111">
        <f>IFERROR(求节点(基础信息!$F$90:$F$105,基础信息!$G$90:$G$105,$S24),0)*SUMPRODUCT(INDEX($D$5:$H$34,IFERROR(MATCH(求节点(基础信息!$F$90:$F$105,基础信息!$H$90:$H$105,$S24),$C$5:$C$34,1),1),),INDEX(基础信息!$I$90:$M$105,IFERROR(MATCH($S24,基础信息!$F$90:$F$105,1),1),))+IFERROR(SUMPRODUCT(INDEX(门客进修!$AE$85:$AI$100,MATCH($S24,基础信息!$F$90:$F$105,1),),INDEX(基础信息!$N$90:$R$105,MATCH($S24,基础信息!$F$90:$F$105,1),),INDEX(基础信息!$I$90:$M$105,MATCH($S24,基础信息!$F$90:$F$105,1),))*求节点(基础信息!$F$90:$F$105,基础信息!$G$90:$G$105,$S24),0)</f>
        <v>5186.6641025688396</v>
      </c>
    </row>
    <row r="25" spans="3:24" x14ac:dyDescent="0.15">
      <c r="C25" s="111">
        <v>21</v>
      </c>
      <c r="D25" s="111">
        <f t="shared" si="1"/>
        <v>1500</v>
      </c>
      <c r="E25" s="111">
        <f t="shared" si="2"/>
        <v>3000</v>
      </c>
      <c r="F25" s="111">
        <f t="shared" si="3"/>
        <v>6000</v>
      </c>
      <c r="G25" s="111">
        <f t="shared" si="4"/>
        <v>15000</v>
      </c>
      <c r="H25" s="111">
        <f t="shared" si="5"/>
        <v>30000</v>
      </c>
      <c r="S25" s="111">
        <v>21</v>
      </c>
      <c r="T25" s="111">
        <f>IFERROR(求节点(基础信息!$F$10:$F$25,基础信息!$G$10:$G$25,$S25),0)*SUMPRODUCT(INDEX($D$5:$H$34,IFERROR(MATCH(求节点(基础信息!$F$10:$F$25,基础信息!$H$10:$H$25,$S25),$C$5:$C$34,1),1),),INDEX(基础信息!$I$10:$M$25,IFERROR(MATCH($S25,基础信息!$F$10:$F$25,1),1),))+IFERROR(SUMPRODUCT(INDEX(门客进修!$AE$5:$AI$20,MATCH($S25,基础信息!$F$10:$F$25,1),),INDEX(基础信息!$N$10:$R$25,MATCH($S25,基础信息!$F$10:$F$25,1),),INDEX(基础信息!$I$10:$M$25,MATCH($S25,基础信息!$F$10:$F$25,1),))*求节点(基础信息!$F$10:$F$25,基础信息!$G$10:$G$25,$S25),0)</f>
        <v>901.00558074620278</v>
      </c>
      <c r="U25" s="111">
        <f>IFERROR(求节点(基础信息!$F$30:$F$45,基础信息!$G$30:$G$45,$S25),0)*SUMPRODUCT(INDEX($D$5:$H$34,IFERROR(MATCH(求节点(基础信息!$F$30:$F$45,基础信息!$H$30:$H$45,$S25),$C$5:$C$34,1),1),),INDEX(基础信息!$I$30:$M$45,IFERROR(MATCH($S25,基础信息!$F$30:$F$45,1),1),))+IFERROR(SUMPRODUCT(INDEX(门客进修!$AE$25:$AI$40,MATCH($S25,基础信息!$F$30:$F$45,1),),INDEX(基础信息!$N$30:$R$45,MATCH($S25,基础信息!$F$30:$F$45,1),),INDEX(基础信息!$I$30:$M$45,MATCH($S25,基础信息!$F$30:$F$45,1),))*求节点(基础信息!$F$30:$F$45,基础信息!$G$30:$G$45,$S25),0)</f>
        <v>982.80111003709112</v>
      </c>
      <c r="V25" s="111">
        <f>IFERROR(求节点(基础信息!$F$50:$F$65,基础信息!$G$50:$G$65,$S25),0)*SUMPRODUCT(INDEX($D$5:$H$34,IFERROR(MATCH(求节点(基础信息!$F$50:$F$65,基础信息!$H$50:$H$65,$S25),$C$5:$C$34,1),1),),INDEX(基础信息!$I$50:$M$65,IFERROR(MATCH($S25,基础信息!$F$50:$F$65,1),1),))+IFERROR(SUMPRODUCT(INDEX(门客进修!$AE$45:$AI$60,MATCH($S25,基础信息!$F$50:$F$65,1),),INDEX(基础信息!$N$50:$R$65,MATCH($S25,基础信息!$F$50:$F$65,1),),INDEX(基础信息!$I$50:$M$65,MATCH($S25,基础信息!$F$50:$F$65,1),))*求节点(基础信息!$F$50:$F$65,基础信息!$G$50:$G$65,$S25),0)</f>
        <v>2152.8475790716989</v>
      </c>
      <c r="W25" s="111">
        <f>IFERROR(求节点(基础信息!$F$70:$F$85,基础信息!$G$70:$G$85,$S25),0)*SUMPRODUCT(INDEX($D$5:$H$34,IFERROR(MATCH(求节点(基础信息!$F$70:$F$85,基础信息!$H$70:$H$85,$S25),$C$5:$C$34,1),1),),INDEX(基础信息!$I$70:$M$85,IFERROR(MATCH($S25,基础信息!$F$70:$F$85,1),1),))+IFERROR(SUMPRODUCT(INDEX(门客进修!$AE$65:$AI$80,MATCH($S25,基础信息!$F$70:$F$85,1),),INDEX(基础信息!$N$70:$R$85,MATCH($S25,基础信息!$F$70:$F$85,1),),INDEX(基础信息!$I$70:$M$85,MATCH($S25,基础信息!$F$70:$F$85,1),))*求节点(基础信息!$F$70:$F$85,基础信息!$G$70:$G$85,$S25),0)</f>
        <v>5118.1777247395376</v>
      </c>
      <c r="X25" s="111">
        <f>IFERROR(求节点(基础信息!$F$90:$F$105,基础信息!$G$90:$G$105,$S25),0)*SUMPRODUCT(INDEX($D$5:$H$34,IFERROR(MATCH(求节点(基础信息!$F$90:$F$105,基础信息!$H$90:$H$105,$S25),$C$5:$C$34,1),1),),INDEX(基础信息!$I$90:$M$105,IFERROR(MATCH($S25,基础信息!$F$90:$F$105,1),1),))+IFERROR(SUMPRODUCT(INDEX(门客进修!$AE$85:$AI$100,MATCH($S25,基础信息!$F$90:$F$105,1),),INDEX(基础信息!$N$90:$R$105,MATCH($S25,基础信息!$F$90:$F$105,1),),INDEX(基础信息!$I$90:$M$105,MATCH($S25,基础信息!$F$90:$F$105,1),))*求节点(基础信息!$F$90:$F$105,基础信息!$G$90:$G$105,$S25),0)</f>
        <v>6028.8026276525388</v>
      </c>
    </row>
    <row r="26" spans="3:24" x14ac:dyDescent="0.15">
      <c r="C26" s="111">
        <v>22</v>
      </c>
      <c r="D26" s="111">
        <f t="shared" si="1"/>
        <v>1550</v>
      </c>
      <c r="E26" s="111">
        <f t="shared" si="2"/>
        <v>3100</v>
      </c>
      <c r="F26" s="111">
        <f t="shared" si="3"/>
        <v>6200</v>
      </c>
      <c r="G26" s="111">
        <f t="shared" si="4"/>
        <v>15500</v>
      </c>
      <c r="H26" s="111">
        <f t="shared" si="5"/>
        <v>31000</v>
      </c>
      <c r="S26" s="111">
        <v>22</v>
      </c>
      <c r="T26" s="111">
        <f>IFERROR(求节点(基础信息!$F$10:$F$25,基础信息!$G$10:$G$25,$S26),0)*SUMPRODUCT(INDEX($D$5:$H$34,IFERROR(MATCH(求节点(基础信息!$F$10:$F$25,基础信息!$H$10:$H$25,$S26),$C$5:$C$34,1),1),),INDEX(基础信息!$I$10:$M$25,IFERROR(MATCH($S26,基础信息!$F$10:$F$25,1),1),))+IFERROR(SUMPRODUCT(INDEX(门客进修!$AE$5:$AI$20,MATCH($S26,基础信息!$F$10:$F$25,1),),INDEX(基础信息!$N$10:$R$25,MATCH($S26,基础信息!$F$10:$F$25,1),),INDEX(基础信息!$I$10:$M$25,MATCH($S26,基础信息!$F$10:$F$25,1),))*求节点(基础信息!$F$10:$F$25,基础信息!$G$10:$G$25,$S26),0)</f>
        <v>991.50181651393802</v>
      </c>
      <c r="U26" s="111">
        <f>IFERROR(求节点(基础信息!$F$30:$F$45,基础信息!$G$30:$G$45,$S26),0)*SUMPRODUCT(INDEX($D$5:$H$34,IFERROR(MATCH(求节点(基础信息!$F$30:$F$45,基础信息!$H$30:$H$45,$S26),$C$5:$C$34,1),1),),INDEX(基础信息!$I$30:$M$45,IFERROR(MATCH($S26,基础信息!$F$30:$F$45,1),1),))+IFERROR(SUMPRODUCT(INDEX(门客进修!$AE$25:$AI$40,MATCH($S26,基础信息!$F$30:$F$45,1),),INDEX(基础信息!$N$30:$R$45,MATCH($S26,基础信息!$F$30:$F$45,1),),INDEX(基础信息!$I$30:$M$45,MATCH($S26,基础信息!$F$30:$F$45,1),))*求节点(基础信息!$F$30:$F$45,基础信息!$G$30:$G$45,$S26),0)</f>
        <v>1075.7876120701671</v>
      </c>
      <c r="V26" s="111">
        <f>IFERROR(求节点(基础信息!$F$50:$F$65,基础信息!$G$50:$G$65,$S26),0)*SUMPRODUCT(INDEX($D$5:$H$34,IFERROR(MATCH(求节点(基础信息!$F$50:$F$65,基础信息!$H$50:$H$65,$S26),$C$5:$C$34,1),1),),INDEX(基础信息!$I$50:$M$65,IFERROR(MATCH($S26,基础信息!$F$50:$F$65,1),1),))+IFERROR(SUMPRODUCT(INDEX(门客进修!$AE$45:$AI$60,MATCH($S26,基础信息!$F$50:$F$65,1),),INDEX(基础信息!$N$50:$R$65,MATCH($S26,基础信息!$F$50:$F$65,1),),INDEX(基础信息!$I$50:$M$65,MATCH($S26,基础信息!$F$50:$F$65,1),))*求节点(基础信息!$F$50:$F$65,基础信息!$G$50:$G$65,$S26),0)</f>
        <v>2525.0119552992005</v>
      </c>
      <c r="W26" s="111">
        <f>IFERROR(求节点(基础信息!$F$70:$F$85,基础信息!$G$70:$G$85,$S26),0)*SUMPRODUCT(INDEX($D$5:$H$34,IFERROR(MATCH(求节点(基础信息!$F$70:$F$85,基础信息!$H$70:$H$85,$S26),$C$5:$C$34,1),1),),INDEX(基础信息!$I$70:$M$85,IFERROR(MATCH($S26,基础信息!$F$70:$F$85,1),1),))+IFERROR(SUMPRODUCT(INDEX(门客进修!$AE$65:$AI$80,MATCH($S26,基础信息!$F$70:$F$85,1),),INDEX(基础信息!$N$70:$R$85,MATCH($S26,基础信息!$F$70:$F$85,1),),INDEX(基础信息!$I$70:$M$85,MATCH($S26,基础信息!$F$70:$F$85,1),))*求节点(基础信息!$F$70:$F$85,基础信息!$G$70:$G$85,$S26),0)</f>
        <v>5546.6469122232666</v>
      </c>
      <c r="X26" s="111">
        <f>IFERROR(求节点(基础信息!$F$90:$F$105,基础信息!$G$90:$G$105,$S26),0)*SUMPRODUCT(INDEX($D$5:$H$34,IFERROR(MATCH(求节点(基础信息!$F$90:$F$105,基础信息!$H$90:$H$105,$S26),$C$5:$C$34,1),1),),INDEX(基础信息!$I$90:$M$105,IFERROR(MATCH($S26,基础信息!$F$90:$F$105,1),1),))+IFERROR(SUMPRODUCT(INDEX(门客进修!$AE$85:$AI$100,MATCH($S26,基础信息!$F$90:$F$105,1),),INDEX(基础信息!$N$90:$R$105,MATCH($S26,基础信息!$F$90:$F$105,1),),INDEX(基础信息!$I$90:$M$105,MATCH($S26,基础信息!$F$90:$F$105,1),))*求节点(基础信息!$F$90:$F$105,基础信息!$G$90:$G$105,$S26),0)</f>
        <v>6401.8314126296609</v>
      </c>
    </row>
    <row r="27" spans="3:24" x14ac:dyDescent="0.15">
      <c r="C27" s="111">
        <v>23</v>
      </c>
      <c r="D27" s="111">
        <f t="shared" si="1"/>
        <v>1600</v>
      </c>
      <c r="E27" s="111">
        <f t="shared" si="2"/>
        <v>3200</v>
      </c>
      <c r="F27" s="111">
        <f t="shared" si="3"/>
        <v>6400</v>
      </c>
      <c r="G27" s="111">
        <f t="shared" si="4"/>
        <v>16000</v>
      </c>
      <c r="H27" s="111">
        <f t="shared" si="5"/>
        <v>32000</v>
      </c>
      <c r="S27" s="111">
        <v>23</v>
      </c>
      <c r="T27" s="111">
        <f>IFERROR(求节点(基础信息!$F$10:$F$25,基础信息!$G$10:$G$25,$S27),0)*SUMPRODUCT(INDEX($D$5:$H$34,IFERROR(MATCH(求节点(基础信息!$F$10:$F$25,基础信息!$H$10:$H$25,$S27),$C$5:$C$34,1),1),),INDEX(基础信息!$I$10:$M$25,IFERROR(MATCH($S27,基础信息!$F$10:$F$25,1),1),))+IFERROR(SUMPRODUCT(INDEX(门客进修!$AE$5:$AI$20,MATCH($S27,基础信息!$F$10:$F$25,1),),INDEX(基础信息!$N$10:$R$25,MATCH($S27,基础信息!$F$10:$F$25,1),),INDEX(基础信息!$I$10:$M$25,MATCH($S27,基础信息!$F$10:$F$25,1),))*求节点(基础信息!$F$10:$F$25,基础信息!$G$10:$G$25,$S27),0)</f>
        <v>1081.9980522816732</v>
      </c>
      <c r="U27" s="111">
        <f>IFERROR(求节点(基础信息!$F$30:$F$45,基础信息!$G$30:$G$45,$S27),0)*SUMPRODUCT(INDEX($D$5:$H$34,IFERROR(MATCH(求节点(基础信息!$F$30:$F$45,基础信息!$H$30:$H$45,$S27),$C$5:$C$34,1),1),),INDEX(基础信息!$I$30:$M$45,IFERROR(MATCH($S27,基础信息!$F$30:$F$45,1),1),))+IFERROR(SUMPRODUCT(INDEX(门客进修!$AE$25:$AI$40,MATCH($S27,基础信息!$F$30:$F$45,1),),INDEX(基础信息!$N$30:$R$45,MATCH($S27,基础信息!$F$30:$F$45,1),),INDEX(基础信息!$I$30:$M$45,MATCH($S27,基础信息!$F$30:$F$45,1),))*求节点(基础信息!$F$30:$F$45,基础信息!$G$30:$G$45,$S27),0)</f>
        <v>1258.679815188108</v>
      </c>
      <c r="V27" s="111">
        <f>IFERROR(求节点(基础信息!$F$50:$F$65,基础信息!$G$50:$G$65,$S27),0)*SUMPRODUCT(INDEX($D$5:$H$34,IFERROR(MATCH(求节点(基础信息!$F$50:$F$65,基础信息!$H$50:$H$65,$S27),$C$5:$C$34,1),1),),INDEX(基础信息!$I$50:$M$65,IFERROR(MATCH($S27,基础信息!$F$50:$F$65,1),1),))+IFERROR(SUMPRODUCT(INDEX(门客进修!$AE$45:$AI$60,MATCH($S27,基础信息!$F$50:$F$65,1),),INDEX(基础信息!$N$50:$R$65,MATCH($S27,基础信息!$F$50:$F$65,1),),INDEX(基础信息!$I$50:$M$65,MATCH($S27,基础信息!$F$50:$F$65,1),))*求节点(基础信息!$F$50:$F$65,基础信息!$G$50:$G$65,$S27),0)</f>
        <v>2731.57267159811</v>
      </c>
      <c r="W27" s="111">
        <f>IFERROR(求节点(基础信息!$F$70:$F$85,基础信息!$G$70:$G$85,$S27),0)*SUMPRODUCT(INDEX($D$5:$H$34,IFERROR(MATCH(求节点(基础信息!$F$70:$F$85,基础信息!$H$70:$H$85,$S27),$C$5:$C$34,1),1),),INDEX(基础信息!$I$70:$M$85,IFERROR(MATCH($S27,基础信息!$F$70:$F$85,1),1),))+IFERROR(SUMPRODUCT(INDEX(门客进修!$AE$65:$AI$80,MATCH($S27,基础信息!$F$70:$F$85,1),),INDEX(基础信息!$N$70:$R$85,MATCH($S27,基础信息!$F$70:$F$85,1),),INDEX(基础信息!$I$70:$M$85,MATCH($S27,基础信息!$F$70:$F$85,1),))*求节点(基础信息!$F$70:$F$85,基础信息!$G$70:$G$85,$S27),0)</f>
        <v>6317.948811898882</v>
      </c>
      <c r="X27" s="111">
        <f>IFERROR(求节点(基础信息!$F$90:$F$105,基础信息!$G$90:$G$105,$S27),0)*SUMPRODUCT(INDEX($D$5:$H$34,IFERROR(MATCH(求节点(基础信息!$F$90:$F$105,基础信息!$H$90:$H$105,$S27),$C$5:$C$34,1),1),),INDEX(基础信息!$I$90:$M$105,IFERROR(MATCH($S27,基础信息!$F$90:$F$105,1),1),))+IFERROR(SUMPRODUCT(INDEX(门客进修!$AE$85:$AI$100,MATCH($S27,基础信息!$F$90:$F$105,1),),INDEX(基础信息!$N$90:$R$105,MATCH($S27,基础信息!$F$90:$F$105,1),),INDEX(基础信息!$I$90:$M$105,MATCH($S27,基础信息!$F$90:$F$105,1),))*求节点(基础信息!$F$90:$F$105,基础信息!$G$90:$G$105,$S27),0)</f>
        <v>6774.860197606783</v>
      </c>
    </row>
    <row r="28" spans="3:24" x14ac:dyDescent="0.15">
      <c r="C28" s="111">
        <v>24</v>
      </c>
      <c r="D28" s="111">
        <f t="shared" si="1"/>
        <v>1650</v>
      </c>
      <c r="E28" s="111">
        <f t="shared" si="2"/>
        <v>3300</v>
      </c>
      <c r="F28" s="111">
        <f t="shared" si="3"/>
        <v>6600</v>
      </c>
      <c r="G28" s="111">
        <f t="shared" si="4"/>
        <v>16500</v>
      </c>
      <c r="H28" s="111">
        <f t="shared" si="5"/>
        <v>33000</v>
      </c>
      <c r="S28" s="111">
        <v>24</v>
      </c>
      <c r="T28" s="111">
        <f>IFERROR(求节点(基础信息!$F$10:$F$25,基础信息!$G$10:$G$25,$S28),0)*SUMPRODUCT(INDEX($D$5:$H$34,IFERROR(MATCH(求节点(基础信息!$F$10:$F$25,基础信息!$H$10:$H$25,$S28),$C$5:$C$34,1),1),),INDEX(基础信息!$I$10:$M$25,IFERROR(MATCH($S28,基础信息!$F$10:$F$25,1),1),))+IFERROR(SUMPRODUCT(INDEX(门客进修!$AE$5:$AI$20,MATCH($S28,基础信息!$F$10:$F$25,1),),INDEX(基础信息!$N$10:$R$25,MATCH($S28,基础信息!$F$10:$F$25,1),),INDEX(基础信息!$I$10:$M$25,MATCH($S28,基础信息!$F$10:$F$25,1),))*求节点(基础信息!$F$10:$F$25,基础信息!$G$10:$G$25,$S28),0)</f>
        <v>1262.6861563609014</v>
      </c>
      <c r="U28" s="111">
        <f>IFERROR(求节点(基础信息!$F$30:$F$45,基础信息!$G$30:$G$45,$S28),0)*SUMPRODUCT(INDEX($D$5:$H$34,IFERROR(MATCH(求节点(基础信息!$F$30:$F$45,基础信息!$H$30:$H$45,$S28),$C$5:$C$34,1),1),),INDEX(基础信息!$I$30:$M$45,IFERROR(MATCH($S28,基础信息!$F$30:$F$45,1),1),))+IFERROR(SUMPRODUCT(INDEX(门客进修!$AE$25:$AI$40,MATCH($S28,基础信息!$F$30:$F$45,1),),INDEX(基础信息!$N$30:$R$45,MATCH($S28,基础信息!$F$30:$F$45,1),),INDEX(基础信息!$I$30:$M$45,MATCH($S28,基础信息!$F$30:$F$45,1),))*求节点(基础信息!$F$30:$F$45,基础信息!$G$30:$G$45,$S28),0)</f>
        <v>1358.8191250698821</v>
      </c>
      <c r="V28" s="111">
        <f>IFERROR(求节点(基础信息!$F$50:$F$65,基础信息!$G$50:$G$65,$S28),0)*SUMPRODUCT(INDEX($D$5:$H$34,IFERROR(MATCH(求节点(基础信息!$F$50:$F$65,基础信息!$H$50:$H$65,$S28),$C$5:$C$34,1),1),),INDEX(基础信息!$I$50:$M$65,IFERROR(MATCH($S28,基础信息!$F$50:$F$65,1),1),))+IFERROR(SUMPRODUCT(INDEX(门客进修!$AE$45:$AI$60,MATCH($S28,基础信息!$F$50:$F$65,1),),INDEX(基础信息!$N$50:$R$65,MATCH($S28,基础信息!$F$50:$F$65,1),),INDEX(基础信息!$I$50:$M$65,MATCH($S28,基础信息!$F$50:$F$65,1),))*求节点(基础信息!$F$50:$F$65,基础信息!$G$50:$G$65,$S28),0)</f>
        <v>5198.7201399830483</v>
      </c>
      <c r="W28" s="111">
        <f>IFERROR(求节点(基础信息!$F$70:$F$85,基础信息!$G$70:$G$85,$S28),0)*SUMPRODUCT(INDEX($D$5:$H$34,IFERROR(MATCH(求节点(基础信息!$F$70:$F$85,基础信息!$H$70:$H$85,$S28),$C$5:$C$34,1),1),),INDEX(基础信息!$I$70:$M$85,IFERROR(MATCH($S28,基础信息!$F$70:$F$85,1),1),))+IFERROR(SUMPRODUCT(INDEX(门客进修!$AE$65:$AI$80,MATCH($S28,基础信息!$F$70:$F$85,1),),INDEX(基础信息!$N$70:$R$85,MATCH($S28,基础信息!$F$70:$F$85,1),),INDEX(基础信息!$I$70:$M$85,MATCH($S28,基础信息!$F$70:$F$85,1),))*求节点(基础信息!$F$70:$F$85,基础信息!$G$70:$G$85,$S28),0)</f>
        <v>6681.1197587127917</v>
      </c>
      <c r="X28" s="111">
        <f>IFERROR(求节点(基础信息!$F$90:$F$105,基础信息!$G$90:$G$105,$S28),0)*SUMPRODUCT(INDEX($D$5:$H$34,IFERROR(MATCH(求节点(基础信息!$F$90:$F$105,基础信息!$H$90:$H$105,$S28),$C$5:$C$34,1),1),),INDEX(基础信息!$I$90:$M$105,IFERROR(MATCH($S28,基础信息!$F$90:$F$105,1),1),))+IFERROR(SUMPRODUCT(INDEX(门客进修!$AE$85:$AI$100,MATCH($S28,基础信息!$F$90:$F$105,1),),INDEX(基础信息!$N$90:$R$105,MATCH($S28,基础信息!$F$90:$F$105,1),),INDEX(基础信息!$I$90:$M$105,MATCH($S28,基础信息!$F$90:$F$105,1),))*求节点(基础信息!$F$90:$F$105,基础信息!$G$90:$G$105,$S28),0)</f>
        <v>7624.4149147561657</v>
      </c>
    </row>
    <row r="29" spans="3:24" x14ac:dyDescent="0.15">
      <c r="C29" s="111">
        <v>25</v>
      </c>
      <c r="D29" s="111">
        <f t="shared" si="1"/>
        <v>1700</v>
      </c>
      <c r="E29" s="111">
        <f t="shared" si="2"/>
        <v>3400</v>
      </c>
      <c r="F29" s="111">
        <f t="shared" si="3"/>
        <v>6800</v>
      </c>
      <c r="G29" s="111">
        <f t="shared" si="4"/>
        <v>17000</v>
      </c>
      <c r="H29" s="111">
        <f t="shared" si="5"/>
        <v>34000</v>
      </c>
      <c r="S29" s="111">
        <v>25</v>
      </c>
      <c r="T29" s="111">
        <f>IFERROR(求节点(基础信息!$F$10:$F$25,基础信息!$G$10:$G$25,$S29),0)*SUMPRODUCT(INDEX($D$5:$H$34,IFERROR(MATCH(求节点(基础信息!$F$10:$F$25,基础信息!$H$10:$H$25,$S29),$C$5:$C$34,1),1),),INDEX(基础信息!$I$10:$M$25,IFERROR(MATCH($S29,基础信息!$F$10:$F$25,1),1),))+IFERROR(SUMPRODUCT(INDEX(门客进修!$AE$5:$AI$20,MATCH($S29,基础信息!$F$10:$F$25,1),),INDEX(基础信息!$N$10:$R$25,MATCH($S29,基础信息!$F$10:$F$25,1),),INDEX(基础信息!$I$10:$M$25,MATCH($S29,基础信息!$F$10:$F$25,1),))*求节点(基础信息!$F$10:$F$25,基础信息!$G$10:$G$25,$S29),0)</f>
        <v>1360.143641033847</v>
      </c>
      <c r="U29" s="111">
        <f>IFERROR(求节点(基础信息!$F$30:$F$45,基础信息!$G$30:$G$45,$S29),0)*SUMPRODUCT(INDEX($D$5:$H$34,IFERROR(MATCH(求节点(基础信息!$F$30:$F$45,基础信息!$H$30:$H$45,$S29),$C$5:$C$34,1),1),),INDEX(基础信息!$I$30:$M$45,IFERROR(MATCH($S29,基础信息!$F$30:$F$45,1),1),))+IFERROR(SUMPRODUCT(INDEX(门客进修!$AE$25:$AI$40,MATCH($S29,基础信息!$F$30:$F$45,1),),INDEX(基础信息!$N$30:$R$45,MATCH($S29,基础信息!$F$30:$F$45,1),),INDEX(基础信息!$I$30:$M$45,MATCH($S29,基础信息!$F$30:$F$45,1),))*求节点(基础信息!$F$30:$F$45,基础信息!$G$30:$G$45,$S29),0)</f>
        <v>1551.2973511260764</v>
      </c>
      <c r="V29" s="111">
        <f>IFERROR(求节点(基础信息!$F$50:$F$65,基础信息!$G$50:$G$65,$S29),0)*SUMPRODUCT(INDEX($D$5:$H$34,IFERROR(MATCH(求节点(基础信息!$F$50:$F$65,基础信息!$H$50:$H$65,$S29),$C$5:$C$34,1),1),),INDEX(基础信息!$I$50:$M$65,IFERROR(MATCH($S29,基础信息!$F$50:$F$65,1),1),))+IFERROR(SUMPRODUCT(INDEX(门客进修!$AE$45:$AI$60,MATCH($S29,基础信息!$F$50:$F$65,1),),INDEX(基础信息!$N$50:$R$65,MATCH($S29,基础信息!$F$50:$F$65,1),),INDEX(基础信息!$I$50:$M$65,MATCH($S29,基础信息!$F$50:$F$65,1),))*求节点(基础信息!$F$50:$F$65,基础信息!$G$50:$G$65,$S29),0)</f>
        <v>5495.8805519793095</v>
      </c>
      <c r="W29" s="111">
        <f>IFERROR(求节点(基础信息!$F$70:$F$85,基础信息!$G$70:$G$85,$S29),0)*SUMPRODUCT(INDEX($D$5:$H$34,IFERROR(MATCH(求节点(基础信息!$F$70:$F$85,基础信息!$H$70:$H$85,$S29),$C$5:$C$34,1),1),),INDEX(基础信息!$I$70:$M$85,IFERROR(MATCH($S29,基础信息!$F$70:$F$85,1),1),))+IFERROR(SUMPRODUCT(INDEX(门客进修!$AE$65:$AI$80,MATCH($S29,基础信息!$F$70:$F$85,1),),INDEX(基础信息!$N$70:$R$85,MATCH($S29,基础信息!$F$70:$F$85,1),),INDEX(基础信息!$I$70:$M$85,MATCH($S29,基础信息!$F$70:$F$85,1),))*求节点(基础信息!$F$70:$F$85,基础信息!$G$70:$G$85,$S29),0)</f>
        <v>7513.9100858951479</v>
      </c>
      <c r="X29" s="111">
        <f>IFERROR(求节点(基础信息!$F$90:$F$105,基础信息!$G$90:$G$105,$S29),0)*SUMPRODUCT(INDEX($D$5:$H$34,IFERROR(MATCH(求节点(基础信息!$F$90:$F$105,基础信息!$H$90:$H$105,$S29),$C$5:$C$34,1),1),),INDEX(基础信息!$I$90:$M$105,IFERROR(MATCH($S29,基础信息!$F$90:$F$105,1),1),))+IFERROR(SUMPRODUCT(INDEX(门客进修!$AE$85:$AI$100,MATCH($S29,基础信息!$F$90:$F$105,1),),INDEX(基础信息!$N$90:$R$105,MATCH($S29,基础信息!$F$90:$F$105,1),),INDEX(基础信息!$I$90:$M$105,MATCH($S29,基础信息!$F$90:$F$105,1),))*求节点(基础信息!$F$90:$F$105,基础信息!$G$90:$G$105,$S29),0)</f>
        <v>8022.3122853984278</v>
      </c>
    </row>
    <row r="30" spans="3:24" x14ac:dyDescent="0.15">
      <c r="C30" s="111">
        <v>26</v>
      </c>
      <c r="D30" s="111">
        <f t="shared" si="1"/>
        <v>1750</v>
      </c>
      <c r="E30" s="111">
        <f t="shared" si="2"/>
        <v>3500</v>
      </c>
      <c r="F30" s="111">
        <f t="shared" si="3"/>
        <v>7000</v>
      </c>
      <c r="G30" s="111">
        <f t="shared" si="4"/>
        <v>17500</v>
      </c>
      <c r="H30" s="111">
        <f t="shared" si="5"/>
        <v>35000</v>
      </c>
      <c r="S30" s="111">
        <v>26</v>
      </c>
      <c r="T30" s="111">
        <f>IFERROR(求节点(基础信息!$F$10:$F$25,基础信息!$G$10:$G$25,$S30),0)*SUMPRODUCT(INDEX($D$5:$H$34,IFERROR(MATCH(求节点(基础信息!$F$10:$F$25,基础信息!$H$10:$H$25,$S30),$C$5:$C$34,1),1),),INDEX(基础信息!$I$10:$M$25,IFERROR(MATCH($S30,基础信息!$F$10:$F$25,1),1),))+IFERROR(SUMPRODUCT(INDEX(门客进修!$AE$5:$AI$20,MATCH($S30,基础信息!$F$10:$F$25,1),),INDEX(基础信息!$N$10:$R$25,MATCH($S30,基础信息!$F$10:$F$25,1),),INDEX(基础信息!$I$10:$M$25,MATCH($S30,基础信息!$F$10:$F$25,1),))*求节点(基础信息!$F$10:$F$25,基础信息!$G$10:$G$25,$S30),0)</f>
        <v>1550.82516702096</v>
      </c>
      <c r="U30" s="111">
        <f>IFERROR(求节点(基础信息!$F$30:$F$45,基础信息!$G$30:$G$45,$S30),0)*SUMPRODUCT(INDEX($D$5:$H$34,IFERROR(MATCH(求节点(基础信息!$F$30:$F$45,基础信息!$H$30:$H$45,$S30),$C$5:$C$34,1),1),),INDEX(基础信息!$I$30:$M$45,IFERROR(MATCH($S30,基础信息!$F$30:$F$45,1),1),))+IFERROR(SUMPRODUCT(INDEX(门客进修!$AE$25:$AI$40,MATCH($S30,基础信息!$F$30:$F$45,1),),INDEX(基础信息!$N$30:$R$45,MATCH($S30,基础信息!$F$30:$F$45,1),),INDEX(基础信息!$I$30:$M$45,MATCH($S30,基础信息!$F$30:$F$45,1),))*求节点(基础信息!$F$30:$F$45,基础信息!$G$30:$G$45,$S30),0)</f>
        <v>1638.4245169801291</v>
      </c>
      <c r="V30" s="111">
        <f>IFERROR(求节点(基础信息!$F$50:$F$65,基础信息!$G$50:$G$65,$S30),0)*SUMPRODUCT(INDEX($D$5:$H$34,IFERROR(MATCH(求节点(基础信息!$F$50:$F$65,基础信息!$H$50:$H$65,$S30),$C$5:$C$34,1),1),),INDEX(基础信息!$I$50:$M$65,IFERROR(MATCH($S30,基础信息!$F$50:$F$65,1),1),))+IFERROR(SUMPRODUCT(INDEX(门客进修!$AE$45:$AI$60,MATCH($S30,基础信息!$F$50:$F$65,1),),INDEX(基础信息!$N$50:$R$65,MATCH($S30,基础信息!$F$50:$F$65,1),),INDEX(基础信息!$I$50:$M$65,MATCH($S30,基础信息!$F$50:$F$65,1),))*求节点(基础信息!$F$50:$F$65,基础信息!$G$50:$G$65,$S30),0)</f>
        <v>5793.0409639755717</v>
      </c>
      <c r="W30" s="111">
        <f>IFERROR(求节点(基础信息!$F$70:$F$85,基础信息!$G$70:$G$85,$S30),0)*SUMPRODUCT(INDEX($D$5:$H$34,IFERROR(MATCH(求节点(基础信息!$F$70:$F$85,基础信息!$H$70:$H$85,$S30),$C$5:$C$34,1),1),),INDEX(基础信息!$I$70:$M$85,IFERROR(MATCH($S30,基础信息!$F$70:$F$85,1),1),))+IFERROR(SUMPRODUCT(INDEX(门客进修!$AE$65:$AI$80,MATCH($S30,基础信息!$F$70:$F$85,1),),INDEX(基础信息!$N$70:$R$85,MATCH($S30,基础信息!$F$70:$F$85,1),),INDEX(基础信息!$I$70:$M$85,MATCH($S30,基础信息!$F$70:$F$85,1),))*求节点(基础信息!$F$70:$F$85,基础信息!$G$70:$G$85,$S30),0)</f>
        <v>7901.292429163318</v>
      </c>
      <c r="X30" s="111">
        <f>IFERROR(求节点(基础信息!$F$90:$F$105,基础信息!$G$90:$G$105,$S30),0)*SUMPRODUCT(INDEX($D$5:$H$34,IFERROR(MATCH(求节点(基础信息!$F$90:$F$105,基础信息!$H$90:$H$105,$S30),$C$5:$C$34,1),1),),INDEX(基础信息!$I$90:$M$105,IFERROR(MATCH($S30,基础信息!$F$90:$F$105,1),1),))+IFERROR(SUMPRODUCT(INDEX(门客进修!$AE$85:$AI$100,MATCH($S30,基础信息!$F$90:$F$105,1),),INDEX(基础信息!$N$90:$R$105,MATCH($S30,基础信息!$F$90:$F$105,1),),INDEX(基础信息!$I$90:$M$105,MATCH($S30,基础信息!$F$90:$F$105,1),))*求节点(基础信息!$F$90:$F$105,基础信息!$G$90:$G$105,$S30),0)</f>
        <v>8420.2096560406917</v>
      </c>
    </row>
    <row r="31" spans="3:24" x14ac:dyDescent="0.15">
      <c r="C31" s="111">
        <v>27</v>
      </c>
      <c r="D31" s="111">
        <f t="shared" si="1"/>
        <v>1800</v>
      </c>
      <c r="E31" s="111">
        <f t="shared" si="2"/>
        <v>3600</v>
      </c>
      <c r="F31" s="111">
        <f t="shared" si="3"/>
        <v>7200</v>
      </c>
      <c r="G31" s="111">
        <f t="shared" si="4"/>
        <v>18000</v>
      </c>
      <c r="H31" s="111">
        <f t="shared" si="5"/>
        <v>36000</v>
      </c>
      <c r="S31" s="111">
        <v>27</v>
      </c>
      <c r="T31" s="111">
        <f>IFERROR(求节点(基础信息!$F$10:$F$25,基础信息!$G$10:$G$25,$S31),0)*SUMPRODUCT(INDEX($D$5:$H$34,IFERROR(MATCH(求节点(基础信息!$F$10:$F$25,基础信息!$H$10:$H$25,$S31),$C$5:$C$34,1),1),),INDEX(基础信息!$I$10:$M$25,IFERROR(MATCH($S31,基础信息!$F$10:$F$25,1),1),))+IFERROR(SUMPRODUCT(INDEX(门客进修!$AE$5:$AI$20,MATCH($S31,基础信息!$F$10:$F$25,1),),INDEX(基础信息!$N$10:$R$25,MATCH($S31,基础信息!$F$10:$F$25,1),),INDEX(基础信息!$I$10:$M$25,MATCH($S31,基础信息!$F$10:$F$25,1),))*求节点(基础信息!$F$10:$F$25,基础信息!$G$10:$G$25,$S31),0)</f>
        <v>1636.8181554420346</v>
      </c>
      <c r="U31" s="111">
        <f>IFERROR(求节点(基础信息!$F$30:$F$45,基础信息!$G$30:$G$45,$S31),0)*SUMPRODUCT(INDEX($D$5:$H$34,IFERROR(MATCH(求节点(基础信息!$F$30:$F$45,基础信息!$H$30:$H$45,$S31),$C$5:$C$34,1),1),),INDEX(基础信息!$I$30:$M$45,IFERROR(MATCH($S31,基础信息!$F$30:$F$45,1),1),))+IFERROR(SUMPRODUCT(INDEX(门客进修!$AE$25:$AI$40,MATCH($S31,基础信息!$F$30:$F$45,1),),INDEX(基础信息!$N$30:$R$45,MATCH($S31,基础信息!$F$30:$F$45,1),),INDEX(基础信息!$I$30:$M$45,MATCH($S31,基础信息!$F$30:$F$45,1),))*求节点(基础信息!$F$30:$F$45,基础信息!$G$30:$G$45,$S31),0)</f>
        <v>1725.5516828341817</v>
      </c>
      <c r="V31" s="111">
        <f>IFERROR(求节点(基础信息!$F$50:$F$65,基础信息!$G$50:$G$65,$S31),0)*SUMPRODUCT(INDEX($D$5:$H$34,IFERROR(MATCH(求节点(基础信息!$F$50:$F$65,基础信息!$H$50:$H$65,$S31),$C$5:$C$34,1),1),),INDEX(基础信息!$I$50:$M$65,IFERROR(MATCH($S31,基础信息!$F$50:$F$65,1),1),))+IFERROR(SUMPRODUCT(INDEX(门客进修!$AE$45:$AI$60,MATCH($S31,基础信息!$F$50:$F$65,1),),INDEX(基础信息!$N$50:$R$65,MATCH($S31,基础信息!$F$50:$F$65,1),),INDEX(基础信息!$I$50:$M$65,MATCH($S31,基础信息!$F$50:$F$65,1),))*求节点(基础信息!$F$50:$F$65,基础信息!$G$50:$G$65,$S31),0)</f>
        <v>6455.6134585301461</v>
      </c>
      <c r="W31" s="111">
        <f>IFERROR(求节点(基础信息!$F$70:$F$85,基础信息!$G$70:$G$85,$S31),0)*SUMPRODUCT(INDEX($D$5:$H$34,IFERROR(MATCH(求节点(基础信息!$F$70:$F$85,基础信息!$H$70:$H$85,$S31),$C$5:$C$34,1),1),),INDEX(基础信息!$I$70:$M$85,IFERROR(MATCH($S31,基础信息!$F$70:$F$85,1),1),))+IFERROR(SUMPRODUCT(INDEX(门客进修!$AE$65:$AI$80,MATCH($S31,基础信息!$F$70:$F$85,1),),INDEX(基础信息!$N$70:$R$85,MATCH($S31,基础信息!$F$70:$F$85,1),),INDEX(基础信息!$I$70:$M$85,MATCH($S31,基础信息!$F$70:$F$85,1),))*求节点(基础信息!$F$70:$F$85,基础信息!$G$70:$G$85,$S31),0)</f>
        <v>8288.6747724314882</v>
      </c>
      <c r="X31" s="111">
        <f>IFERROR(求节点(基础信息!$F$90:$F$105,基础信息!$G$90:$G$105,$S31),0)*SUMPRODUCT(INDEX($D$5:$H$34,IFERROR(MATCH(求节点(基础信息!$F$90:$F$105,基础信息!$H$90:$H$105,$S31),$C$5:$C$34,1),1),),INDEX(基础信息!$I$90:$M$105,IFERROR(MATCH($S31,基础信息!$F$90:$F$105,1),1),))+IFERROR(SUMPRODUCT(INDEX(门客进修!$AE$85:$AI$100,MATCH($S31,基础信息!$F$90:$F$105,1),),INDEX(基础信息!$N$90:$R$105,MATCH($S31,基础信息!$F$90:$F$105,1),),INDEX(基础信息!$I$90:$M$105,MATCH($S31,基础信息!$F$90:$F$105,1),))*求节点(基础信息!$F$90:$F$105,基础信息!$G$90:$G$105,$S31),0)</f>
        <v>9369.238715850639</v>
      </c>
    </row>
    <row r="32" spans="3:24" x14ac:dyDescent="0.15">
      <c r="C32" s="111">
        <v>28</v>
      </c>
      <c r="D32" s="111">
        <f t="shared" si="1"/>
        <v>1850</v>
      </c>
      <c r="E32" s="111">
        <f t="shared" si="2"/>
        <v>3700</v>
      </c>
      <c r="F32" s="111">
        <f t="shared" si="3"/>
        <v>7400</v>
      </c>
      <c r="G32" s="111">
        <f t="shared" si="4"/>
        <v>18500</v>
      </c>
      <c r="H32" s="111">
        <f t="shared" si="5"/>
        <v>37000</v>
      </c>
      <c r="S32" s="111">
        <v>28</v>
      </c>
      <c r="T32" s="111">
        <f>IFERROR(求节点(基础信息!$F$10:$F$25,基础信息!$G$10:$G$25,$S32),0)*SUMPRODUCT(INDEX($D$5:$H$34,IFERROR(MATCH(求节点(基础信息!$F$10:$F$25,基础信息!$H$10:$H$25,$S32),$C$5:$C$34,1),1),),INDEX(基础信息!$I$10:$M$25,IFERROR(MATCH($S32,基础信息!$F$10:$F$25,1),1),))+IFERROR(SUMPRODUCT(INDEX(门客进修!$AE$5:$AI$20,MATCH($S32,基础信息!$F$10:$F$25,1),),INDEX(基础信息!$N$10:$R$25,MATCH($S32,基础信息!$F$10:$F$25,1),),INDEX(基础信息!$I$10:$M$25,MATCH($S32,基础信息!$F$10:$F$25,1),))*求节点(基础信息!$F$10:$F$25,基础信息!$G$10:$G$25,$S32),0)</f>
        <v>1722.8111438631097</v>
      </c>
      <c r="U32" s="111">
        <f>IFERROR(求节点(基础信息!$F$30:$F$45,基础信息!$G$30:$G$45,$S32),0)*SUMPRODUCT(INDEX($D$5:$H$34,IFERROR(MATCH(求节点(基础信息!$F$30:$F$45,基础信息!$H$30:$H$45,$S32),$C$5:$C$34,1),1),),INDEX(基础信息!$I$30:$M$45,IFERROR(MATCH($S32,基础信息!$F$30:$F$45,1),1),))+IFERROR(SUMPRODUCT(INDEX(门客进修!$AE$25:$AI$40,MATCH($S32,基础信息!$F$30:$F$45,1),),INDEX(基础信息!$N$30:$R$45,MATCH($S32,基础信息!$F$30:$F$45,1),),INDEX(基础信息!$I$30:$M$45,MATCH($S32,基础信息!$F$30:$F$45,1),))*求节点(基础信息!$F$30:$F$45,基础信息!$G$30:$G$45,$S32),0)</f>
        <v>1933.5241052674505</v>
      </c>
      <c r="V32" s="111">
        <f>IFERROR(求节点(基础信息!$F$50:$F$65,基础信息!$G$50:$G$65,$S32),0)*SUMPRODUCT(INDEX($D$5:$H$34,IFERROR(MATCH(求节点(基础信息!$F$50:$F$65,基础信息!$H$50:$H$65,$S32),$C$5:$C$34,1),1),),INDEX(基础信息!$I$50:$M$65,IFERROR(MATCH($S32,基础信息!$F$50:$F$65,1),1),))+IFERROR(SUMPRODUCT(INDEX(门客进修!$AE$45:$AI$60,MATCH($S32,基础信息!$F$50:$F$65,1),),INDEX(基础信息!$N$50:$R$65,MATCH($S32,基础信息!$F$50:$F$65,1),),INDEX(基础信息!$I$50:$M$65,MATCH($S32,基础信息!$F$50:$F$65,1),))*求节点(基础信息!$F$50:$F$65,基础信息!$G$50:$G$65,$S32),0)</f>
        <v>6770.6034952461832</v>
      </c>
      <c r="W32" s="111">
        <f>IFERROR(求节点(基础信息!$F$70:$F$85,基础信息!$G$70:$G$85,$S32),0)*SUMPRODUCT(INDEX($D$5:$H$34,IFERROR(MATCH(求节点(基础信息!$F$70:$F$85,基础信息!$H$70:$H$85,$S32),$C$5:$C$34,1),1),),INDEX(基础信息!$I$70:$M$85,IFERROR(MATCH($S32,基础信息!$F$70:$F$85,1),1),))+IFERROR(SUMPRODUCT(INDEX(门客进修!$AE$65:$AI$80,MATCH($S32,基础信息!$F$70:$F$85,1),),INDEX(基础信息!$N$70:$R$85,MATCH($S32,基础信息!$F$70:$F$85,1),),INDEX(基础信息!$I$70:$M$85,MATCH($S32,基础信息!$F$70:$F$85,1),))*求节点(基础信息!$F$70:$F$85,基础信息!$G$70:$G$85,$S32),0)</f>
        <v>9218.3106854308899</v>
      </c>
      <c r="X32" s="111">
        <f>IFERROR(求节点(基础信息!$F$90:$F$105,基础信息!$G$90:$G$105,$S32),0)*SUMPRODUCT(INDEX($D$5:$H$34,IFERROR(MATCH(求节点(基础信息!$F$90:$F$105,基础信息!$H$90:$H$105,$S32),$C$5:$C$34,1),1),),INDEX(基础信息!$I$90:$M$105,IFERROR(MATCH($S32,基础信息!$F$90:$F$105,1),1),))+IFERROR(SUMPRODUCT(INDEX(门客进修!$AE$85:$AI$100,MATCH($S32,基础信息!$F$90:$F$105,1),),INDEX(基础信息!$N$90:$R$105,MATCH($S32,基础信息!$F$90:$F$105,1),),INDEX(基础信息!$I$90:$M$105,MATCH($S32,基础信息!$F$90:$F$105,1),))*求节点(基础信息!$F$90:$F$105,基础信息!$G$90:$G$105,$S32),0)</f>
        <v>9792.0046721580457</v>
      </c>
    </row>
    <row r="33" spans="3:24" x14ac:dyDescent="0.15">
      <c r="C33" s="111">
        <v>29</v>
      </c>
      <c r="D33" s="111">
        <f t="shared" si="1"/>
        <v>1900</v>
      </c>
      <c r="E33" s="111">
        <f t="shared" si="2"/>
        <v>3800</v>
      </c>
      <c r="F33" s="111">
        <f t="shared" si="3"/>
        <v>7600</v>
      </c>
      <c r="G33" s="111">
        <f t="shared" si="4"/>
        <v>19000</v>
      </c>
      <c r="H33" s="111">
        <f t="shared" si="5"/>
        <v>38000</v>
      </c>
      <c r="S33" s="111">
        <v>29</v>
      </c>
      <c r="T33" s="111">
        <f>IFERROR(求节点(基础信息!$F$10:$F$25,基础信息!$G$10:$G$25,$S33),0)*SUMPRODUCT(INDEX($D$5:$H$34,IFERROR(MATCH(求节点(基础信息!$F$10:$F$25,基础信息!$H$10:$H$25,$S33),$C$5:$C$34,1),1),),INDEX(基础信息!$I$10:$M$25,IFERROR(MATCH($S33,基础信息!$F$10:$F$25,1),1),))+IFERROR(SUMPRODUCT(INDEX(门客进修!$AE$5:$AI$20,MATCH($S33,基础信息!$F$10:$F$25,1),),INDEX(基础信息!$N$10:$R$25,MATCH($S33,基础信息!$F$10:$F$25,1),),INDEX(基础信息!$I$10:$M$25,MATCH($S33,基础信息!$F$10:$F$25,1),))*求节点(基础信息!$F$10:$F$25,基础信息!$G$10:$G$25,$S33),0)</f>
        <v>1929.3910744364639</v>
      </c>
      <c r="U33" s="111">
        <f>IFERROR(求节点(基础信息!$F$30:$F$45,基础信息!$G$30:$G$45,$S33),0)*SUMPRODUCT(INDEX($D$5:$H$34,IFERROR(MATCH(求节点(基础信息!$F$30:$F$45,基础信息!$H$30:$H$45,$S33),$C$5:$C$34,1),1),),INDEX(基础信息!$I$30:$M$45,IFERROR(MATCH($S33,基础信息!$F$30:$F$45,1),1),))+IFERROR(SUMPRODUCT(INDEX(门客进修!$AE$25:$AI$40,MATCH($S33,基础信息!$F$30:$F$45,1),),INDEX(基础信息!$N$30:$R$45,MATCH($S33,基础信息!$F$30:$F$45,1),),INDEX(基础信息!$I$30:$M$45,MATCH($S33,基础信息!$F$30:$F$45,1),))*求节点(基础信息!$F$30:$F$45,基础信息!$G$30:$G$45,$S33),0)</f>
        <v>2026.4597488451066</v>
      </c>
      <c r="V33" s="111">
        <f>IFERROR(求节点(基础信息!$F$50:$F$65,基础信息!$G$50:$G$65,$S33),0)*SUMPRODUCT(INDEX($D$5:$H$34,IFERROR(MATCH(求节点(基础信息!$F$50:$F$65,基础信息!$H$50:$H$65,$S33),$C$5:$C$34,1),1),),INDEX(基础信息!$I$50:$M$65,IFERROR(MATCH($S33,基础信息!$F$50:$F$65,1),1),))+IFERROR(SUMPRODUCT(INDEX(门客进修!$AE$45:$AI$60,MATCH($S33,基础信息!$F$50:$F$65,1),),INDEX(基础信息!$N$50:$R$65,MATCH($S33,基础信息!$F$50:$F$65,1),),INDEX(基础信息!$I$50:$M$65,MATCH($S33,基础信息!$F$50:$F$65,1),))*求节点(基础信息!$F$50:$F$65,基础信息!$G$50:$G$65,$S33),0)</f>
        <v>7486.6648639600835</v>
      </c>
      <c r="W33" s="111">
        <f>IFERROR(求节点(基础信息!$F$70:$F$85,基础信息!$G$70:$G$85,$S33),0)*SUMPRODUCT(INDEX($D$5:$H$34,IFERROR(MATCH(求节点(基础信息!$F$70:$F$85,基础信息!$H$70:$H$85,$S33),$C$5:$C$34,1),1),),INDEX(基础信息!$I$70:$M$85,IFERROR(MATCH($S33,基础信息!$F$70:$F$85,1),1),))+IFERROR(SUMPRODUCT(INDEX(门客进修!$AE$65:$AI$80,MATCH($S33,基础信息!$F$70:$F$85,1),),INDEX(基础信息!$N$70:$R$85,MATCH($S33,基础信息!$F$70:$F$85,1),),INDEX(基础信息!$I$70:$M$85,MATCH($S33,基础信息!$F$70:$F$85,1),))*求节点(基础信息!$F$70:$F$85,基础信息!$G$70:$G$85,$S33),0)</f>
        <v>9629.9044251533196</v>
      </c>
      <c r="X33" s="111">
        <f>IFERROR(求节点(基础信息!$F$90:$F$105,基础信息!$G$90:$G$105,$S33),0)*SUMPRODUCT(INDEX($D$5:$H$34,IFERROR(MATCH(求节点(基础信息!$F$90:$F$105,基础信息!$H$90:$H$105,$S33),$C$5:$C$34,1),1),),INDEX(基础信息!$I$90:$M$105,IFERROR(MATCH($S33,基础信息!$F$90:$F$105,1),1),))+IFERROR(SUMPRODUCT(INDEX(门客进修!$AE$85:$AI$100,MATCH($S33,基础信息!$F$90:$F$105,1),),INDEX(基础信息!$N$90:$R$105,MATCH($S33,基础信息!$F$90:$F$105,1),),INDEX(基础信息!$I$90:$M$105,MATCH($S33,基础信息!$F$90:$F$105,1),))*求节点(基础信息!$F$90:$F$105,基础信息!$G$90:$G$105,$S33),0)</f>
        <v>18925.365801428179</v>
      </c>
    </row>
    <row r="34" spans="3:24" x14ac:dyDescent="0.15">
      <c r="C34" s="111">
        <v>30</v>
      </c>
      <c r="D34" s="111">
        <f t="shared" si="1"/>
        <v>1950</v>
      </c>
      <c r="E34" s="111">
        <f t="shared" si="2"/>
        <v>3900</v>
      </c>
      <c r="F34" s="111">
        <f t="shared" si="3"/>
        <v>7800</v>
      </c>
      <c r="G34" s="111">
        <f t="shared" si="4"/>
        <v>19500</v>
      </c>
      <c r="H34" s="111">
        <f t="shared" si="5"/>
        <v>39000</v>
      </c>
      <c r="S34" s="111">
        <v>30</v>
      </c>
      <c r="T34" s="111">
        <f>IFERROR(求节点(基础信息!$F$10:$F$25,基础信息!$G$10:$G$25,$S34),0)*SUMPRODUCT(INDEX($D$5:$H$34,IFERROR(MATCH(求节点(基础信息!$F$10:$F$25,基础信息!$H$10:$H$25,$S34),$C$5:$C$34,1),1),),INDEX(基础信息!$I$10:$M$25,IFERROR(MATCH($S34,基础信息!$F$10:$F$25,1),1),))+IFERROR(SUMPRODUCT(INDEX(门客进修!$AE$5:$AI$20,MATCH($S34,基础信息!$F$10:$F$25,1),),INDEX(基础信息!$N$10:$R$25,MATCH($S34,基础信息!$F$10:$F$25,1),),INDEX(基础信息!$I$10:$M$25,MATCH($S34,基础信息!$F$10:$F$25,1),))*求节点(基础信息!$F$10:$F$25,基础信息!$G$10:$G$25,$S34),0)</f>
        <v>2021.1169287522771</v>
      </c>
      <c r="U34" s="111">
        <f>IFERROR(求节点(基础信息!$F$30:$F$45,基础信息!$G$30:$G$45,$S34),0)*SUMPRODUCT(INDEX($D$5:$H$34,IFERROR(MATCH(求节点(基础信息!$F$30:$F$45,基础信息!$H$30:$H$45,$S34),$C$5:$C$34,1),1),),INDEX(基础信息!$I$30:$M$45,IFERROR(MATCH($S34,基础信息!$F$30:$F$45,1),1),))+IFERROR(SUMPRODUCT(INDEX(门客进修!$AE$25:$AI$40,MATCH($S34,基础信息!$F$30:$F$45,1),),INDEX(基础信息!$N$30:$R$45,MATCH($S34,基础信息!$F$30:$F$45,1),),INDEX(基础信息!$I$30:$M$45,MATCH($S34,基础信息!$F$30:$F$45,1),))*求节点(基础信息!$F$30:$F$45,基础信息!$G$30:$G$45,$S34),0)</f>
        <v>2119.3953924227626</v>
      </c>
      <c r="V34" s="111">
        <f>IFERROR(求节点(基础信息!$F$50:$F$65,基础信息!$G$50:$G$65,$S34),0)*SUMPRODUCT(INDEX($D$5:$H$34,IFERROR(MATCH(求节点(基础信息!$F$50:$F$65,基础信息!$H$50:$H$65,$S34),$C$5:$C$34,1),1),),INDEX(基础信息!$I$50:$M$65,IFERROR(MATCH($S34,基础信息!$F$50:$F$65,1),1),))+IFERROR(SUMPRODUCT(INDEX(门客进修!$AE$45:$AI$60,MATCH($S34,基础信息!$F$50:$F$65,1),),INDEX(基础信息!$N$50:$R$65,MATCH($S34,基础信息!$F$50:$F$65,1),),INDEX(基础信息!$I$50:$M$65,MATCH($S34,基础信息!$F$50:$F$65,1),))*求节点(基础信息!$F$50:$F$65,基础信息!$G$50:$G$65,$S34),0)</f>
        <v>7819.4845253958974</v>
      </c>
      <c r="W34" s="111">
        <f>IFERROR(求节点(基础信息!$F$70:$F$85,基础信息!$G$70:$G$85,$S34),0)*SUMPRODUCT(INDEX($D$5:$H$34,IFERROR(MATCH(求节点(基础信息!$F$70:$F$85,基础信息!$H$70:$H$85,$S34),$C$5:$C$34,1),1),),INDEX(基础信息!$I$70:$M$85,IFERROR(MATCH($S34,基础信息!$F$70:$F$85,1),1),))+IFERROR(SUMPRODUCT(INDEX(门客进修!$AE$65:$AI$80,MATCH($S34,基础信息!$F$70:$F$85,1),),INDEX(基础信息!$N$70:$R$85,MATCH($S34,基础信息!$F$70:$F$85,1),),INDEX(基础信息!$I$70:$M$85,MATCH($S34,基础信息!$F$70:$F$85,1),))*求节点(基础信息!$F$70:$F$85,基础信息!$G$70:$G$85,$S34),0)</f>
        <v>10041.498164875751</v>
      </c>
      <c r="X34" s="111">
        <f>IFERROR(求节点(基础信息!$F$90:$F$105,基础信息!$G$90:$G$105,$S34),0)*SUMPRODUCT(INDEX($D$5:$H$34,IFERROR(MATCH(求节点(基础信息!$F$90:$F$105,基础信息!$H$90:$H$105,$S34),$C$5:$C$34,1),1),),INDEX(基础信息!$I$90:$M$105,IFERROR(MATCH($S34,基础信息!$F$90:$F$105,1),1),))+IFERROR(SUMPRODUCT(INDEX(门客进修!$AE$85:$AI$100,MATCH($S34,基础信息!$F$90:$F$105,1),),INDEX(基础信息!$N$90:$R$105,MATCH($S34,基础信息!$F$90:$F$105,1),),INDEX(基础信息!$I$90:$M$105,MATCH($S34,基础信息!$F$90:$F$105,1),))*求节点(基础信息!$F$90:$F$105,基础信息!$G$90:$G$105,$S34),0)</f>
        <v>19651.387535938087</v>
      </c>
    </row>
    <row r="35" spans="3:24" x14ac:dyDescent="0.15">
      <c r="S35" s="111">
        <v>31</v>
      </c>
      <c r="T35" s="111">
        <f>IFERROR(求节点(基础信息!$F$10:$F$25,基础信息!$G$10:$G$25,$S35),0)*SUMPRODUCT(INDEX($D$5:$H$34,IFERROR(MATCH(求节点(基础信息!$F$10:$F$25,基础信息!$H$10:$H$25,$S35),$C$5:$C$34,1),1),),INDEX(基础信息!$I$10:$M$25,IFERROR(MATCH($S35,基础信息!$F$10:$F$25,1),1),))+IFERROR(SUMPRODUCT(INDEX(门客进修!$AE$5:$AI$20,MATCH($S35,基础信息!$F$10:$F$25,1),),INDEX(基础信息!$N$10:$R$25,MATCH($S35,基础信息!$F$10:$F$25,1),),INDEX(基础信息!$I$10:$M$25,MATCH($S35,基础信息!$F$10:$F$25,1),))*求节点(基础信息!$F$10:$F$25,基础信息!$G$10:$G$25,$S35),0)</f>
        <v>2112.8427830680907</v>
      </c>
      <c r="U35" s="111">
        <f>IFERROR(求节点(基础信息!$F$30:$F$45,基础信息!$G$30:$G$45,$S35),0)*SUMPRODUCT(INDEX($D$5:$H$34,IFERROR(MATCH(求节点(基础信息!$F$30:$F$45,基础信息!$H$30:$H$45,$S35),$C$5:$C$34,1),1),),INDEX(基础信息!$I$30:$M$45,IFERROR(MATCH($S35,基础信息!$F$30:$F$45,1),1),))+IFERROR(SUMPRODUCT(INDEX(门客进修!$AE$25:$AI$40,MATCH($S35,基础信息!$F$30:$F$45,1),),INDEX(基础信息!$N$30:$R$45,MATCH($S35,基础信息!$F$30:$F$45,1),),INDEX(基础信息!$I$30:$M$45,MATCH($S35,基础信息!$F$30:$F$45,1),))*求节点(基础信息!$F$30:$F$45,基础信息!$G$30:$G$45,$S35),0)</f>
        <v>2350.601725750445</v>
      </c>
      <c r="V35" s="111">
        <f>IFERROR(求节点(基础信息!$F$50:$F$65,基础信息!$G$50:$G$65,$S35),0)*SUMPRODUCT(INDEX($D$5:$H$34,IFERROR(MATCH(求节点(基础信息!$F$50:$F$65,基础信息!$H$50:$H$65,$S35),$C$5:$C$34,1),1),),INDEX(基础信息!$I$50:$M$65,IFERROR(MATCH($S35,基础信息!$F$50:$F$65,1),1),))+IFERROR(SUMPRODUCT(INDEX(门客进修!$AE$45:$AI$60,MATCH($S35,基础信息!$F$50:$F$65,1),),INDEX(基础信息!$N$50:$R$65,MATCH($S35,基础信息!$F$50:$F$65,1),),INDEX(基础信息!$I$50:$M$65,MATCH($S35,基础信息!$F$50:$F$65,1),))*求节点(基础信息!$F$50:$F$65,基础信息!$G$50:$G$65,$S35),0)</f>
        <v>8152.3041868317114</v>
      </c>
      <c r="W35" s="111">
        <f>IFERROR(求节点(基础信息!$F$70:$F$85,基础信息!$G$70:$G$85,$S35),0)*SUMPRODUCT(INDEX($D$5:$H$34,IFERROR(MATCH(求节点(基础信息!$F$70:$F$85,基础信息!$H$70:$H$85,$S35),$C$5:$C$34,1),1),),INDEX(基础信息!$I$70:$M$85,IFERROR(MATCH($S35,基础信息!$F$70:$F$85,1),1),))+IFERROR(SUMPRODUCT(INDEX(门客进修!$AE$65:$AI$80,MATCH($S35,基础信息!$F$70:$F$85,1),),INDEX(基础信息!$N$70:$R$85,MATCH($S35,基础信息!$F$70:$F$85,1),),INDEX(基础信息!$I$70:$M$85,MATCH($S35,基础信息!$F$70:$F$85,1),))*求节点(基础信息!$F$70:$F$85,基础信息!$G$70:$G$85,$S35),0)</f>
        <v>19338.43707028923</v>
      </c>
      <c r="X35" s="111">
        <f>IFERROR(求节点(基础信息!$F$90:$F$105,基础信息!$G$90:$G$105,$S35),0)*SUMPRODUCT(INDEX($D$5:$H$34,IFERROR(MATCH(求节点(基础信息!$F$90:$F$105,基础信息!$H$90:$H$105,$S35),$C$5:$C$34,1),1),),INDEX(基础信息!$I$90:$M$105,IFERROR(MATCH($S35,基础信息!$F$90:$F$105,1),1),))+IFERROR(SUMPRODUCT(INDEX(门客进修!$AE$85:$AI$100,MATCH($S35,基础信息!$F$90:$F$105,1),),INDEX(基础信息!$N$90:$R$105,MATCH($S35,基础信息!$F$90:$F$105,1),),INDEX(基础信息!$I$90:$M$105,MATCH($S35,基础信息!$F$90:$F$105,1),))*求节点(基础信息!$F$90:$F$105,基础信息!$G$90:$G$105,$S35),0)</f>
        <v>20377.409270447999</v>
      </c>
    </row>
    <row r="36" spans="3:24" x14ac:dyDescent="0.15">
      <c r="S36" s="111">
        <v>32</v>
      </c>
      <c r="T36" s="111">
        <f>IFERROR(求节点(基础信息!$F$10:$F$25,基础信息!$G$10:$G$25,$S36),0)*SUMPRODUCT(INDEX($D$5:$H$34,IFERROR(MATCH(求节点(基础信息!$F$10:$F$25,基础信息!$H$10:$H$25,$S36),$C$5:$C$34,1),1),),INDEX(基础信息!$I$10:$M$25,IFERROR(MATCH($S36,基础信息!$F$10:$F$25,1),1),))+IFERROR(SUMPRODUCT(INDEX(门客进修!$AE$5:$AI$20,MATCH($S36,基础信息!$F$10:$F$25,1),),INDEX(基础信息!$N$10:$R$25,MATCH($S36,基础信息!$F$10:$F$25,1),),INDEX(基础信息!$I$10:$M$25,MATCH($S36,基础信息!$F$10:$F$25,1),))*求节点(基础信息!$F$10:$F$25,基础信息!$G$10:$G$25,$S36),0)</f>
        <v>2342.3541772203976</v>
      </c>
      <c r="U36" s="111">
        <f>IFERROR(求节点(基础信息!$F$30:$F$45,基础信息!$G$30:$G$45,$S36),0)*SUMPRODUCT(INDEX($D$5:$H$34,IFERROR(MATCH(求节点(基础信息!$F$30:$F$45,基础信息!$H$30:$H$45,$S36),$C$5:$C$34,1),1),),INDEX(基础信息!$I$30:$M$45,IFERROR(MATCH($S36,基础信息!$F$30:$F$45,1),1),))+IFERROR(SUMPRODUCT(INDEX(门客进修!$AE$25:$AI$40,MATCH($S36,基础信息!$F$30:$F$45,1),),INDEX(基础信息!$N$30:$R$45,MATCH($S36,基础信息!$F$30:$F$45,1),),INDEX(基础信息!$I$30:$M$45,MATCH($S36,基础信息!$F$30:$F$45,1),))*求节点(基础信息!$F$30:$F$45,基础信息!$G$30:$G$45,$S36),0)</f>
        <v>2449.3458470517048</v>
      </c>
      <c r="V36" s="111">
        <f>IFERROR(求节点(基础信息!$F$50:$F$65,基础信息!$G$50:$G$65,$S36),0)*SUMPRODUCT(INDEX($D$5:$H$34,IFERROR(MATCH(求节点(基础信息!$F$50:$F$65,基础信息!$H$50:$H$65,$S36),$C$5:$C$34,1),1),),INDEX(基础信息!$I$50:$M$65,IFERROR(MATCH($S36,基础信息!$F$50:$F$65,1),1),))+IFERROR(SUMPRODUCT(INDEX(门客进修!$AE$45:$AI$60,MATCH($S36,基础信息!$F$50:$F$65,1),),INDEX(基础信息!$N$50:$R$65,MATCH($S36,基础信息!$F$50:$F$65,1),),INDEX(基础信息!$I$50:$M$65,MATCH($S36,基础信息!$F$50:$F$65,1),))*求节点(基础信息!$F$50:$F$65,基础信息!$G$50:$G$65,$S36),0)</f>
        <v>10903.469813393544</v>
      </c>
      <c r="W36" s="111">
        <f>IFERROR(求节点(基础信息!$F$70:$F$85,基础信息!$G$70:$G$85,$S36),0)*SUMPRODUCT(INDEX($D$5:$H$34,IFERROR(MATCH(求节点(基础信息!$F$70:$F$85,基础信息!$H$70:$H$85,$S36),$C$5:$C$34,1),1),),INDEX(基础信息!$I$70:$M$85,IFERROR(MATCH($S36,基础信息!$F$70:$F$85,1),1),))+IFERROR(SUMPRODUCT(INDEX(门客进修!$AE$65:$AI$80,MATCH($S36,基础信息!$F$70:$F$85,1),),INDEX(基础信息!$N$70:$R$85,MATCH($S36,基础信息!$F$70:$F$85,1),),INDEX(基础信息!$I$70:$M$85,MATCH($S36,基础信息!$F$70:$F$85,1),))*求节点(基础信息!$F$70:$F$85,基础信息!$G$70:$G$85,$S36),0)</f>
        <v>20051.450604561654</v>
      </c>
      <c r="X36" s="111">
        <f>IFERROR(求节点(基础信息!$F$90:$F$105,基础信息!$G$90:$G$105,$S36),0)*SUMPRODUCT(INDEX($D$5:$H$34,IFERROR(MATCH(求节点(基础信息!$F$90:$F$105,基础信息!$H$90:$H$105,$S36),$C$5:$C$34,1),1),),INDEX(基础信息!$I$90:$M$105,IFERROR(MATCH($S36,基础信息!$F$90:$F$105,1),1),))+IFERROR(SUMPRODUCT(INDEX(门客进修!$AE$85:$AI$100,MATCH($S36,基础信息!$F$90:$F$105,1),),INDEX(基础信息!$N$90:$R$105,MATCH($S36,基础信息!$F$90:$F$105,1),),INDEX(基础信息!$I$90:$M$105,MATCH($S36,基础信息!$F$90:$F$105,1),))*求节点(基础信息!$F$90:$F$105,基础信息!$G$90:$G$105,$S36),0)</f>
        <v>22275.843838566681</v>
      </c>
    </row>
    <row r="37" spans="3:24" x14ac:dyDescent="0.15">
      <c r="S37" s="111">
        <v>33</v>
      </c>
      <c r="T37" s="111">
        <f>IFERROR(求节点(基础信息!$F$10:$F$25,基础信息!$G$10:$G$25,$S37),0)*SUMPRODUCT(INDEX($D$5:$H$34,IFERROR(MATCH(求节点(基础信息!$F$10:$F$25,基础信息!$H$10:$H$25,$S37),$C$5:$C$34,1),1),),INDEX(基础信息!$I$10:$M$25,IFERROR(MATCH($S37,基础信息!$F$10:$F$25,1),1),))+IFERROR(SUMPRODUCT(INDEX(门客进修!$AE$5:$AI$20,MATCH($S37,基础信息!$F$10:$F$25,1),),INDEX(基础信息!$N$10:$R$25,MATCH($S37,基础信息!$F$10:$F$25,1),),INDEX(基础信息!$I$10:$M$25,MATCH($S37,基础信息!$F$10:$F$25,1),))*求节点(基础信息!$F$10:$F$25,基础信息!$G$10:$G$25,$S37),0)</f>
        <v>2439.8128974309493</v>
      </c>
      <c r="U37" s="111">
        <f>IFERROR(求节点(基础信息!$F$30:$F$45,基础信息!$G$30:$G$45,$S37),0)*SUMPRODUCT(INDEX($D$5:$H$34,IFERROR(MATCH(求节点(基础信息!$F$30:$F$45,基础信息!$H$30:$H$45,$S37),$C$5:$C$34,1),1),),INDEX(基础信息!$I$30:$M$45,IFERROR(MATCH($S37,基础信息!$F$30:$F$45,1),1),))+IFERROR(SUMPRODUCT(INDEX(门客进修!$AE$25:$AI$40,MATCH($S37,基础信息!$F$30:$F$45,1),),INDEX(基础信息!$N$30:$R$45,MATCH($S37,基础信息!$F$30:$F$45,1),),INDEX(基础信息!$I$30:$M$45,MATCH($S37,基础信息!$F$30:$F$45,1),))*求节点(基础信息!$F$30:$F$45,基础信息!$G$30:$G$45,$S37),0)</f>
        <v>2548.0899683529647</v>
      </c>
      <c r="V37" s="111">
        <f>IFERROR(求节点(基础信息!$F$50:$F$65,基础信息!$G$50:$G$65,$S37),0)*SUMPRODUCT(INDEX($D$5:$H$34,IFERROR(MATCH(求节点(基础信息!$F$50:$F$65,基础信息!$H$50:$H$65,$S37),$C$5:$C$34,1),1),),INDEX(基础信息!$I$50:$M$65,IFERROR(MATCH($S37,基础信息!$F$50:$F$65,1),1),))+IFERROR(SUMPRODUCT(INDEX(门客进修!$AE$45:$AI$60,MATCH($S37,基础信息!$F$50:$F$65,1),),INDEX(基础信息!$N$50:$R$65,MATCH($S37,基础信息!$F$50:$F$65,1),),INDEX(基础信息!$I$50:$M$65,MATCH($S37,基础信息!$F$50:$F$65,1),))*求节点(基础信息!$F$50:$F$65,基础信息!$G$50:$G$65,$S37),0)</f>
        <v>11308.019055037776</v>
      </c>
      <c r="W37" s="111">
        <f>IFERROR(求节点(基础信息!$F$70:$F$85,基础信息!$G$70:$G$85,$S37),0)*SUMPRODUCT(INDEX($D$5:$H$34,IFERROR(MATCH(求节点(基础信息!$F$70:$F$85,基础信息!$H$70:$H$85,$S37),$C$5:$C$34,1),1),),INDEX(基础信息!$I$70:$M$85,IFERROR(MATCH($S37,基础信息!$F$70:$F$85,1),1),))+IFERROR(SUMPRODUCT(INDEX(门客进修!$AE$65:$AI$80,MATCH($S37,基础信息!$F$70:$F$85,1),),INDEX(基础信息!$N$70:$R$85,MATCH($S37,基础信息!$F$70:$F$85,1),),INDEX(基础信息!$I$70:$M$85,MATCH($S37,基础信息!$F$70:$F$85,1),))*求节点(基础信息!$F$70:$F$85,基础信息!$G$70:$G$85,$S37),0)</f>
        <v>20764.464138834086</v>
      </c>
      <c r="X37" s="111">
        <f>IFERROR(求节点(基础信息!$F$90:$F$105,基础信息!$G$90:$G$105,$S37),0)*SUMPRODUCT(INDEX($D$5:$H$34,IFERROR(MATCH(求节点(基础信息!$F$90:$F$105,基础信息!$H$90:$H$105,$S37),$C$5:$C$34,1),1),),INDEX(基础信息!$I$90:$M$105,IFERROR(MATCH($S37,基础信息!$F$90:$F$105,1),1),))+IFERROR(SUMPRODUCT(INDEX(门客进修!$AE$85:$AI$100,MATCH($S37,基础信息!$F$90:$F$105,1),),INDEX(基础信息!$N$90:$R$105,MATCH($S37,基础信息!$F$90:$F$105,1),),INDEX(基础信息!$I$90:$M$105,MATCH($S37,基础信息!$F$90:$F$105,1),))*求节点(基础信息!$F$90:$F$105,基础信息!$G$90:$G$105,$S37),0)</f>
        <v>23042.2001138827</v>
      </c>
    </row>
    <row r="38" spans="3:24" x14ac:dyDescent="0.15">
      <c r="S38" s="111">
        <v>34</v>
      </c>
      <c r="T38" s="111">
        <f>IFERROR(求节点(基础信息!$F$10:$F$25,基础信息!$G$10:$G$25,$S38),0)*SUMPRODUCT(INDEX($D$5:$H$34,IFERROR(MATCH(求节点(基础信息!$F$10:$F$25,基础信息!$H$10:$H$25,$S38),$C$5:$C$34,1),1),),INDEX(基础信息!$I$10:$M$25,IFERROR(MATCH($S38,基础信息!$F$10:$F$25,1),1),))+IFERROR(SUMPRODUCT(INDEX(门客进修!$AE$5:$AI$20,MATCH($S38,基础信息!$F$10:$F$25,1),),INDEX(基础信息!$N$10:$R$25,MATCH($S38,基础信息!$F$10:$F$25,1),),INDEX(基础信息!$I$10:$M$25,MATCH($S38,基础信息!$F$10:$F$25,1),))*求节点(基础信息!$F$10:$F$25,基础信息!$G$10:$G$25,$S38),0)</f>
        <v>2537.2716176415006</v>
      </c>
      <c r="U38" s="111">
        <f>IFERROR(求节点(基础信息!$F$30:$F$45,基础信息!$G$30:$G$45,$S38),0)*SUMPRODUCT(INDEX($D$5:$H$34,IFERROR(MATCH(求节点(基础信息!$F$30:$F$45,基础信息!$H$30:$H$45,$S38),$C$5:$C$34,1),1),),INDEX(基础信息!$I$30:$M$45,IFERROR(MATCH($S38,基础信息!$F$30:$F$45,1),1),))+IFERROR(SUMPRODUCT(INDEX(门客进修!$AE$25:$AI$40,MATCH($S38,基础信息!$F$30:$F$45,1),),INDEX(基础信息!$N$30:$R$45,MATCH($S38,基础信息!$F$30:$F$45,1),),INDEX(基础信息!$I$30:$M$45,MATCH($S38,基础信息!$F$30:$F$45,1),))*求节点(基础信息!$F$30:$F$45,基础信息!$G$30:$G$45,$S38),0)</f>
        <v>4198.6938359134856</v>
      </c>
      <c r="V38" s="111">
        <f>IFERROR(求节点(基础信息!$F$50:$F$65,基础信息!$G$50:$G$65,$S38),0)*SUMPRODUCT(INDEX($D$5:$H$34,IFERROR(MATCH(求节点(基础信息!$F$50:$F$65,基础信息!$H$50:$H$65,$S38),$C$5:$C$34,1),1),),INDEX(基础信息!$I$50:$M$65,IFERROR(MATCH($S38,基础信息!$F$50:$F$65,1),1),))+IFERROR(SUMPRODUCT(INDEX(门客进修!$AE$45:$AI$60,MATCH($S38,基础信息!$F$50:$F$65,1),),INDEX(基础信息!$N$50:$R$65,MATCH($S38,基础信息!$F$50:$F$65,1),),INDEX(基础信息!$I$50:$M$65,MATCH($S38,基础信息!$F$50:$F$65,1),))*求节点(基础信息!$F$50:$F$65,基础信息!$G$50:$G$65,$S38),0)</f>
        <v>11712.568296682008</v>
      </c>
      <c r="W38" s="111">
        <f>IFERROR(求节点(基础信息!$F$70:$F$85,基础信息!$G$70:$G$85,$S38),0)*SUMPRODUCT(INDEX($D$5:$H$34,IFERROR(MATCH(求节点(基础信息!$F$70:$F$85,基础信息!$H$70:$H$85,$S38),$C$5:$C$34,1),1),),INDEX(基础信息!$I$70:$M$85,IFERROR(MATCH($S38,基础信息!$F$70:$F$85,1),1),))+IFERROR(SUMPRODUCT(INDEX(门客进修!$AE$65:$AI$80,MATCH($S38,基础信息!$F$70:$F$85,1),),INDEX(基础信息!$N$70:$R$85,MATCH($S38,基础信息!$F$70:$F$85,1),),INDEX(基础信息!$I$70:$M$85,MATCH($S38,基础信息!$F$70:$F$85,1),))*求节点(基础信息!$F$70:$F$85,基础信息!$G$70:$G$85,$S38),0)</f>
        <v>22670.670877167984</v>
      </c>
      <c r="X38" s="111">
        <f>IFERROR(求节点(基础信息!$F$90:$F$105,基础信息!$G$90:$G$105,$S38),0)*SUMPRODUCT(INDEX($D$5:$H$34,IFERROR(MATCH(求节点(基础信息!$F$90:$F$105,基础信息!$H$90:$H$105,$S38),$C$5:$C$34,1),1),),INDEX(基础信息!$I$90:$M$105,IFERROR(MATCH($S38,基础信息!$F$90:$F$105,1),1),))+IFERROR(SUMPRODUCT(INDEX(门客进修!$AE$85:$AI$100,MATCH($S38,基础信息!$F$90:$F$105,1),),INDEX(基础信息!$N$90:$R$105,MATCH($S38,基础信息!$F$90:$F$105,1),),INDEX(基础信息!$I$90:$M$105,MATCH($S38,基础信息!$F$90:$F$105,1),))*求节点(基础信息!$F$90:$F$105,基础信息!$G$90:$G$105,$S38),0)</f>
        <v>23808.556389198715</v>
      </c>
    </row>
    <row r="39" spans="3:24" x14ac:dyDescent="0.15">
      <c r="S39" s="111">
        <v>35</v>
      </c>
      <c r="T39" s="111">
        <f>IFERROR(求节点(基础信息!$F$10:$F$25,基础信息!$G$10:$G$25,$S39),0)*SUMPRODUCT(INDEX($D$5:$H$34,IFERROR(MATCH(求节点(基础信息!$F$10:$F$25,基础信息!$H$10:$H$25,$S39),$C$5:$C$34,1),1),),INDEX(基础信息!$I$10:$M$25,IFERROR(MATCH($S39,基础信息!$F$10:$F$25,1),1),))+IFERROR(SUMPRODUCT(INDEX(门客进修!$AE$5:$AI$20,MATCH($S39,基础信息!$F$10:$F$25,1),),INDEX(基础信息!$N$10:$R$25,MATCH($S39,基础信息!$F$10:$F$25,1),),INDEX(基础信息!$I$10:$M$25,MATCH($S39,基础信息!$F$10:$F$25,1),))*求节点(基础信息!$F$10:$F$25,基础信息!$G$10:$G$25,$S39),0)</f>
        <v>2787.0268245989746</v>
      </c>
      <c r="U39" s="111">
        <f>IFERROR(求节点(基础信息!$F$30:$F$45,基础信息!$G$30:$G$45,$S39),0)*SUMPRODUCT(INDEX($D$5:$H$34,IFERROR(MATCH(求节点(基础信息!$F$30:$F$45,基础信息!$H$30:$H$45,$S39),$C$5:$C$34,1),1),),INDEX(基础信息!$I$30:$M$45,IFERROR(MATCH($S39,基础信息!$F$30:$F$45,1),1),))+IFERROR(SUMPRODUCT(INDEX(门客进修!$AE$25:$AI$40,MATCH($S39,基础信息!$F$30:$F$45,1),),INDEX(基础信息!$N$30:$R$45,MATCH($S39,基础信息!$F$30:$F$45,1),),INDEX(基础信息!$I$30:$M$45,MATCH($S39,基础信息!$F$30:$F$45,1),))*求节点(基础信息!$F$30:$F$45,基础信息!$G$30:$G$45,$S39),0)</f>
        <v>4350.3206258447963</v>
      </c>
      <c r="V39" s="111">
        <f>IFERROR(求节点(基础信息!$F$50:$F$65,基础信息!$G$50:$G$65,$S39),0)*SUMPRODUCT(INDEX($D$5:$H$34,IFERROR(MATCH(求节点(基础信息!$F$50:$F$65,基础信息!$H$50:$H$65,$S39),$C$5:$C$34,1),1),),INDEX(基础信息!$I$50:$M$65,IFERROR(MATCH($S39,基础信息!$F$50:$F$65,1),1),))+IFERROR(SUMPRODUCT(INDEX(门客进修!$AE$45:$AI$60,MATCH($S39,基础信息!$F$50:$F$65,1),),INDEX(基础信息!$N$50:$R$65,MATCH($S39,基础信息!$F$50:$F$65,1),),INDEX(基础信息!$I$50:$M$65,MATCH($S39,基础信息!$F$50:$F$65,1),))*求节点(基础信息!$F$50:$F$65,基础信息!$G$50:$G$65,$S39),0)</f>
        <v>12790.29073489992</v>
      </c>
      <c r="W39" s="111">
        <f>IFERROR(求节点(基础信息!$F$70:$F$85,基础信息!$G$70:$G$85,$S39),0)*SUMPRODUCT(INDEX($D$5:$H$34,IFERROR(MATCH(求节点(基础信息!$F$70:$F$85,基础信息!$H$70:$H$85,$S39),$C$5:$C$34,1),1),),INDEX(基础信息!$I$70:$M$85,IFERROR(MATCH($S39,基础信息!$F$70:$F$85,1),1),))+IFERROR(SUMPRODUCT(INDEX(门客进修!$AE$65:$AI$80,MATCH($S39,基础信息!$F$70:$F$85,1),),INDEX(基础信息!$N$70:$R$85,MATCH($S39,基础信息!$F$70:$F$85,1),),INDEX(基础信息!$I$70:$M$85,MATCH($S39,基础信息!$F$70:$F$85,1),))*求节点(基础信息!$F$70:$F$85,基础信息!$G$70:$G$85,$S39),0)</f>
        <v>23423.296274455548</v>
      </c>
      <c r="X39" s="111">
        <f>IFERROR(求节点(基础信息!$F$90:$F$105,基础信息!$G$90:$G$105,$S39),0)*SUMPRODUCT(INDEX($D$5:$H$34,IFERROR(MATCH(求节点(基础信息!$F$90:$F$105,基础信息!$H$90:$H$105,$S39),$C$5:$C$34,1),1),),INDEX(基础信息!$I$90:$M$105,IFERROR(MATCH($S39,基础信息!$F$90:$F$105,1),1),))+IFERROR(SUMPRODUCT(INDEX(门客进修!$AE$85:$AI$100,MATCH($S39,基础信息!$F$90:$F$105,1),),INDEX(基础信息!$N$90:$R$105,MATCH($S39,基础信息!$F$90:$F$105,1),),INDEX(基础信息!$I$90:$M$105,MATCH($S39,基础信息!$F$90:$F$105,1),))*求节点(基础信息!$F$90:$F$105,基础信息!$G$90:$G$105,$S39),0)</f>
        <v>25868.329120541825</v>
      </c>
    </row>
    <row r="40" spans="3:24" x14ac:dyDescent="0.15">
      <c r="S40" s="111">
        <v>36</v>
      </c>
      <c r="T40" s="111">
        <f>IFERROR(求节点(基础信息!$F$10:$F$25,基础信息!$G$10:$G$25,$S40),0)*SUMPRODUCT(INDEX($D$5:$H$34,IFERROR(MATCH(求节点(基础信息!$F$10:$F$25,基础信息!$H$10:$H$25,$S40),$C$5:$C$34,1),1),),INDEX(基础信息!$I$10:$M$25,IFERROR(MATCH($S40,基础信息!$F$10:$F$25,1),1),))+IFERROR(SUMPRODUCT(INDEX(门客进修!$AE$5:$AI$20,MATCH($S40,基础信息!$F$10:$F$25,1),),INDEX(基础信息!$N$10:$R$25,MATCH($S40,基础信息!$F$10:$F$25,1),),INDEX(基础信息!$I$10:$M$25,MATCH($S40,基础信息!$F$10:$F$25,1),))*求节点(基础信息!$F$10:$F$25,基础信息!$G$10:$G$25,$S40),0)</f>
        <v>2887.1270149725069</v>
      </c>
      <c r="U40" s="111">
        <f>IFERROR(求节点(基础信息!$F$30:$F$45,基础信息!$G$30:$G$45,$S40),0)*SUMPRODUCT(INDEX($D$5:$H$34,IFERROR(MATCH(求节点(基础信息!$F$30:$F$45,基础信息!$H$30:$H$45,$S40),$C$5:$C$34,1),1),),INDEX(基础信息!$I$30:$M$45,IFERROR(MATCH($S40,基础信息!$F$30:$F$45,1),1),))+IFERROR(SUMPRODUCT(INDEX(门客进修!$AE$25:$AI$40,MATCH($S40,基础信息!$F$30:$F$45,1),),INDEX(基础信息!$N$30:$R$45,MATCH($S40,基础信息!$F$30:$F$45,1),),INDEX(基础信息!$I$30:$M$45,MATCH($S40,基础信息!$F$30:$F$45,1),))*求节点(基础信息!$F$30:$F$45,基础信息!$G$30:$G$45,$S40),0)</f>
        <v>4752.0556055414463</v>
      </c>
      <c r="V40" s="111">
        <f>IFERROR(求节点(基础信息!$F$50:$F$65,基础信息!$G$50:$G$65,$S40),0)*SUMPRODUCT(INDEX($D$5:$H$34,IFERROR(MATCH(求节点(基础信息!$F$50:$F$65,基础信息!$H$50:$H$65,$S40),$C$5:$C$34,1),1),),INDEX(基础信息!$I$50:$M$65,IFERROR(MATCH($S40,基础信息!$F$50:$F$65,1),1),))+IFERROR(SUMPRODUCT(INDEX(门客进修!$AE$45:$AI$60,MATCH($S40,基础信息!$F$50:$F$65,1),),INDEX(基础信息!$N$50:$R$65,MATCH($S40,基础信息!$F$50:$F$65,1),),INDEX(基础信息!$I$50:$M$65,MATCH($S40,基础信息!$F$50:$F$65,1),))*求节点(基础信息!$F$50:$F$65,基础信息!$G$50:$G$65,$S40),0)</f>
        <v>13217.314934413276</v>
      </c>
      <c r="W40" s="111">
        <f>IFERROR(求节点(基础信息!$F$70:$F$85,基础信息!$G$70:$G$85,$S40),0)*SUMPRODUCT(INDEX($D$5:$H$34,IFERROR(MATCH(求节点(基础信息!$F$70:$F$85,基础信息!$H$70:$H$85,$S40),$C$5:$C$34,1),1),),INDEX(基础信息!$I$70:$M$85,IFERROR(MATCH($S40,基础信息!$F$70:$F$85,1),1),))+IFERROR(SUMPRODUCT(INDEX(门客进修!$AE$65:$AI$80,MATCH($S40,基础信息!$F$70:$F$85,1),),INDEX(基础信息!$N$70:$R$85,MATCH($S40,基础信息!$F$70:$F$85,1),),INDEX(基础信息!$I$70:$M$85,MATCH($S40,基础信息!$F$70:$F$85,1),))*求节点(基础信息!$F$70:$F$85,基础信息!$G$70:$G$85,$S40),0)</f>
        <v>24175.921671743108</v>
      </c>
      <c r="X40" s="111">
        <f>IFERROR(求节点(基础信息!$F$90:$F$105,基础信息!$G$90:$G$105,$S40),0)*SUMPRODUCT(INDEX($D$5:$H$34,IFERROR(MATCH(求节点(基础信息!$F$90:$F$105,基础信息!$H$90:$H$105,$S40),$C$5:$C$34,1),1),),INDEX(基础信息!$I$90:$M$105,IFERROR(MATCH($S40,基础信息!$F$90:$F$105,1),1),))+IFERROR(SUMPRODUCT(INDEX(门客进修!$AE$85:$AI$100,MATCH($S40,基础信息!$F$90:$F$105,1),),INDEX(基础信息!$N$90:$R$105,MATCH($S40,基础信息!$F$90:$F$105,1),),INDEX(基础信息!$I$90:$M$105,MATCH($S40,基础信息!$F$90:$F$105,1),))*求节点(基础信息!$F$90:$F$105,基础信息!$G$90:$G$105,$S40),0)</f>
        <v>26675.019936663946</v>
      </c>
    </row>
    <row r="41" spans="3:24" x14ac:dyDescent="0.15">
      <c r="S41" s="111">
        <v>37</v>
      </c>
      <c r="T41" s="111">
        <f>IFERROR(求节点(基础信息!$F$10:$F$25,基础信息!$G$10:$G$25,$S41),0)*SUMPRODUCT(INDEX($D$5:$H$34,IFERROR(MATCH(求节点(基础信息!$F$10:$F$25,基础信息!$H$10:$H$25,$S41),$C$5:$C$34,1),1),),INDEX(基础信息!$I$10:$M$25,IFERROR(MATCH($S41,基础信息!$F$10:$F$25,1),1),))+IFERROR(SUMPRODUCT(INDEX(门客进修!$AE$5:$AI$20,MATCH($S41,基础信息!$F$10:$F$25,1),),INDEX(基础信息!$N$10:$R$25,MATCH($S41,基础信息!$F$10:$F$25,1),),INDEX(基础信息!$I$10:$M$25,MATCH($S41,基础信息!$F$10:$F$25,1),))*求节点(基础信息!$F$10:$F$25,基础信息!$G$10:$G$25,$S41),0)</f>
        <v>2987.2272053460392</v>
      </c>
      <c r="U41" s="111">
        <f>IFERROR(求节点(基础信息!$F$30:$F$45,基础信息!$G$30:$G$45,$S41),0)*SUMPRODUCT(INDEX($D$5:$H$34,IFERROR(MATCH(求节点(基础信息!$F$30:$F$45,基础信息!$H$30:$H$45,$S41),$C$5:$C$34,1),1),),INDEX(基础信息!$I$30:$M$45,IFERROR(MATCH($S41,基础信息!$F$30:$F$45,1),1),))+IFERROR(SUMPRODUCT(INDEX(门客进修!$AE$25:$AI$40,MATCH($S41,基础信息!$F$30:$F$45,1),),INDEX(基础信息!$N$30:$R$45,MATCH($S41,基础信息!$F$30:$F$45,1),),INDEX(基础信息!$I$30:$M$45,MATCH($S41,基础信息!$F$30:$F$45,1),))*求节点(基础信息!$F$30:$F$45,基础信息!$G$30:$G$45,$S41),0)</f>
        <v>4912.1061060244965</v>
      </c>
      <c r="V41" s="111">
        <f>IFERROR(求节点(基础信息!$F$50:$F$65,基础信息!$G$50:$G$65,$S41),0)*SUMPRODUCT(INDEX($D$5:$H$34,IFERROR(MATCH(求节点(基础信息!$F$50:$F$65,基础信息!$H$50:$H$65,$S41),$C$5:$C$34,1),1),),INDEX(基础信息!$I$50:$M$65,IFERROR(MATCH($S41,基础信息!$F$50:$F$65,1),1),))+IFERROR(SUMPRODUCT(INDEX(门客进修!$AE$45:$AI$60,MATCH($S41,基础信息!$F$50:$F$65,1),),INDEX(基础信息!$N$50:$R$65,MATCH($S41,基础信息!$F$50:$F$65,1),),INDEX(基础信息!$I$50:$M$65,MATCH($S41,基础信息!$F$50:$F$65,1),))*求节点(基础信息!$F$50:$F$65,基础信息!$G$50:$G$65,$S41),0)</f>
        <v>13644.339133926631</v>
      </c>
      <c r="W41" s="111">
        <f>IFERROR(求节点(基础信息!$F$70:$F$85,基础信息!$G$70:$G$85,$S41),0)*SUMPRODUCT(INDEX($D$5:$H$34,IFERROR(MATCH(求节点(基础信息!$F$70:$F$85,基础信息!$H$70:$H$85,$S41),$C$5:$C$34,1),1),),INDEX(基础信息!$I$70:$M$85,IFERROR(MATCH($S41,基础信息!$F$70:$F$85,1),1),))+IFERROR(SUMPRODUCT(INDEX(门客进修!$AE$65:$AI$80,MATCH($S41,基础信息!$F$70:$F$85,1),),INDEX(基础信息!$N$70:$R$85,MATCH($S41,基础信息!$F$70:$F$85,1),),INDEX(基础信息!$I$70:$M$85,MATCH($S41,基础信息!$F$70:$F$85,1),))*求节点(基础信息!$F$70:$F$85,基础信息!$G$70:$G$85,$S41),0)</f>
        <v>26240.57586213755</v>
      </c>
      <c r="X41" s="111">
        <f>IFERROR(求节点(基础信息!$F$90:$F$105,基础信息!$G$90:$G$105,$S41),0)*SUMPRODUCT(INDEX($D$5:$H$34,IFERROR(MATCH(求节点(基础信息!$F$90:$F$105,基础信息!$H$90:$H$105,$S41),$C$5:$C$34,1),1),),INDEX(基础信息!$I$90:$M$105,IFERROR(MATCH($S41,基础信息!$F$90:$F$105,1),1),))+IFERROR(SUMPRODUCT(INDEX(门客进修!$AE$85:$AI$100,MATCH($S41,基础信息!$F$90:$F$105,1),),INDEX(基础信息!$N$90:$R$105,MATCH($S41,基础信息!$F$90:$F$105,1),),INDEX(基础信息!$I$90:$M$105,MATCH($S41,基础信息!$F$90:$F$105,1),))*求节点(基础信息!$F$90:$F$105,基础信息!$G$90:$G$105,$S41),0)</f>
        <v>27481.710752786068</v>
      </c>
    </row>
    <row r="42" spans="3:24" x14ac:dyDescent="0.15">
      <c r="S42" s="111">
        <v>38</v>
      </c>
      <c r="T42" s="111">
        <f>IFERROR(求节点(基础信息!$F$10:$F$25,基础信息!$G$10:$G$25,$S42),0)*SUMPRODUCT(INDEX($D$5:$H$34,IFERROR(MATCH(求节点(基础信息!$F$10:$F$25,基础信息!$H$10:$H$25,$S42),$C$5:$C$34,1),1),),INDEX(基础信息!$I$10:$M$25,IFERROR(MATCH($S42,基础信息!$F$10:$F$25,1),1),))+IFERROR(SUMPRODUCT(INDEX(门客进修!$AE$5:$AI$20,MATCH($S42,基础信息!$F$10:$F$25,1),),INDEX(基础信息!$N$10:$R$25,MATCH($S42,基础信息!$F$10:$F$25,1),),INDEX(基础信息!$I$10:$M$25,MATCH($S42,基础信息!$F$10:$F$25,1),))*求节点(基础信息!$F$10:$F$25,基础信息!$G$10:$G$25,$S42),0)</f>
        <v>3258.8455843706597</v>
      </c>
      <c r="U42" s="111">
        <f>IFERROR(求节点(基础信息!$F$30:$F$45,基础信息!$G$30:$G$45,$S42),0)*SUMPRODUCT(INDEX($D$5:$H$34,IFERROR(MATCH(求节点(基础信息!$F$30:$F$45,基础信息!$H$30:$H$45,$S42),$C$5:$C$34,1),1),),INDEX(基础信息!$I$30:$M$45,IFERROR(MATCH($S42,基础信息!$F$30:$F$45,1),1),))+IFERROR(SUMPRODUCT(INDEX(门客进修!$AE$25:$AI$40,MATCH($S42,基础信息!$F$30:$F$45,1),),INDEX(基础信息!$N$30:$R$45,MATCH($S42,基础信息!$F$30:$F$45,1),),INDEX(基础信息!$I$30:$M$45,MATCH($S42,基础信息!$F$30:$F$45,1),))*求节点(基础信息!$F$30:$F$45,基础信息!$G$30:$G$45,$S42),0)</f>
        <v>5072.1566065075467</v>
      </c>
      <c r="V42" s="111">
        <f>IFERROR(求节点(基础信息!$F$50:$F$65,基础信息!$G$50:$G$65,$S42),0)*SUMPRODUCT(INDEX($D$5:$H$34,IFERROR(MATCH(求节点(基础信息!$F$50:$F$65,基础信息!$H$50:$H$65,$S42),$C$5:$C$34,1),1),),INDEX(基础信息!$I$50:$M$65,IFERROR(MATCH($S42,基础信息!$F$50:$F$65,1),1),))+IFERROR(SUMPRODUCT(INDEX(门客进修!$AE$45:$AI$60,MATCH($S42,基础信息!$F$50:$F$65,1),),INDEX(基础信息!$N$50:$R$65,MATCH($S42,基础信息!$F$50:$F$65,1),),INDEX(基础信息!$I$50:$M$65,MATCH($S42,基础信息!$F$50:$F$65,1),))*求节点(基础信息!$F$50:$F$65,基础信息!$G$50:$G$65,$S42),0)</f>
        <v>14811.961403621039</v>
      </c>
      <c r="W42" s="111">
        <f>IFERROR(求节点(基础信息!$F$70:$F$85,基础信息!$G$70:$G$85,$S42),0)*SUMPRODUCT(INDEX($D$5:$H$34,IFERROR(MATCH(求节点(基础信息!$F$70:$F$85,基础信息!$H$70:$H$85,$S42),$C$5:$C$34,1),1),),INDEX(基础信息!$I$70:$M$85,IFERROR(MATCH($S42,基础信息!$F$70:$F$85,1),1),))+IFERROR(SUMPRODUCT(INDEX(门客进修!$AE$65:$AI$80,MATCH($S42,基础信息!$F$70:$F$85,1),),INDEX(基础信息!$N$70:$R$85,MATCH($S42,基础信息!$F$70:$F$85,1),),INDEX(基础信息!$I$70:$M$85,MATCH($S42,基础信息!$F$70:$F$85,1),))*求节点(基础信息!$F$70:$F$85,基础信息!$G$70:$G$85,$S42),0)</f>
        <v>27032.813122440246</v>
      </c>
      <c r="X42" s="111">
        <f>IFERROR(求节点(基础信息!$F$90:$F$105,基础信息!$G$90:$G$105,$S42),0)*SUMPRODUCT(INDEX($D$5:$H$34,IFERROR(MATCH(求节点(基础信息!$F$90:$F$105,基础信息!$H$90:$H$105,$S42),$C$5:$C$34,1),1),),INDEX(基础信息!$I$90:$M$105,IFERROR(MATCH($S42,基础信息!$F$90:$F$105,1),1),))+IFERROR(SUMPRODUCT(INDEX(门客进修!$AE$85:$AI$100,MATCH($S42,基础信息!$F$90:$F$105,1),),INDEX(基础信息!$N$90:$R$105,MATCH($S42,基础信息!$F$90:$F$105,1),),INDEX(基础信息!$I$90:$M$105,MATCH($S42,基础信息!$F$90:$F$105,1),))*求节点(基础信息!$F$90:$F$105,基础信息!$G$90:$G$105,$S42),0)</f>
        <v>42418.075653150096</v>
      </c>
    </row>
    <row r="43" spans="3:24" x14ac:dyDescent="0.15">
      <c r="S43" s="111">
        <v>39</v>
      </c>
      <c r="T43" s="111">
        <f>IFERROR(求节点(基础信息!$F$10:$F$25,基础信息!$G$10:$G$25,$S43),0)*SUMPRODUCT(INDEX($D$5:$H$34,IFERROR(MATCH(求节点(基础信息!$F$10:$F$25,基础信息!$H$10:$H$25,$S43),$C$5:$C$34,1),1),),INDEX(基础信息!$I$10:$M$25,IFERROR(MATCH($S43,基础信息!$F$10:$F$25,1),1),))+IFERROR(SUMPRODUCT(INDEX(门客进修!$AE$5:$AI$20,MATCH($S43,基础信息!$F$10:$F$25,1),),INDEX(基础信息!$N$10:$R$25,MATCH($S43,基础信息!$F$10:$F$25,1),),INDEX(基础信息!$I$10:$M$25,MATCH($S43,基础信息!$F$10:$F$25,1),))*求节点(基础信息!$F$10:$F$25,基础信息!$G$10:$G$25,$S43),0)</f>
        <v>3364.5068964316106</v>
      </c>
      <c r="U43" s="111">
        <f>IFERROR(求节点(基础信息!$F$30:$F$45,基础信息!$G$30:$G$45,$S43),0)*SUMPRODUCT(INDEX($D$5:$H$34,IFERROR(MATCH(求节点(基础信息!$F$30:$F$45,基础信息!$H$30:$H$45,$S43),$C$5:$C$34,1),1),),INDEX(基础信息!$I$30:$M$45,IFERROR(MATCH($S43,基础信息!$F$30:$F$45,1),1),))+IFERROR(SUMPRODUCT(INDEX(门客进修!$AE$25:$AI$40,MATCH($S43,基础信息!$F$30:$F$45,1),),INDEX(基础信息!$N$30:$R$45,MATCH($S43,基础信息!$F$30:$F$45,1),),INDEX(基础信息!$I$30:$M$45,MATCH($S43,基础信息!$F$30:$F$45,1),))*求节点(基础信息!$F$30:$F$45,基础信息!$G$30:$G$45,$S43),0)</f>
        <v>5507.5864284111549</v>
      </c>
      <c r="V43" s="111">
        <f>IFERROR(求节点(基础信息!$F$50:$F$65,基础信息!$G$50:$G$65,$S43),0)*SUMPRODUCT(INDEX($D$5:$H$34,IFERROR(MATCH(求节点(基础信息!$F$50:$F$65,基础信息!$H$50:$H$65,$S43),$C$5:$C$34,1),1),),INDEX(基础信息!$I$50:$M$65,IFERROR(MATCH($S43,基础信息!$F$50:$F$65,1),1),))+IFERROR(SUMPRODUCT(INDEX(门客进修!$AE$45:$AI$60,MATCH($S43,基础信息!$F$50:$F$65,1),),INDEX(基础信息!$N$50:$R$65,MATCH($S43,基础信息!$F$50:$F$65,1),),INDEX(基础信息!$I$50:$M$65,MATCH($S43,基础信息!$F$50:$F$65,1),))*求节点(基础信息!$F$50:$F$65,基础信息!$G$50:$G$65,$S43),0)</f>
        <v>15261.46056100352</v>
      </c>
      <c r="W43" s="111">
        <f>IFERROR(求节点(基础信息!$F$70:$F$85,基础信息!$G$70:$G$85,$S43),0)*SUMPRODUCT(INDEX($D$5:$H$34,IFERROR(MATCH(求节点(基础信息!$F$70:$F$85,基础信息!$H$70:$H$85,$S43),$C$5:$C$34,1),1),),INDEX(基础信息!$I$70:$M$85,IFERROR(MATCH($S43,基础信息!$F$70:$F$85,1),1),))+IFERROR(SUMPRODUCT(INDEX(门客进修!$AE$65:$AI$80,MATCH($S43,基础信息!$F$70:$F$85,1),),INDEX(基础信息!$N$70:$R$85,MATCH($S43,基础信息!$F$70:$F$85,1),),INDEX(基础信息!$I$70:$M$85,MATCH($S43,基础信息!$F$70:$F$85,1),))*求节点(基础信息!$F$70:$F$85,基础信息!$G$70:$G$85,$S43),0)</f>
        <v>27825.050382742946</v>
      </c>
      <c r="X43" s="111">
        <f>IFERROR(求节点(基础信息!$F$90:$F$105,基础信息!$G$90:$G$105,$S43),0)*SUMPRODUCT(INDEX($D$5:$H$34,IFERROR(MATCH(求节点(基础信息!$F$90:$F$105,基础信息!$H$90:$H$105,$S43),$C$5:$C$34,1),1),),INDEX(基础信息!$I$90:$M$105,IFERROR(MATCH($S43,基础信息!$F$90:$F$105,1),1),))+IFERROR(SUMPRODUCT(INDEX(门客进修!$AE$85:$AI$100,MATCH($S43,基础信息!$F$90:$F$105,1),),INDEX(基础信息!$N$90:$R$105,MATCH($S43,基础信息!$F$90:$F$105,1),),INDEX(基础信息!$I$90:$M$105,MATCH($S43,基础信息!$F$90:$F$105,1),))*求节点(基础信息!$F$90:$F$105,基础信息!$G$90:$G$105,$S43),0)</f>
        <v>43587.479103752688</v>
      </c>
    </row>
    <row r="44" spans="3:24" x14ac:dyDescent="0.15">
      <c r="S44" s="111">
        <v>40</v>
      </c>
      <c r="T44" s="111">
        <f>IFERROR(求节点(基础信息!$F$10:$F$25,基础信息!$G$10:$G$25,$S44),0)*SUMPRODUCT(INDEX($D$5:$H$34,IFERROR(MATCH(求节点(基础信息!$F$10:$F$25,基础信息!$H$10:$H$25,$S44),$C$5:$C$34,1),1),),INDEX(基础信息!$I$10:$M$25,IFERROR(MATCH($S44,基础信息!$F$10:$F$25,1),1),))+IFERROR(SUMPRODUCT(INDEX(门客进修!$AE$5:$AI$20,MATCH($S44,基础信息!$F$10:$F$25,1),),INDEX(基础信息!$N$10:$R$25,MATCH($S44,基础信息!$F$10:$F$25,1),),INDEX(基础信息!$I$10:$M$25,MATCH($S44,基础信息!$F$10:$F$25,1),))*求节点(基础信息!$F$10:$F$25,基础信息!$G$10:$G$25,$S44),0)</f>
        <v>3470.1682084925615</v>
      </c>
      <c r="U44" s="111">
        <f>IFERROR(求节点(基础信息!$F$30:$F$45,基础信息!$G$30:$G$45,$S44),0)*SUMPRODUCT(INDEX($D$5:$H$34,IFERROR(MATCH(求节点(基础信息!$F$30:$F$45,基础信息!$H$30:$H$45,$S44),$C$5:$C$34,1),1),),INDEX(基础信息!$I$30:$M$45,IFERROR(MATCH($S44,基础信息!$F$30:$F$45,1),1),))+IFERROR(SUMPRODUCT(INDEX(门客进修!$AE$25:$AI$40,MATCH($S44,基础信息!$F$30:$F$45,1),),INDEX(基础信息!$N$30:$R$45,MATCH($S44,基础信息!$F$30:$F$45,1),),INDEX(基础信息!$I$30:$M$45,MATCH($S44,基础信息!$F$30:$F$45,1),))*求节点(基础信息!$F$30:$F$45,基础信息!$G$30:$G$45,$S44),0)</f>
        <v>5676.0606394459446</v>
      </c>
      <c r="V44" s="111">
        <f>IFERROR(求节点(基础信息!$F$50:$F$65,基础信息!$G$50:$G$65,$S44),0)*SUMPRODUCT(INDEX($D$5:$H$34,IFERROR(MATCH(求节点(基础信息!$F$50:$F$65,基础信息!$H$50:$H$65,$S44),$C$5:$C$34,1),1),),INDEX(基础信息!$I$50:$M$65,IFERROR(MATCH($S44,基础信息!$F$50:$F$65,1),1),))+IFERROR(SUMPRODUCT(INDEX(门客进修!$AE$45:$AI$60,MATCH($S44,基础信息!$F$50:$F$65,1),),INDEX(基础信息!$N$50:$R$65,MATCH($S44,基础信息!$F$50:$F$65,1),),INDEX(基础信息!$I$50:$M$65,MATCH($S44,基础信息!$F$50:$F$65,1),))*求节点(基础信息!$F$50:$F$65,基础信息!$G$50:$G$65,$S44),0)</f>
        <v>15710.959718385999</v>
      </c>
      <c r="W44" s="111">
        <f>IFERROR(求节点(基础信息!$F$70:$F$85,基础信息!$G$70:$G$85,$S44),0)*SUMPRODUCT(INDEX($D$5:$H$34,IFERROR(MATCH(求节点(基础信息!$F$70:$F$85,基础信息!$H$70:$H$85,$S44),$C$5:$C$34,1),1),),INDEX(基础信息!$I$70:$M$85,IFERROR(MATCH($S44,基础信息!$F$70:$F$85,1),1),))+IFERROR(SUMPRODUCT(INDEX(门客进修!$AE$65:$AI$80,MATCH($S44,基础信息!$F$70:$F$85,1),),INDEX(基础信息!$N$70:$R$85,MATCH($S44,基础信息!$F$70:$F$85,1),),INDEX(基础信息!$I$70:$M$85,MATCH($S44,基础信息!$F$70:$F$85,1),))*求节点(基础信息!$F$70:$F$85,基础信息!$G$70:$G$85,$S44),0)</f>
        <v>42906.442947861586</v>
      </c>
      <c r="X44" s="111">
        <f>IFERROR(求节点(基础信息!$F$90:$F$105,基础信息!$G$90:$G$105,$S44),0)*SUMPRODUCT(INDEX($D$5:$H$34,IFERROR(MATCH(求节点(基础信息!$F$90:$F$105,基础信息!$H$90:$H$105,$S44),$C$5:$C$34,1),1),),INDEX(基础信息!$I$90:$M$105,IFERROR(MATCH($S44,基础信息!$F$90:$F$105,1),1),))+IFERROR(SUMPRODUCT(INDEX(门客进修!$AE$85:$AI$100,MATCH($S44,基础信息!$F$90:$F$105,1),),INDEX(基础信息!$N$90:$R$105,MATCH($S44,基础信息!$F$90:$F$105,1),),INDEX(基础信息!$I$90:$M$105,MATCH($S44,基础信息!$F$90:$F$105,1),))*求节点(基础信息!$F$90:$F$105,基础信息!$G$90:$G$105,$S44),0)</f>
        <v>44756.882554355274</v>
      </c>
    </row>
    <row r="45" spans="3:24" x14ac:dyDescent="0.15">
      <c r="S45" s="111">
        <v>41</v>
      </c>
      <c r="T45" s="111">
        <f>IFERROR(求节点(基础信息!$F$10:$F$25,基础信息!$G$10:$G$25,$S45),0)*SUMPRODUCT(INDEX($D$5:$H$34,IFERROR(MATCH(求节点(基础信息!$F$10:$F$25,基础信息!$H$10:$H$25,$S45),$C$5:$C$34,1),1),),INDEX(基础信息!$I$10:$M$25,IFERROR(MATCH($S45,基础信息!$F$10:$F$25,1),1),))+IFERROR(SUMPRODUCT(INDEX(门客进修!$AE$5:$AI$20,MATCH($S45,基础信息!$F$10:$F$25,1),),INDEX(基础信息!$N$10:$R$25,MATCH($S45,基础信息!$F$10:$F$25,1),),INDEX(基础信息!$I$10:$M$25,MATCH($S45,基础信息!$F$10:$F$25,1),))*求节点(基础信息!$F$10:$F$25,基础信息!$G$10:$G$25,$S45),0)</f>
        <v>3764.0310742668553</v>
      </c>
      <c r="U45" s="111">
        <f>IFERROR(求节点(基础信息!$F$30:$F$45,基础信息!$G$30:$G$45,$S45),0)*SUMPRODUCT(INDEX($D$5:$H$34,IFERROR(MATCH(求节点(基础信息!$F$30:$F$45,基础信息!$H$30:$H$45,$S45),$C$5:$C$34,1),1),),INDEX(基础信息!$I$30:$M$45,IFERROR(MATCH($S45,基础信息!$F$30:$F$45,1),1),))+IFERROR(SUMPRODUCT(INDEX(门客进修!$AE$25:$AI$40,MATCH($S45,基础信息!$F$30:$F$45,1),),INDEX(基础信息!$N$30:$R$45,MATCH($S45,基础信息!$F$30:$F$45,1),),INDEX(基础信息!$I$30:$M$45,MATCH($S45,基础信息!$F$30:$F$45,1),))*求节点(基础信息!$F$30:$F$45,基础信息!$G$30:$G$45,$S45),0)</f>
        <v>5844.5348504807343</v>
      </c>
      <c r="V45" s="111">
        <f>IFERROR(求节点(基础信息!$F$50:$F$65,基础信息!$G$50:$G$65,$S45),0)*SUMPRODUCT(INDEX($D$5:$H$34,IFERROR(MATCH(求节点(基础信息!$F$50:$F$65,基础信息!$H$50:$H$65,$S45),$C$5:$C$34,1),1),),INDEX(基础信息!$I$50:$M$65,IFERROR(MATCH($S45,基础信息!$F$50:$F$65,1),1),))+IFERROR(SUMPRODUCT(INDEX(门客进修!$AE$45:$AI$60,MATCH($S45,基础信息!$F$50:$F$65,1),),INDEX(基础信息!$N$50:$R$65,MATCH($S45,基础信息!$F$50:$F$65,1),),INDEX(基础信息!$I$50:$M$65,MATCH($S45,基础信息!$F$50:$F$65,1),))*求节点(基础信息!$F$50:$F$65,基础信息!$G$50:$G$65,$S45),0)</f>
        <v>21004.740070963002</v>
      </c>
      <c r="W45" s="111">
        <f>IFERROR(求节点(基础信息!$F$70:$F$85,基础信息!$G$70:$G$85,$S45),0)*SUMPRODUCT(INDEX($D$5:$H$34,IFERROR(MATCH(求节点(基础信息!$F$70:$F$85,基础信息!$H$70:$H$85,$S45),$C$5:$C$34,1),1),),INDEX(基础信息!$I$70:$M$85,IFERROR(MATCH($S45,基础信息!$F$70:$F$85,1),1),))+IFERROR(SUMPRODUCT(INDEX(门客进修!$AE$65:$AI$80,MATCH($S45,基础信息!$F$70:$F$85,1),),INDEX(基础信息!$N$70:$R$85,MATCH($S45,基础信息!$F$70:$F$85,1),),INDEX(基础信息!$I$70:$M$85,MATCH($S45,基础信息!$F$70:$F$85,1),))*求节点(基础信息!$F$70:$F$85,基础信息!$G$70:$G$85,$S45),0)</f>
        <v>44069.786950815265</v>
      </c>
      <c r="X45" s="111">
        <f>IFERROR(求节点(基础信息!$F$90:$F$105,基础信息!$G$90:$G$105,$S45),0)*SUMPRODUCT(INDEX($D$5:$H$34,IFERROR(MATCH(求节点(基础信息!$F$90:$F$105,基础信息!$H$90:$H$105,$S45),$C$5:$C$34,1),1),),INDEX(基础信息!$I$90:$M$105,IFERROR(MATCH($S45,基础信息!$F$90:$F$105,1),1),))+IFERROR(SUMPRODUCT(INDEX(门客进修!$AE$85:$AI$100,MATCH($S45,基础信息!$F$90:$F$105,1),),INDEX(基础信息!$N$90:$R$105,MATCH($S45,基础信息!$F$90:$F$105,1),),INDEX(基础信息!$I$90:$M$105,MATCH($S45,基础信息!$F$90:$F$105,1),))*求节点(基础信息!$F$90:$F$105,基础信息!$G$90:$G$105,$S45),0)</f>
        <v>48113.252005193957</v>
      </c>
    </row>
    <row r="46" spans="3:24" x14ac:dyDescent="0.15">
      <c r="S46" s="111">
        <v>42</v>
      </c>
      <c r="T46" s="111">
        <f>IFERROR(求节点(基础信息!$F$10:$F$25,基础信息!$G$10:$G$25,$S46),0)*SUMPRODUCT(INDEX($D$5:$H$34,IFERROR(MATCH(求节点(基础信息!$F$10:$F$25,基础信息!$H$10:$H$25,$S46),$C$5:$C$34,1),1),),INDEX(基础信息!$I$10:$M$25,IFERROR(MATCH($S46,基础信息!$F$10:$F$25,1),1),))+IFERROR(SUMPRODUCT(INDEX(门客进修!$AE$5:$AI$20,MATCH($S46,基础信息!$F$10:$F$25,1),),INDEX(基础信息!$N$10:$R$25,MATCH($S46,基础信息!$F$10:$F$25,1),),INDEX(基础信息!$I$10:$M$25,MATCH($S46,基础信息!$F$10:$F$25,1),))*求节点(基础信息!$F$10:$F$25,基础信息!$G$10:$G$25,$S46),0)</f>
        <v>3875.2535080152247</v>
      </c>
      <c r="U46" s="111">
        <f>IFERROR(求节点(基础信息!$F$30:$F$45,基础信息!$G$30:$G$45,$S46),0)*SUMPRODUCT(INDEX($D$5:$H$34,IFERROR(MATCH(求节点(基础信息!$F$30:$F$45,基础信息!$H$30:$H$45,$S46),$C$5:$C$34,1),1),),INDEX(基础信息!$I$30:$M$45,IFERROR(MATCH($S46,基础信息!$F$30:$F$45,1),1),))+IFERROR(SUMPRODUCT(INDEX(门客进修!$AE$25:$AI$40,MATCH($S46,基础信息!$F$30:$F$45,1),),INDEX(基础信息!$N$30:$R$45,MATCH($S46,基础信息!$F$30:$F$45,1),),INDEX(基础信息!$I$30:$M$45,MATCH($S46,基础信息!$F$30:$F$45,1),))*求节点(基础信息!$F$30:$F$45,基础信息!$G$30:$G$45,$S46),0)</f>
        <v>12626.655300740793</v>
      </c>
      <c r="V46" s="111">
        <f>IFERROR(求节点(基础信息!$F$50:$F$65,基础信息!$G$50:$G$65,$S46),0)*SUMPRODUCT(INDEX($D$5:$H$34,IFERROR(MATCH(求节点(基础信息!$F$50:$F$65,基础信息!$H$50:$H$65,$S46),$C$5:$C$34,1),1),),INDEX(基础信息!$I$50:$M$65,IFERROR(MATCH($S46,基础信息!$F$50:$F$65,1),1),))+IFERROR(SUMPRODUCT(INDEX(门客进修!$AE$45:$AI$60,MATCH($S46,基础信息!$F$50:$F$65,1),),INDEX(基础信息!$N$50:$R$65,MATCH($S46,基础信息!$F$50:$F$65,1),),INDEX(基础信息!$I$50:$M$65,MATCH($S46,基础信息!$F$50:$F$65,1),))*求节点(基础信息!$F$50:$F$65,基础信息!$G$50:$G$65,$S46),0)</f>
        <v>21578.285715848891</v>
      </c>
      <c r="W46" s="111">
        <f>IFERROR(求节点(基础信息!$F$70:$F$85,基础信息!$G$70:$G$85,$S46),0)*SUMPRODUCT(INDEX($D$5:$H$34,IFERROR(MATCH(求节点(基础信息!$F$70:$F$85,基础信息!$H$70:$H$85,$S46),$C$5:$C$34,1),1),),INDEX(基础信息!$I$70:$M$85,IFERROR(MATCH($S46,基础信息!$F$70:$F$85,1),1),))+IFERROR(SUMPRODUCT(INDEX(门客进修!$AE$65:$AI$80,MATCH($S46,基础信息!$F$70:$F$85,1),),INDEX(基础信息!$N$70:$R$85,MATCH($S46,基础信息!$F$70:$F$85,1),),INDEX(基础信息!$I$70:$M$85,MATCH($S46,基础信息!$F$70:$F$85,1),))*求节点(基础信息!$F$70:$F$85,基础信息!$G$70:$G$85,$S46),0)</f>
        <v>45233.130953768952</v>
      </c>
      <c r="X46" s="111">
        <f>IFERROR(求节点(基础信息!$F$90:$F$105,基础信息!$G$90:$G$105,$S46),0)*SUMPRODUCT(INDEX($D$5:$H$34,IFERROR(MATCH(求节点(基础信息!$F$90:$F$105,基础信息!$H$90:$H$105,$S46),$C$5:$C$34,1),1),),INDEX(基础信息!$I$90:$M$105,IFERROR(MATCH($S46,基础信息!$F$90:$F$105,1),1),))+IFERROR(SUMPRODUCT(INDEX(门客进修!$AE$85:$AI$100,MATCH($S46,基础信息!$F$90:$F$105,1),),INDEX(基础信息!$N$90:$R$105,MATCH($S46,基础信息!$F$90:$F$105,1),),INDEX(基础信息!$I$90:$M$105,MATCH($S46,基础信息!$F$90:$F$105,1),))*求节点(基础信息!$F$90:$F$105,基础信息!$G$90:$G$105,$S46),0)</f>
        <v>49338.341334396668</v>
      </c>
    </row>
    <row r="47" spans="3:24" x14ac:dyDescent="0.15">
      <c r="S47" s="111">
        <v>43</v>
      </c>
      <c r="T47" s="111">
        <f>IFERROR(求节点(基础信息!$F$10:$F$25,基础信息!$G$10:$G$25,$S47),0)*SUMPRODUCT(INDEX($D$5:$H$34,IFERROR(MATCH(求节点(基础信息!$F$10:$F$25,基础信息!$H$10:$H$25,$S47),$C$5:$C$34,1),1),),INDEX(基础信息!$I$10:$M$25,IFERROR(MATCH($S47,基础信息!$F$10:$F$25,1),1),))+IFERROR(SUMPRODUCT(INDEX(门客进修!$AE$5:$AI$20,MATCH($S47,基础信息!$F$10:$F$25,1),),INDEX(基础信息!$N$10:$R$25,MATCH($S47,基础信息!$F$10:$F$25,1),),INDEX(基础信息!$I$10:$M$25,MATCH($S47,基础信息!$F$10:$F$25,1),))*求节点(基础信息!$F$10:$F$25,基础信息!$G$10:$G$25,$S47),0)</f>
        <v>3986.4759417635946</v>
      </c>
      <c r="U47" s="111">
        <f>IFERROR(求节点(基础信息!$F$30:$F$45,基础信息!$G$30:$G$45,$S47),0)*SUMPRODUCT(INDEX($D$5:$H$34,IFERROR(MATCH(求节点(基础信息!$F$30:$F$45,基础信息!$H$30:$H$45,$S47),$C$5:$C$34,1),1),),INDEX(基础信息!$I$30:$M$45,IFERROR(MATCH($S47,基础信息!$F$30:$F$45,1),1),))+IFERROR(SUMPRODUCT(INDEX(门客进修!$AE$25:$AI$40,MATCH($S47,基础信息!$F$30:$F$45,1),),INDEX(基础信息!$N$30:$R$45,MATCH($S47,基础信息!$F$30:$F$45,1),),INDEX(基础信息!$I$30:$M$45,MATCH($S47,基础信息!$F$30:$F$45,1),))*求节点(基础信息!$F$30:$F$45,基础信息!$G$30:$G$45,$S47),0)</f>
        <v>12971.855510367062</v>
      </c>
      <c r="V47" s="111">
        <f>IFERROR(求节点(基础信息!$F$50:$F$65,基础信息!$G$50:$G$65,$S47),0)*SUMPRODUCT(INDEX($D$5:$H$34,IFERROR(MATCH(求节点(基础信息!$F$50:$F$65,基础信息!$H$50:$H$65,$S47),$C$5:$C$34,1),1),),INDEX(基础信息!$I$50:$M$65,IFERROR(MATCH($S47,基础信息!$F$50:$F$65,1),1),))+IFERROR(SUMPRODUCT(INDEX(门客进修!$AE$45:$AI$60,MATCH($S47,基础信息!$F$50:$F$65,1),),INDEX(基础信息!$N$50:$R$65,MATCH($S47,基础信息!$F$50:$F$65,1),),INDEX(基础信息!$I$50:$M$65,MATCH($S47,基础信息!$F$50:$F$65,1),))*求节点(基础信息!$F$50:$F$65,基础信息!$G$50:$G$65,$S47),0)</f>
        <v>22151.831360734785</v>
      </c>
      <c r="W47" s="111">
        <f>IFERROR(求节点(基础信息!$F$70:$F$85,基础信息!$G$70:$G$85,$S47),0)*SUMPRODUCT(INDEX($D$5:$H$34,IFERROR(MATCH(求节点(基础信息!$F$70:$F$85,基础信息!$H$70:$H$85,$S47),$C$5:$C$34,1),1),),INDEX(基础信息!$I$70:$M$85,IFERROR(MATCH($S47,基础信息!$F$70:$F$85,1),1),))+IFERROR(SUMPRODUCT(INDEX(门客进修!$AE$65:$AI$80,MATCH($S47,基础信息!$F$70:$F$85,1),),INDEX(基础信息!$N$70:$R$85,MATCH($S47,基础信息!$F$70:$F$85,1),),INDEX(基础信息!$I$70:$M$85,MATCH($S47,基础信息!$F$70:$F$85,1),))*求节点(基础信息!$F$70:$F$85,基础信息!$G$70:$G$85,$S47),0)</f>
        <v>48605.830907042764</v>
      </c>
      <c r="X47" s="111">
        <f>IFERROR(求节点(基础信息!$F$90:$F$105,基础信息!$G$90:$G$105,$S47),0)*SUMPRODUCT(INDEX($D$5:$H$34,IFERROR(MATCH(求节点(基础信息!$F$90:$F$105,基础信息!$H$90:$H$105,$S47),$C$5:$C$34,1),1),),INDEX(基础信息!$I$90:$M$105,IFERROR(MATCH($S47,基础信息!$F$90:$F$105,1),1),))+IFERROR(SUMPRODUCT(INDEX(门客进修!$AE$85:$AI$100,MATCH($S47,基础信息!$F$90:$F$105,1),),INDEX(基础信息!$N$90:$R$105,MATCH($S47,基础信息!$F$90:$F$105,1),),INDEX(基础信息!$I$90:$M$105,MATCH($S47,基础信息!$F$90:$F$105,1),))*求节点(基础信息!$F$90:$F$105,基础信息!$G$90:$G$105,$S47),0)</f>
        <v>50563.430663599393</v>
      </c>
    </row>
    <row r="48" spans="3:24" x14ac:dyDescent="0.15">
      <c r="S48" s="111">
        <v>44</v>
      </c>
      <c r="T48" s="111">
        <f>IFERROR(求节点(基础信息!$F$10:$F$25,基础信息!$G$10:$G$25,$S48),0)*SUMPRODUCT(INDEX($D$5:$H$34,IFERROR(MATCH(求节点(基础信息!$F$10:$F$25,基础信息!$H$10:$H$25,$S48),$C$5:$C$34,1),1),),INDEX(基础信息!$I$10:$M$25,IFERROR(MATCH($S48,基础信息!$F$10:$F$25,1),1),))+IFERROR(SUMPRODUCT(INDEX(门客进修!$AE$5:$AI$20,MATCH($S48,基础信息!$F$10:$F$25,1),),INDEX(基础信息!$N$10:$R$25,MATCH($S48,基础信息!$F$10:$F$25,1),),INDEX(基础信息!$I$10:$M$25,MATCH($S48,基础信息!$F$10:$F$25,1),))*求节点(基础信息!$F$10:$F$25,基础信息!$G$10:$G$25,$S48),0)</f>
        <v>6452.3727322235081</v>
      </c>
      <c r="U48" s="111">
        <f>IFERROR(求节点(基础信息!$F$30:$F$45,基础信息!$G$30:$G$45,$S48),0)*SUMPRODUCT(INDEX($D$5:$H$34,IFERROR(MATCH(求节点(基础信息!$F$30:$F$45,基础信息!$H$30:$H$45,$S48),$C$5:$C$34,1),1),),INDEX(基础信息!$I$30:$M$45,IFERROR(MATCH($S48,基础信息!$F$30:$F$45,1),1),))+IFERROR(SUMPRODUCT(INDEX(门客进修!$AE$25:$AI$40,MATCH($S48,基础信息!$F$30:$F$45,1),),INDEX(基础信息!$N$30:$R$45,MATCH($S48,基础信息!$F$30:$F$45,1),),INDEX(基础信息!$I$30:$M$45,MATCH($S48,基础信息!$F$30:$F$45,1),))*求节点(基础信息!$F$30:$F$45,基础信息!$G$30:$G$45,$S48),0)</f>
        <v>13317.055719993334</v>
      </c>
      <c r="V48" s="111">
        <f>IFERROR(求节点(基础信息!$F$50:$F$65,基础信息!$G$50:$G$65,$S48),0)*SUMPRODUCT(INDEX($D$5:$H$34,IFERROR(MATCH(求节点(基础信息!$F$50:$F$65,基础信息!$H$50:$H$65,$S48),$C$5:$C$34,1),1),),INDEX(基础信息!$I$50:$M$65,IFERROR(MATCH($S48,基础信息!$F$50:$F$65,1),1),))+IFERROR(SUMPRODUCT(INDEX(门客进修!$AE$45:$AI$60,MATCH($S48,基础信息!$F$50:$F$65,1),),INDEX(基础信息!$N$50:$R$65,MATCH($S48,基础信息!$F$50:$F$65,1),),INDEX(基础信息!$I$50:$M$65,MATCH($S48,基础信息!$F$50:$F$65,1),))*求节点(基础信息!$F$50:$F$65,基础信息!$G$50:$G$65,$S48),0)</f>
        <v>23599.429967375312</v>
      </c>
      <c r="W48" s="111">
        <f>IFERROR(求节点(基础信息!$F$70:$F$85,基础信息!$G$70:$G$85,$S48),0)*SUMPRODUCT(INDEX($D$5:$H$34,IFERROR(MATCH(求节点(基础信息!$F$70:$F$85,基础信息!$H$70:$H$85,$S48),$C$5:$C$34,1),1),),INDEX(基础信息!$I$70:$M$85,IFERROR(MATCH($S48,基础信息!$F$70:$F$85,1),1),))+IFERROR(SUMPRODUCT(INDEX(门客进修!$AE$65:$AI$80,MATCH($S48,基础信息!$F$70:$F$85,1),),INDEX(基础信息!$N$70:$R$85,MATCH($S48,基础信息!$F$70:$F$85,1),),INDEX(基础信息!$I$70:$M$85,MATCH($S48,基础信息!$F$70:$F$85,1),))*求节点(基础信息!$F$70:$F$85,基础信息!$G$70:$G$85,$S48),0)</f>
        <v>49824.572243470437</v>
      </c>
      <c r="X48" s="111">
        <f>IFERROR(求节点(基础信息!$F$90:$F$105,基础信息!$G$90:$G$105,$S48),0)*SUMPRODUCT(INDEX($D$5:$H$34,IFERROR(MATCH(求节点(基础信息!$F$90:$F$105,基础信息!$H$90:$H$105,$S48),$C$5:$C$34,1),1),),INDEX(基础信息!$I$90:$M$105,IFERROR(MATCH($S48,基础信息!$F$90:$F$105,1),1),))+IFERROR(SUMPRODUCT(INDEX(门客进修!$AE$85:$AI$100,MATCH($S48,基础信息!$F$90:$F$105,1),),INDEX(基础信息!$N$90:$R$105,MATCH($S48,基础信息!$F$90:$F$105,1),),INDEX(基础信息!$I$90:$M$105,MATCH($S48,基础信息!$F$90:$F$105,1),))*求节点(基础信息!$F$90:$F$105,基础信息!$G$90:$G$105,$S48),0)</f>
        <v>54142.543628838561</v>
      </c>
    </row>
    <row r="49" spans="19:24" x14ac:dyDescent="0.15">
      <c r="S49" s="111">
        <v>45</v>
      </c>
      <c r="T49" s="111">
        <f>IFERROR(求节点(基础信息!$F$10:$F$25,基础信息!$G$10:$G$25,$S49),0)*SUMPRODUCT(INDEX($D$5:$H$34,IFERROR(MATCH(求节点(基础信息!$F$10:$F$25,基础信息!$H$10:$H$25,$S49),$C$5:$C$34,1),1),),INDEX(基础信息!$I$10:$M$25,IFERROR(MATCH($S49,基础信息!$F$10:$F$25,1),1),))+IFERROR(SUMPRODUCT(INDEX(门客进修!$AE$5:$AI$20,MATCH($S49,基础信息!$F$10:$F$25,1),),INDEX(基础信息!$N$10:$R$25,MATCH($S49,基础信息!$F$10:$F$25,1),),INDEX(基础信息!$I$10:$M$25,MATCH($S49,基础信息!$F$10:$F$25,1),))*求节点(基础信息!$F$10:$F$25,基础信息!$G$10:$G$25,$S49),0)</f>
        <v>6625.8379103902798</v>
      </c>
      <c r="U49" s="111">
        <f>IFERROR(求节点(基础信息!$F$30:$F$45,基础信息!$G$30:$G$45,$S49),0)*SUMPRODUCT(INDEX($D$5:$H$34,IFERROR(MATCH(求节点(基础信息!$F$30:$F$45,基础信息!$H$30:$H$45,$S49),$C$5:$C$34,1),1),),INDEX(基础信息!$I$30:$M$45,IFERROR(MATCH($S49,基础信息!$F$30:$F$45,1),1),))+IFERROR(SUMPRODUCT(INDEX(门客进修!$AE$25:$AI$40,MATCH($S49,基础信息!$F$30:$F$45,1),),INDEX(基础信息!$N$30:$R$45,MATCH($S49,基础信息!$F$30:$F$45,1),),INDEX(基础信息!$I$30:$M$45,MATCH($S49,基础信息!$F$30:$F$45,1),))*求节点(基础信息!$F$30:$F$45,基础信息!$G$30:$G$45,$S49),0)</f>
        <v>14312.839545315777</v>
      </c>
      <c r="V49" s="111">
        <f>IFERROR(求节点(基础信息!$F$50:$F$65,基础信息!$G$50:$G$65,$S49),0)*SUMPRODUCT(INDEX($D$5:$H$34,IFERROR(MATCH(求节点(基础信息!$F$50:$F$65,基础信息!$H$50:$H$65,$S49),$C$5:$C$34,1),1),),INDEX(基础信息!$I$50:$M$65,IFERROR(MATCH($S49,基础信息!$F$50:$F$65,1),1),))+IFERROR(SUMPRODUCT(INDEX(门客进修!$AE$45:$AI$60,MATCH($S49,基础信息!$F$50:$F$65,1),),INDEX(基础信息!$N$50:$R$65,MATCH($S49,基础信息!$F$50:$F$65,1),),INDEX(基础信息!$I$50:$M$65,MATCH($S49,基础信息!$F$50:$F$65,1),))*求节点(基础信息!$F$50:$F$65,基础信息!$G$50:$G$65,$S49),0)</f>
        <v>24195.035060141432</v>
      </c>
      <c r="W49" s="111">
        <f>IFERROR(求节点(基础信息!$F$70:$F$85,基础信息!$G$70:$G$85,$S49),0)*SUMPRODUCT(INDEX($D$5:$H$34,IFERROR(MATCH(求节点(基础信息!$F$70:$F$85,基础信息!$H$70:$H$85,$S49),$C$5:$C$34,1),1),),INDEX(基础信息!$I$70:$M$85,IFERROR(MATCH($S49,基础信息!$F$70:$F$85,1),1),))+IFERROR(SUMPRODUCT(INDEX(门客进修!$AE$65:$AI$80,MATCH($S49,基础信息!$F$70:$F$85,1),),INDEX(基础信息!$N$70:$R$85,MATCH($S49,基础信息!$F$70:$F$85,1),),INDEX(基础信息!$I$70:$M$85,MATCH($S49,基础信息!$F$70:$F$85,1),))*求节点(基础信息!$F$70:$F$85,基础信息!$G$70:$G$85,$S49),0)</f>
        <v>51043.313579898102</v>
      </c>
      <c r="X49" s="111">
        <f>IFERROR(求节点(基础信息!$F$90:$F$105,基础信息!$G$90:$G$105,$S49),0)*SUMPRODUCT(INDEX($D$5:$H$34,IFERROR(MATCH(求节点(基础信息!$F$90:$F$105,基础信息!$H$90:$H$105,$S49),$C$5:$C$34,1),1),),INDEX(基础信息!$I$90:$M$105,IFERROR(MATCH($S49,基础信息!$F$90:$F$105,1),1),))+IFERROR(SUMPRODUCT(INDEX(门客进修!$AE$85:$AI$100,MATCH($S49,基础信息!$F$90:$F$105,1),),INDEX(基础信息!$N$90:$R$105,MATCH($S49,基础信息!$F$90:$F$105,1),),INDEX(基础信息!$I$90:$M$105,MATCH($S49,基础信息!$F$90:$F$105,1),))*求节点(基础信息!$F$90:$F$105,基础信息!$G$90:$G$105,$S49),0)</f>
        <v>55423.318836641396</v>
      </c>
    </row>
    <row r="50" spans="19:24" x14ac:dyDescent="0.15">
      <c r="S50" s="111">
        <v>46</v>
      </c>
      <c r="T50" s="111">
        <f>IFERROR(求节点(基础信息!$F$10:$F$25,基础信息!$G$10:$G$25,$S50),0)*SUMPRODUCT(INDEX($D$5:$H$34,IFERROR(MATCH(求节点(基础信息!$F$10:$F$25,基础信息!$H$10:$H$25,$S50),$C$5:$C$34,1),1),),INDEX(基础信息!$I$10:$M$25,IFERROR(MATCH($S50,基础信息!$F$10:$F$25,1),1),))+IFERROR(SUMPRODUCT(INDEX(门客进修!$AE$5:$AI$20,MATCH($S50,基础信息!$F$10:$F$25,1),),INDEX(基础信息!$N$10:$R$25,MATCH($S50,基础信息!$F$10:$F$25,1),),INDEX(基础信息!$I$10:$M$25,MATCH($S50,基础信息!$F$10:$F$25,1),))*求节点(基础信息!$F$10:$F$25,基础信息!$G$10:$G$25,$S50),0)</f>
        <v>6799.3030885570524</v>
      </c>
      <c r="U50" s="111">
        <f>IFERROR(求节点(基础信息!$F$30:$F$45,基础信息!$G$30:$G$45,$S50),0)*SUMPRODUCT(INDEX($D$5:$H$34,IFERROR(MATCH(求节点(基础信息!$F$30:$F$45,基础信息!$H$30:$H$45,$S50),$C$5:$C$34,1),1),),INDEX(基础信息!$I$30:$M$45,IFERROR(MATCH($S50,基础信息!$F$30:$F$45,1),1),))+IFERROR(SUMPRODUCT(INDEX(门客进修!$AE$25:$AI$40,MATCH($S50,基础信息!$F$30:$F$45,1),),INDEX(基础信息!$N$30:$R$45,MATCH($S50,基础信息!$F$30:$F$45,1),),INDEX(基础信息!$I$30:$M$45,MATCH($S50,基础信息!$F$30:$F$45,1),))*求节点(基础信息!$F$30:$F$45,基础信息!$G$30:$G$45,$S50),0)</f>
        <v>14674.477860162347</v>
      </c>
      <c r="V50" s="111">
        <f>IFERROR(求节点(基础信息!$F$50:$F$65,基础信息!$G$50:$G$65,$S50),0)*SUMPRODUCT(INDEX($D$5:$H$34,IFERROR(MATCH(求节点(基础信息!$F$50:$F$65,基础信息!$H$50:$H$65,$S50),$C$5:$C$34,1),1),),INDEX(基础信息!$I$50:$M$65,IFERROR(MATCH($S50,基础信息!$F$50:$F$65,1),1),))+IFERROR(SUMPRODUCT(INDEX(门客进修!$AE$45:$AI$60,MATCH($S50,基础信息!$F$50:$F$65,1),),INDEX(基础信息!$N$50:$R$65,MATCH($S50,基础信息!$F$50:$F$65,1),),INDEX(基础信息!$I$50:$M$65,MATCH($S50,基础信息!$F$50:$F$65,1),))*求节点(基础信息!$F$50:$F$65,基础信息!$G$50:$G$65,$S50),0)</f>
        <v>24790.640152907548</v>
      </c>
      <c r="W50" s="111">
        <f>IFERROR(求节点(基础信息!$F$70:$F$85,基础信息!$G$70:$G$85,$S50),0)*SUMPRODUCT(INDEX($D$5:$H$34,IFERROR(MATCH(求节点(基础信息!$F$70:$F$85,基础信息!$H$70:$H$85,$S50),$C$5:$C$34,1),1),),INDEX(基础信息!$I$70:$M$85,IFERROR(MATCH($S50,基础信息!$F$70:$F$85,1),1),))+IFERROR(SUMPRODUCT(INDEX(门客进修!$AE$65:$AI$80,MATCH($S50,基础信息!$F$70:$F$85,1),),INDEX(基础信息!$N$70:$R$85,MATCH($S50,基础信息!$F$70:$F$85,1),),INDEX(基础信息!$I$70:$M$85,MATCH($S50,基础信息!$F$70:$F$85,1),))*求节点(基础信息!$F$70:$F$85,基础信息!$G$70:$G$85,$S50),0)</f>
        <v>54637.602867067857</v>
      </c>
      <c r="X50" s="111">
        <f>IFERROR(求节点(基础信息!$F$90:$F$105,基础信息!$G$90:$G$105,$S50),0)*SUMPRODUCT(INDEX($D$5:$H$34,IFERROR(MATCH(求节点(基础信息!$F$90:$F$105,基础信息!$H$90:$H$105,$S50),$C$5:$C$34,1),1),),INDEX(基础信息!$I$90:$M$105,IFERROR(MATCH($S50,基础信息!$F$90:$F$105,1),1),))+IFERROR(SUMPRODUCT(INDEX(门客进修!$AE$85:$AI$100,MATCH($S50,基础信息!$F$90:$F$105,1),),INDEX(基础信息!$N$90:$R$105,MATCH($S50,基础信息!$F$90:$F$105,1),),INDEX(基础信息!$I$90:$M$105,MATCH($S50,基础信息!$F$90:$F$105,1),))*求节点(基础信息!$F$90:$F$105,基础信息!$G$90:$G$105,$S50),0)</f>
        <v>56704.094044444239</v>
      </c>
    </row>
    <row r="51" spans="19:24" x14ac:dyDescent="0.15">
      <c r="S51" s="111">
        <v>47</v>
      </c>
      <c r="T51" s="111">
        <f>IFERROR(求节点(基础信息!$F$10:$F$25,基础信息!$G$10:$G$25,$S51),0)*SUMPRODUCT(INDEX($D$5:$H$34,IFERROR(MATCH(求节点(基础信息!$F$10:$F$25,基础信息!$H$10:$H$25,$S51),$C$5:$C$34,1),1),),INDEX(基础信息!$I$10:$M$25,IFERROR(MATCH($S51,基础信息!$F$10:$F$25,1),1),))+IFERROR(SUMPRODUCT(INDEX(门客进修!$AE$5:$AI$20,MATCH($S51,基础信息!$F$10:$F$25,1),),INDEX(基础信息!$N$10:$R$25,MATCH($S51,基础信息!$F$10:$F$25,1),),INDEX(基础信息!$I$10:$M$25,MATCH($S51,基础信息!$F$10:$F$25,1),))*求节点(基础信息!$F$10:$F$25,基础信息!$G$10:$G$25,$S51),0)</f>
        <v>7304.8048508535303</v>
      </c>
      <c r="U51" s="111">
        <f>IFERROR(求节点(基础信息!$F$30:$F$45,基础信息!$G$30:$G$45,$S51),0)*SUMPRODUCT(INDEX($D$5:$H$34,IFERROR(MATCH(求节点(基础信息!$F$30:$F$45,基础信息!$H$30:$H$45,$S51),$C$5:$C$34,1),1),),INDEX(基础信息!$I$30:$M$45,IFERROR(MATCH($S51,基础信息!$F$30:$F$45,1),1),))+IFERROR(SUMPRODUCT(INDEX(门客进修!$AE$25:$AI$40,MATCH($S51,基础信息!$F$30:$F$45,1),),INDEX(基础信息!$N$30:$R$45,MATCH($S51,基础信息!$F$30:$F$45,1),),INDEX(基础信息!$I$30:$M$45,MATCH($S51,基础信息!$F$30:$F$45,1),))*求节点(基础信息!$F$30:$F$45,基础信息!$G$30:$G$45,$S51),0)</f>
        <v>15036.116175008918</v>
      </c>
      <c r="V51" s="111">
        <f>IFERROR(求节点(基础信息!$F$50:$F$65,基础信息!$G$50:$G$65,$S51),0)*SUMPRODUCT(INDEX($D$5:$H$34,IFERROR(MATCH(求节点(基础信息!$F$50:$F$65,基础信息!$H$50:$H$65,$S51),$C$5:$C$34,1),1),),INDEX(基础信息!$I$50:$M$65,IFERROR(MATCH($S51,基础信息!$F$50:$F$65,1),1),))+IFERROR(SUMPRODUCT(INDEX(门客进修!$AE$45:$AI$60,MATCH($S51,基础信息!$F$50:$F$65,1),),INDEX(基础信息!$N$50:$R$65,MATCH($S51,基础信息!$F$50:$F$65,1),),INDEX(基础信息!$I$50:$M$65,MATCH($S51,基础信息!$F$50:$F$65,1),))*求节点(基础信息!$F$50:$F$65,基础信息!$G$50:$G$65,$S51),0)</f>
        <v>26326.476551068983</v>
      </c>
      <c r="W51" s="111">
        <f>IFERROR(求节点(基础信息!$F$70:$F$85,基础信息!$G$70:$G$85,$S51),0)*SUMPRODUCT(INDEX($D$5:$H$34,IFERROR(MATCH(求节点(基础信息!$F$70:$F$85,基础信息!$H$70:$H$85,$S51),$C$5:$C$34,1),1),),INDEX(基础信息!$I$70:$M$85,IFERROR(MATCH($S51,基础信息!$F$70:$F$85,1),1),))+IFERROR(SUMPRODUCT(INDEX(门客进修!$AE$65:$AI$80,MATCH($S51,基础信息!$F$70:$F$85,1),),INDEX(基础信息!$N$70:$R$85,MATCH($S51,基础信息!$F$70:$F$85,1),),INDEX(基础信息!$I$70:$M$85,MATCH($S51,基础信息!$F$70:$F$85,1),))*求节点(基础信息!$F$70:$F$85,基础信息!$G$70:$G$85,$S51),0)</f>
        <v>55911.741536969508</v>
      </c>
      <c r="X51" s="111">
        <f>IFERROR(求节点(基础信息!$F$90:$F$105,基础信息!$G$90:$G$105,$S51),0)*SUMPRODUCT(INDEX($D$5:$H$34,IFERROR(MATCH(求节点(基础信息!$F$90:$F$105,基础信息!$H$90:$H$105,$S51),$C$5:$C$34,1),1),),INDEX(基础信息!$I$90:$M$105,IFERROR(MATCH($S51,基础信息!$F$90:$F$105,1),1),))+IFERROR(SUMPRODUCT(INDEX(门客进修!$AE$85:$AI$100,MATCH($S51,基础信息!$F$90:$F$105,1),),INDEX(基础信息!$N$90:$R$105,MATCH($S51,基础信息!$F$90:$F$105,1),),INDEX(基础信息!$I$90:$M$105,MATCH($S51,基础信息!$F$90:$F$105,1),))*求节点(基础信息!$F$90:$F$105,基础信息!$G$90:$G$105,$S51),0)</f>
        <v>65531.928232856859</v>
      </c>
    </row>
    <row r="52" spans="19:24" x14ac:dyDescent="0.15">
      <c r="S52" s="111">
        <v>48</v>
      </c>
      <c r="T52" s="111">
        <f>IFERROR(求节点(基础信息!$F$10:$F$25,基础信息!$G$10:$G$25,$S52),0)*SUMPRODUCT(INDEX($D$5:$H$34,IFERROR(MATCH(求节点(基础信息!$F$10:$F$25,基础信息!$H$10:$H$25,$S52),$C$5:$C$34,1),1),),INDEX(基础信息!$I$10:$M$25,IFERROR(MATCH($S52,基础信息!$F$10:$F$25,1),1),))+IFERROR(SUMPRODUCT(INDEX(门客进修!$AE$5:$AI$20,MATCH($S52,基础信息!$F$10:$F$25,1),),INDEX(基础信息!$N$10:$R$25,MATCH($S52,基础信息!$F$10:$F$25,1),),INDEX(基础信息!$I$10:$M$25,MATCH($S52,基础信息!$F$10:$F$25,1),))*求节点(基础信息!$F$10:$F$25,基础信息!$G$10:$G$25,$S52),0)</f>
        <v>7486.5302755996736</v>
      </c>
      <c r="U52" s="111">
        <f>IFERROR(求节点(基础信息!$F$30:$F$45,基础信息!$G$30:$G$45,$S52),0)*SUMPRODUCT(INDEX($D$5:$H$34,IFERROR(MATCH(求节点(基础信息!$F$30:$F$45,基础信息!$H$30:$H$45,$S52),$C$5:$C$34,1),1),),INDEX(基础信息!$I$30:$M$45,IFERROR(MATCH($S52,基础信息!$F$30:$F$45,1),1),))+IFERROR(SUMPRODUCT(INDEX(门客进修!$AE$25:$AI$40,MATCH($S52,基础信息!$F$30:$F$45,1),),INDEX(基础信息!$N$30:$R$45,MATCH($S52,基础信息!$F$30:$F$45,1),),INDEX(基础信息!$I$30:$M$45,MATCH($S52,基础信息!$F$30:$F$45,1),))*求节点(基础信息!$F$30:$F$45,基础信息!$G$30:$G$45,$S52),0)</f>
        <v>15397.754489855484</v>
      </c>
      <c r="V52" s="111">
        <f>IFERROR(求节点(基础信息!$F$50:$F$65,基础信息!$G$50:$G$65,$S52),0)*SUMPRODUCT(INDEX($D$5:$H$34,IFERROR(MATCH(求节点(基础信息!$F$50:$F$65,基础信息!$H$50:$H$65,$S52),$C$5:$C$34,1),1),),INDEX(基础信息!$I$50:$M$65,IFERROR(MATCH($S52,基础信息!$F$50:$F$65,1),1),))+IFERROR(SUMPRODUCT(INDEX(门客进修!$AE$45:$AI$60,MATCH($S52,基础信息!$F$50:$F$65,1),),INDEX(基础信息!$N$50:$R$65,MATCH($S52,基础信息!$F$50:$F$65,1),),INDEX(基础信息!$I$50:$M$65,MATCH($S52,基础信息!$F$50:$F$65,1),))*求节点(基础信息!$F$50:$F$65,基础信息!$G$50:$G$65,$S52),0)</f>
        <v>26944.14109171533</v>
      </c>
      <c r="W52" s="111">
        <f>IFERROR(求节点(基础信息!$F$70:$F$85,基础信息!$G$70:$G$85,$S52),0)*SUMPRODUCT(INDEX($D$5:$H$34,IFERROR(MATCH(求节点(基础信息!$F$70:$F$85,基础信息!$H$70:$H$85,$S52),$C$5:$C$34,1),1),),INDEX(基础信息!$I$70:$M$85,IFERROR(MATCH($S52,基础信息!$F$70:$F$85,1),1),))+IFERROR(SUMPRODUCT(INDEX(门客进修!$AE$65:$AI$80,MATCH($S52,基础信息!$F$70:$F$85,1),),INDEX(基础信息!$N$70:$R$85,MATCH($S52,基础信息!$F$70:$F$85,1),),INDEX(基础信息!$I$70:$M$85,MATCH($S52,基础信息!$F$70:$F$85,1),))*求节点(基础信息!$F$70:$F$85,基础信息!$G$70:$G$85,$S52),0)</f>
        <v>57185.880206871167</v>
      </c>
      <c r="X52" s="111">
        <f>IFERROR(求节点(基础信息!$F$90:$F$105,基础信息!$G$90:$G$105,$S52),0)*SUMPRODUCT(INDEX($D$5:$H$34,IFERROR(MATCH(求节点(基础信息!$F$90:$F$105,基础信息!$H$90:$H$105,$S52),$C$5:$C$34,1),1),),INDEX(基础信息!$I$90:$M$105,IFERROR(MATCH($S52,基础信息!$F$90:$F$105,1),1),))+IFERROR(SUMPRODUCT(INDEX(门客进修!$AE$85:$AI$100,MATCH($S52,基础信息!$F$90:$F$105,1),),INDEX(基础信息!$N$90:$R$105,MATCH($S52,基础信息!$F$90:$F$105,1),),INDEX(基础信息!$I$90:$M$105,MATCH($S52,基础信息!$F$90:$F$105,1),))*求节点(基础信息!$F$90:$F$105,基础信息!$G$90:$G$105,$S52),0)</f>
        <v>66937.009066125058</v>
      </c>
    </row>
    <row r="53" spans="19:24" x14ac:dyDescent="0.15">
      <c r="S53" s="111">
        <v>49</v>
      </c>
      <c r="T53" s="111">
        <f>IFERROR(求节点(基础信息!$F$10:$F$25,基础信息!$G$10:$G$25,$S53),0)*SUMPRODUCT(INDEX($D$5:$H$34,IFERROR(MATCH(求节点(基础信息!$F$10:$F$25,基础信息!$H$10:$H$25,$S53),$C$5:$C$34,1),1),),INDEX(基础信息!$I$10:$M$25,IFERROR(MATCH($S53,基础信息!$F$10:$F$25,1),1),))+IFERROR(SUMPRODUCT(INDEX(门客进修!$AE$5:$AI$20,MATCH($S53,基础信息!$F$10:$F$25,1),),INDEX(基础信息!$N$10:$R$25,MATCH($S53,基础信息!$F$10:$F$25,1),),INDEX(基础信息!$I$10:$M$25,MATCH($S53,基础信息!$F$10:$F$25,1),))*求节点(基础信息!$F$10:$F$25,基础信息!$G$10:$G$25,$S53),0)</f>
        <v>7668.2557003458169</v>
      </c>
      <c r="U53" s="111">
        <f>IFERROR(求节点(基础信息!$F$30:$F$45,基础信息!$G$30:$G$45,$S53),0)*SUMPRODUCT(INDEX($D$5:$H$34,IFERROR(MATCH(求节点(基础信息!$F$30:$F$45,基础信息!$H$30:$H$45,$S53),$C$5:$C$34,1),1),),INDEX(基础信息!$I$30:$M$45,IFERROR(MATCH($S53,基础信息!$F$30:$F$45,1),1),))+IFERROR(SUMPRODUCT(INDEX(门客进修!$AE$25:$AI$40,MATCH($S53,基础信息!$F$30:$F$45,1),),INDEX(基础信息!$N$30:$R$45,MATCH($S53,基础信息!$F$30:$F$45,1),),INDEX(基础信息!$I$30:$M$45,MATCH($S53,基础信息!$F$30:$F$45,1),))*求节点(基础信息!$F$30:$F$45,基础信息!$G$30:$G$45,$S53),0)</f>
        <v>16475.728841279422</v>
      </c>
      <c r="V53" s="111">
        <f>IFERROR(求节点(基础信息!$F$50:$F$65,基础信息!$G$50:$G$65,$S53),0)*SUMPRODUCT(INDEX($D$5:$H$34,IFERROR(MATCH(求节点(基础信息!$F$50:$F$65,基础信息!$H$50:$H$65,$S53),$C$5:$C$34,1),1),),INDEX(基础信息!$I$50:$M$65,IFERROR(MATCH($S53,基础信息!$F$50:$F$65,1),1),))+IFERROR(SUMPRODUCT(INDEX(门客进修!$AE$45:$AI$60,MATCH($S53,基础信息!$F$50:$F$65,1),),INDEX(基础信息!$N$50:$R$65,MATCH($S53,基础信息!$F$50:$F$65,1),),INDEX(基础信息!$I$50:$M$65,MATCH($S53,基础信息!$F$50:$F$65,1),))*求节点(基础信息!$F$50:$F$65,基础信息!$G$50:$G$65,$S53),0)</f>
        <v>27561.805632361673</v>
      </c>
      <c r="W53" s="111">
        <f>IFERROR(求节点(基础信息!$F$70:$F$85,基础信息!$G$70:$G$85,$S53),0)*SUMPRODUCT(INDEX($D$5:$H$34,IFERROR(MATCH(求节点(基础信息!$F$70:$F$85,基础信息!$H$70:$H$85,$S53),$C$5:$C$34,1),1),),INDEX(基础信息!$I$70:$M$85,IFERROR(MATCH($S53,基础信息!$F$70:$F$85,1),1),))+IFERROR(SUMPRODUCT(INDEX(门客进修!$AE$65:$AI$80,MATCH($S53,基础信息!$F$70:$F$85,1),),INDEX(基础信息!$N$70:$R$85,MATCH($S53,基础信息!$F$70:$F$85,1),),INDEX(基础信息!$I$70:$M$85,MATCH($S53,基础信息!$F$70:$F$85,1),))*求节点(基础信息!$F$70:$F$85,基础信息!$G$70:$G$85,$S53),0)</f>
        <v>66068.767740478987</v>
      </c>
      <c r="X53" s="111">
        <f>IFERROR(求节点(基础信息!$F$90:$F$105,基础信息!$G$90:$G$105,$S53),0)*SUMPRODUCT(INDEX($D$5:$H$34,IFERROR(MATCH(求节点(基础信息!$F$90:$F$105,基础信息!$H$90:$H$105,$S53),$C$5:$C$34,1),1),),INDEX(基础信息!$I$90:$M$105,IFERROR(MATCH($S53,基础信息!$F$90:$F$105,1),1),))+IFERROR(SUMPRODUCT(INDEX(门客进修!$AE$85:$AI$100,MATCH($S53,基础信息!$F$90:$F$105,1),),INDEX(基础信息!$N$90:$R$105,MATCH($S53,基础信息!$F$90:$F$105,1),),INDEX(基础信息!$I$90:$M$105,MATCH($S53,基础信息!$F$90:$F$105,1),))*求节点(基础信息!$F$90:$F$105,基础信息!$G$90:$G$105,$S53),0)</f>
        <v>68342.08989939325</v>
      </c>
    </row>
    <row r="54" spans="19:24" x14ac:dyDescent="0.15">
      <c r="S54" s="111">
        <v>50</v>
      </c>
      <c r="T54" s="111">
        <f>IFERROR(求节点(基础信息!$F$10:$F$25,基础信息!$G$10:$G$25,$S54),0)*SUMPRODUCT(INDEX($D$5:$H$34,IFERROR(MATCH(求节点(基础信息!$F$10:$F$25,基础信息!$H$10:$H$25,$S54),$C$5:$C$34,1),1),),INDEX(基础信息!$I$10:$M$25,IFERROR(MATCH($S54,基础信息!$F$10:$F$25,1),1),))+IFERROR(SUMPRODUCT(INDEX(门客进修!$AE$5:$AI$20,MATCH($S54,基础信息!$F$10:$F$25,1),),INDEX(基础信息!$N$10:$R$25,MATCH($S54,基础信息!$F$10:$F$25,1),),INDEX(基础信息!$I$10:$M$25,MATCH($S54,基础信息!$F$10:$F$25,1),))*求节点(基础信息!$F$10:$F$25,基础信息!$G$10:$G$25,$S54),0)</f>
        <v>8206.7984489597748</v>
      </c>
      <c r="U54" s="111">
        <f>IFERROR(求节点(基础信息!$F$30:$F$45,基础信息!$G$30:$G$45,$S54),0)*SUMPRODUCT(INDEX($D$5:$H$34,IFERROR(MATCH(求节点(基础信息!$F$30:$F$45,基础信息!$H$30:$H$45,$S54),$C$5:$C$34,1),1),),INDEX(基础信息!$I$30:$M$45,IFERROR(MATCH($S54,基础信息!$F$30:$F$45,1),1),))+IFERROR(SUMPRODUCT(INDEX(门客进修!$AE$25:$AI$40,MATCH($S54,基础信息!$F$30:$F$45,1),),INDEX(基础信息!$N$30:$R$45,MATCH($S54,基础信息!$F$30:$F$45,1),),INDEX(基础信息!$I$30:$M$45,MATCH($S54,基础信息!$F$30:$F$45,1),))*求节点(基础信息!$F$30:$F$45,基础信息!$G$30:$G$45,$S54),0)</f>
        <v>16853.80526134629</v>
      </c>
      <c r="V54" s="111">
        <f>IFERROR(求节点(基础信息!$F$50:$F$65,基础信息!$G$50:$G$65,$S54),0)*SUMPRODUCT(INDEX($D$5:$H$34,IFERROR(MATCH(求节点(基础信息!$F$50:$F$65,基础信息!$H$50:$H$65,$S54),$C$5:$C$34,1),1),),INDEX(基础信息!$I$50:$M$65,IFERROR(MATCH($S54,基础信息!$F$50:$F$65,1),1),))+IFERROR(SUMPRODUCT(INDEX(门客进修!$AE$45:$AI$60,MATCH($S54,基础信息!$F$50:$F$65,1),),INDEX(基础信息!$N$50:$R$65,MATCH($S54,基础信息!$F$50:$F$65,1),),INDEX(基础信息!$I$50:$M$65,MATCH($S54,基础信息!$F$50:$F$65,1),))*求节点(基础信息!$F$50:$F$65,基础信息!$G$50:$G$65,$S54),0)</f>
        <v>36984.847367187765</v>
      </c>
      <c r="W54" s="111">
        <f>IFERROR(求节点(基础信息!$F$70:$F$85,基础信息!$G$70:$G$85,$S54),0)*SUMPRODUCT(INDEX($D$5:$H$34,IFERROR(MATCH(求节点(基础信息!$F$70:$F$85,基础信息!$H$70:$H$85,$S54),$C$5:$C$34,1),1),),INDEX(基础信息!$I$70:$M$85,IFERROR(MATCH($S54,基础信息!$F$70:$F$85,1),1),))+IFERROR(SUMPRODUCT(INDEX(门客进修!$AE$65:$AI$80,MATCH($S54,基础信息!$F$70:$F$85,1),),INDEX(基础信息!$N$70:$R$85,MATCH($S54,基础信息!$F$70:$F$85,1),),INDEX(基础信息!$I$70:$M$85,MATCH($S54,基础信息!$F$70:$F$85,1),))*求节点(基础信息!$F$70:$F$85,基础信息!$G$70:$G$85,$S54),0)</f>
        <v>67487.238085421937</v>
      </c>
      <c r="X54" s="111">
        <f>IFERROR(求节点(基础信息!$F$90:$F$105,基础信息!$G$90:$G$105,$S54),0)*SUMPRODUCT(INDEX($D$5:$H$34,IFERROR(MATCH(求节点(基础信息!$F$90:$F$105,基础信息!$H$90:$H$105,$S54),$C$5:$C$34,1),1),),INDEX(基础信息!$I$90:$M$105,IFERROR(MATCH($S54,基础信息!$F$90:$F$105,1),1),))+IFERROR(SUMPRODUCT(INDEX(门客进修!$AE$85:$AI$100,MATCH($S54,基础信息!$F$90:$F$105,1),),INDEX(基础信息!$N$90:$R$105,MATCH($S54,基础信息!$F$90:$F$105,1),),INDEX(基础信息!$I$90:$M$105,MATCH($S54,基础信息!$F$90:$F$105,1),))*求节点(基础信息!$F$90:$F$105,基础信息!$G$90:$G$105,$S54),0)</f>
        <v>72429.754222379197</v>
      </c>
    </row>
    <row r="55" spans="19:24" x14ac:dyDescent="0.15">
      <c r="S55" s="111">
        <v>51</v>
      </c>
      <c r="T55" s="111">
        <f>IFERROR(求节点(基础信息!$F$10:$F$25,基础信息!$G$10:$G$25,$S55),0)*SUMPRODUCT(INDEX($D$5:$H$34,IFERROR(MATCH(求节点(基础信息!$F$10:$F$25,基础信息!$H$10:$H$25,$S55),$C$5:$C$34,1),1),),INDEX(基础信息!$I$10:$M$25,IFERROR(MATCH($S55,基础信息!$F$10:$F$25,1),1),))+IFERROR(SUMPRODUCT(INDEX(门客进修!$AE$5:$AI$20,MATCH($S55,基础信息!$F$10:$F$25,1),),INDEX(基础信息!$N$10:$R$25,MATCH($S55,基础信息!$F$10:$F$25,1),),INDEX(基础信息!$I$10:$M$25,MATCH($S55,基础信息!$F$10:$F$25,1),))*求节点(基础信息!$F$10:$F$25,基础信息!$G$10:$G$25,$S55),0)</f>
        <v>8396.7841202852887</v>
      </c>
      <c r="U55" s="111">
        <f>IFERROR(求节点(基础信息!$F$30:$F$45,基础信息!$G$30:$G$45,$S55),0)*SUMPRODUCT(INDEX($D$5:$H$34,IFERROR(MATCH(求节点(基础信息!$F$30:$F$45,基础信息!$H$30:$H$45,$S55),$C$5:$C$34,1),1),),INDEX(基础信息!$I$30:$M$45,IFERROR(MATCH($S55,基础信息!$F$30:$F$45,1),1),))+IFERROR(SUMPRODUCT(INDEX(门客进修!$AE$25:$AI$40,MATCH($S55,基础信息!$F$30:$F$45,1),),INDEX(基础信息!$N$30:$R$45,MATCH($S55,基础信息!$F$30:$F$45,1),),INDEX(基础信息!$I$30:$M$45,MATCH($S55,基础信息!$F$30:$F$45,1),))*求节点(基础信息!$F$30:$F$45,基础信息!$G$30:$G$45,$S55),0)</f>
        <v>17231.881681413161</v>
      </c>
      <c r="V55" s="111">
        <f>IFERROR(求节点(基础信息!$F$50:$F$65,基础信息!$G$50:$G$65,$S55),0)*SUMPRODUCT(INDEX($D$5:$H$34,IFERROR(MATCH(求节点(基础信息!$F$50:$F$65,基础信息!$H$50:$H$65,$S55),$C$5:$C$34,1),1),),INDEX(基础信息!$I$50:$M$65,IFERROR(MATCH($S55,基础信息!$F$50:$F$65,1),1),))+IFERROR(SUMPRODUCT(INDEX(门客进修!$AE$45:$AI$60,MATCH($S55,基础信息!$F$50:$F$65,1),),INDEX(基础信息!$N$50:$R$65,MATCH($S55,基础信息!$F$50:$F$65,1),),INDEX(基础信息!$I$50:$M$65,MATCH($S55,基础信息!$F$50:$F$65,1),))*求节点(基础信息!$F$50:$F$65,基础信息!$G$50:$G$65,$S55),0)</f>
        <v>37793.098057231706</v>
      </c>
      <c r="W55" s="111">
        <f>IFERROR(求节点(基础信息!$F$70:$F$85,基础信息!$G$70:$G$85,$S55),0)*SUMPRODUCT(INDEX($D$5:$H$34,IFERROR(MATCH(求节点(基础信息!$F$70:$F$85,基础信息!$H$70:$H$85,$S55),$C$5:$C$34,1),1),),INDEX(基础信息!$I$70:$M$85,IFERROR(MATCH($S55,基础信息!$F$70:$F$85,1),1),))+IFERROR(SUMPRODUCT(INDEX(门客进修!$AE$65:$AI$80,MATCH($S55,基础信息!$F$70:$F$85,1),),INDEX(基础信息!$N$70:$R$85,MATCH($S55,基础信息!$F$70:$F$85,1),),INDEX(基础信息!$I$70:$M$85,MATCH($S55,基础信息!$F$70:$F$85,1),))*求节点(基础信息!$F$70:$F$85,基础信息!$G$70:$G$85,$S55),0)</f>
        <v>68905.708430364903</v>
      </c>
      <c r="X55" s="111">
        <f>IFERROR(求节点(基础信息!$F$90:$F$105,基础信息!$G$90:$G$105,$S55),0)*SUMPRODUCT(INDEX($D$5:$H$34,IFERROR(MATCH(求节点(基础信息!$F$90:$F$105,基础信息!$H$90:$H$105,$S55),$C$5:$C$34,1),1),),INDEX(基础信息!$I$90:$M$105,IFERROR(MATCH($S55,基础信息!$F$90:$F$105,1),1),))+IFERROR(SUMPRODUCT(INDEX(门客进修!$AE$85:$AI$100,MATCH($S55,基础信息!$F$90:$F$105,1),),INDEX(基础信息!$N$90:$R$105,MATCH($S55,基础信息!$F$90:$F$105,1),),INDEX(基础信息!$I$90:$M$105,MATCH($S55,基础信息!$F$90:$F$105,1),))*求节点(基础信息!$F$90:$F$105,基础信息!$G$90:$G$105,$S55),0)</f>
        <v>73888.876626157697</v>
      </c>
    </row>
    <row r="56" spans="19:24" x14ac:dyDescent="0.15">
      <c r="S56" s="111">
        <v>52</v>
      </c>
      <c r="T56" s="111">
        <f>IFERROR(求节点(基础信息!$F$10:$F$25,基础信息!$G$10:$G$25,$S56),0)*SUMPRODUCT(INDEX($D$5:$H$34,IFERROR(MATCH(求节点(基础信息!$F$10:$F$25,基础信息!$H$10:$H$25,$S56),$C$5:$C$34,1),1),),INDEX(基础信息!$I$10:$M$25,IFERROR(MATCH($S56,基础信息!$F$10:$F$25,1),1),))+IFERROR(SUMPRODUCT(INDEX(门客进修!$AE$5:$AI$20,MATCH($S56,基础信息!$F$10:$F$25,1),),INDEX(基础信息!$N$10:$R$25,MATCH($S56,基础信息!$F$10:$F$25,1),),INDEX(基础信息!$I$10:$M$25,MATCH($S56,基础信息!$F$10:$F$25,1),))*求节点(基础信息!$F$10:$F$25,基础信息!$G$10:$G$25,$S56),0)</f>
        <v>8586.7697916108009</v>
      </c>
      <c r="U56" s="111">
        <f>IFERROR(求节点(基础信息!$F$30:$F$45,基础信息!$G$30:$G$45,$S56),0)*SUMPRODUCT(INDEX($D$5:$H$34,IFERROR(MATCH(求节点(基础信息!$F$30:$F$45,基础信息!$H$30:$H$45,$S56),$C$5:$C$34,1),1),),INDEX(基础信息!$I$30:$M$45,IFERROR(MATCH($S56,基础信息!$F$30:$F$45,1),1),))+IFERROR(SUMPRODUCT(INDEX(门客进修!$AE$25:$AI$40,MATCH($S56,基础信息!$F$30:$F$45,1),),INDEX(基础信息!$N$30:$R$45,MATCH($S56,基础信息!$F$30:$F$45,1),),INDEX(基础信息!$I$30:$M$45,MATCH($S56,基础信息!$F$30:$F$45,1),))*求节点(基础信息!$F$30:$F$45,基础信息!$G$30:$G$45,$S56),0)</f>
        <v>27058.851803055222</v>
      </c>
      <c r="V56" s="111">
        <f>IFERROR(求节点(基础信息!$F$50:$F$65,基础信息!$G$50:$G$65,$S56),0)*SUMPRODUCT(INDEX($D$5:$H$34,IFERROR(MATCH(求节点(基础信息!$F$50:$F$65,基础信息!$H$50:$H$65,$S56),$C$5:$C$34,1),1),),INDEX(基础信息!$I$50:$M$65,IFERROR(MATCH($S56,基础信息!$F$50:$F$65,1),1),))+IFERROR(SUMPRODUCT(INDEX(门客进修!$AE$45:$AI$60,MATCH($S56,基础信息!$F$50:$F$65,1),),INDEX(基础信息!$N$50:$R$65,MATCH($S56,基础信息!$F$50:$F$65,1),),INDEX(基础信息!$I$50:$M$65,MATCH($S56,基础信息!$F$50:$F$65,1),))*求节点(基础信息!$F$50:$F$65,基础信息!$G$50:$G$65,$S56),0)</f>
        <v>38601.348747275639</v>
      </c>
      <c r="W56" s="111">
        <f>IFERROR(求节点(基础信息!$F$70:$F$85,基础信息!$G$70:$G$85,$S56),0)*SUMPRODUCT(INDEX($D$5:$H$34,IFERROR(MATCH(求节点(基础信息!$F$70:$F$85,基础信息!$H$70:$H$85,$S56),$C$5:$C$34,1),1),),INDEX(基础信息!$I$70:$M$85,IFERROR(MATCH($S56,基础信息!$F$70:$F$85,1),1),))+IFERROR(SUMPRODUCT(INDEX(门客进修!$AE$65:$AI$80,MATCH($S56,基础信息!$F$70:$F$85,1),),INDEX(基础信息!$N$70:$R$85,MATCH($S56,基础信息!$F$70:$F$85,1),),INDEX(基础信息!$I$70:$M$85,MATCH($S56,基础信息!$F$70:$F$85,1),))*求节点(基础信息!$F$70:$F$85,基础信息!$G$70:$G$85,$S56),0)</f>
        <v>73028.954882050471</v>
      </c>
      <c r="X56" s="111">
        <f>IFERROR(求节点(基础信息!$F$90:$F$105,基础信息!$G$90:$G$105,$S56),0)*SUMPRODUCT(INDEX($D$5:$H$34,IFERROR(MATCH(求节点(基础信息!$F$90:$F$105,基础信息!$H$90:$H$105,$S56),$C$5:$C$34,1),1),),INDEX(基础信息!$I$90:$M$105,IFERROR(MATCH($S56,基础信息!$F$90:$F$105,1),1),))+IFERROR(SUMPRODUCT(INDEX(门客进修!$AE$85:$AI$100,MATCH($S56,基础信息!$F$90:$F$105,1),),INDEX(基础信息!$N$90:$R$105,MATCH($S56,基础信息!$F$90:$F$105,1),),INDEX(基础信息!$I$90:$M$105,MATCH($S56,基础信息!$F$90:$F$105,1),))*求节点(基础信息!$F$90:$F$105,基础信息!$G$90:$G$105,$S56),0)</f>
        <v>75347.999029936196</v>
      </c>
    </row>
    <row r="57" spans="19:24" x14ac:dyDescent="0.15">
      <c r="S57" s="111">
        <v>53</v>
      </c>
      <c r="T57" s="111">
        <f>IFERROR(求节点(基础信息!$F$10:$F$25,基础信息!$G$10:$G$25,$S57),0)*SUMPRODUCT(INDEX($D$5:$H$34,IFERROR(MATCH(求节点(基础信息!$F$10:$F$25,基础信息!$H$10:$H$25,$S57),$C$5:$C$34,1),1),),INDEX(基础信息!$I$10:$M$25,IFERROR(MATCH($S57,基础信息!$F$10:$F$25,1),1),))+IFERROR(SUMPRODUCT(INDEX(门客进修!$AE$5:$AI$20,MATCH($S57,基础信息!$F$10:$F$25,1),),INDEX(基础信息!$N$10:$R$25,MATCH($S57,基础信息!$F$10:$F$25,1),),INDEX(基础信息!$I$10:$M$25,MATCH($S57,基础信息!$F$10:$F$25,1),))*求节点(基础信息!$F$10:$F$25,基础信息!$G$10:$G$25,$S57),0)</f>
        <v>18319.226494222101</v>
      </c>
      <c r="U57" s="111">
        <f>IFERROR(求节点(基础信息!$F$30:$F$45,基础信息!$G$30:$G$45,$S57),0)*SUMPRODUCT(INDEX($D$5:$H$34,IFERROR(MATCH(求节点(基础信息!$F$30:$F$45,基础信息!$H$30:$H$45,$S57),$C$5:$C$34,1),1),),INDEX(基础信息!$I$30:$M$45,IFERROR(MATCH($S57,基础信息!$F$30:$F$45,1),1),))+IFERROR(SUMPRODUCT(INDEX(门客进修!$AE$25:$AI$40,MATCH($S57,基础信息!$F$30:$F$45,1),),INDEX(基础信息!$N$30:$R$45,MATCH($S57,基础信息!$F$30:$F$45,1),),INDEX(基础信息!$I$30:$M$45,MATCH($S57,基础信息!$F$30:$F$45,1),))*求节点(基础信息!$F$30:$F$45,基础信息!$G$30:$G$45,$S57),0)</f>
        <v>27645.833143878739</v>
      </c>
      <c r="V57" s="111">
        <f>IFERROR(求节点(基础信息!$F$50:$F$65,基础信息!$G$50:$G$65,$S57),0)*SUMPRODUCT(INDEX($D$5:$H$34,IFERROR(MATCH(求节点(基础信息!$F$50:$F$65,基础信息!$H$50:$H$65,$S57),$C$5:$C$34,1),1),),INDEX(基础信息!$I$50:$M$65,IFERROR(MATCH($S57,基础信息!$F$50:$F$65,1),1),))+IFERROR(SUMPRODUCT(INDEX(门客进修!$AE$45:$AI$60,MATCH($S57,基础信息!$F$50:$F$65,1),),INDEX(基础信息!$N$50:$R$65,MATCH($S57,基础信息!$F$50:$F$65,1),),INDEX(基础信息!$I$50:$M$65,MATCH($S57,基础信息!$F$50:$F$65,1),))*求节点(基础信息!$F$50:$F$65,基础信息!$G$50:$G$65,$S57),0)</f>
        <v>40884.108259804321</v>
      </c>
      <c r="W57" s="111">
        <f>IFERROR(求节点(基础信息!$F$70:$F$85,基础信息!$G$70:$G$85,$S57),0)*SUMPRODUCT(INDEX($D$5:$H$34,IFERROR(MATCH(求节点(基础信息!$F$70:$F$85,基础信息!$H$70:$H$85,$S57),$C$5:$C$34,1),1),),INDEX(基础信息!$I$70:$M$85,IFERROR(MATCH($S57,基础信息!$F$70:$F$85,1),1),))+IFERROR(SUMPRODUCT(INDEX(门客进修!$AE$65:$AI$80,MATCH($S57,基础信息!$F$70:$F$85,1),),INDEX(基础信息!$N$70:$R$85,MATCH($S57,基础信息!$F$70:$F$85,1),),INDEX(基础信息!$I$70:$M$85,MATCH($S57,基础信息!$F$70:$F$85,1),))*求节点(基础信息!$F$70:$F$85,基础信息!$G$70:$G$85,$S57),0)</f>
        <v>74501.98177872198</v>
      </c>
      <c r="X57" s="111">
        <f>IFERROR(求节点(基础信息!$F$90:$F$105,基础信息!$G$90:$G$105,$S57),0)*SUMPRODUCT(INDEX($D$5:$H$34,IFERROR(MATCH(求节点(基础信息!$F$90:$F$105,基础信息!$H$90:$H$105,$S57),$C$5:$C$34,1),1),),INDEX(基础信息!$I$90:$M$105,IFERROR(MATCH($S57,基础信息!$F$90:$F$105,1),1),))+IFERROR(SUMPRODUCT(INDEX(门客进修!$AE$85:$AI$100,MATCH($S57,基础信息!$F$90:$F$105,1),),INDEX(基础信息!$N$90:$R$105,MATCH($S57,基础信息!$F$90:$F$105,1),),INDEX(基础信息!$I$90:$M$105,MATCH($S57,基础信息!$F$90:$F$105,1),))*求节点(基础信息!$F$90:$F$105,基础信息!$G$90:$G$105,$S57),0)</f>
        <v>79651.829634963404</v>
      </c>
    </row>
    <row r="58" spans="19:24" x14ac:dyDescent="0.15">
      <c r="S58" s="111">
        <v>54</v>
      </c>
      <c r="T58" s="111">
        <f>IFERROR(求节点(基础信息!$F$10:$F$25,基础信息!$G$10:$G$25,$S58),0)*SUMPRODUCT(INDEX($D$5:$H$34,IFERROR(MATCH(求节点(基础信息!$F$10:$F$25,基础信息!$H$10:$H$25,$S58),$C$5:$C$34,1),1),),INDEX(基础信息!$I$10:$M$25,IFERROR(MATCH($S58,基础信息!$F$10:$F$25,1),1),))+IFERROR(SUMPRODUCT(INDEX(门客进修!$AE$5:$AI$20,MATCH($S58,基础信息!$F$10:$F$25,1),),INDEX(基础信息!$N$10:$R$25,MATCH($S58,基础信息!$F$10:$F$25,1),),INDEX(基础信息!$I$10:$M$25,MATCH($S58,基础信息!$F$10:$F$25,1),))*求节点(基础信息!$F$10:$F$25,基础信息!$G$10:$G$25,$S58),0)</f>
        <v>18718.872468318783</v>
      </c>
      <c r="U58" s="111">
        <f>IFERROR(求节点(基础信息!$F$30:$F$45,基础信息!$G$30:$G$45,$S58),0)*SUMPRODUCT(INDEX($D$5:$H$34,IFERROR(MATCH(求节点(基础信息!$F$30:$F$45,基础信息!$H$30:$H$45,$S58),$C$5:$C$34,1),1),),INDEX(基础信息!$I$30:$M$45,IFERROR(MATCH($S58,基础信息!$F$30:$F$45,1),1),))+IFERROR(SUMPRODUCT(INDEX(门客进修!$AE$25:$AI$40,MATCH($S58,基础信息!$F$30:$F$45,1),),INDEX(基础信息!$N$30:$R$45,MATCH($S58,基础信息!$F$30:$F$45,1),),INDEX(基础信息!$I$30:$M$45,MATCH($S58,基础信息!$F$30:$F$45,1),))*求节点(基础信息!$F$30:$F$45,基础信息!$G$30:$G$45,$S58),0)</f>
        <v>28232.814484702256</v>
      </c>
      <c r="V58" s="111">
        <f>IFERROR(求节点(基础信息!$F$50:$F$65,基础信息!$G$50:$G$65,$S58),0)*SUMPRODUCT(INDEX($D$5:$H$34,IFERROR(MATCH(求节点(基础信息!$F$50:$F$65,基础信息!$H$50:$H$65,$S58),$C$5:$C$34,1),1),),INDEX(基础信息!$I$50:$M$65,IFERROR(MATCH($S58,基础信息!$F$50:$F$65,1),1),))+IFERROR(SUMPRODUCT(INDEX(门客进修!$AE$45:$AI$60,MATCH($S58,基础信息!$F$50:$F$65,1),),INDEX(基础信息!$N$50:$R$65,MATCH($S58,基础信息!$F$50:$F$65,1),),INDEX(基础信息!$I$50:$M$65,MATCH($S58,基础信息!$F$50:$F$65,1),))*求节点(基础信息!$F$50:$F$65,基础信息!$G$50:$G$65,$S58),0)</f>
        <v>41722.599621924732</v>
      </c>
      <c r="W58" s="111">
        <f>IFERROR(求节点(基础信息!$F$70:$F$85,基础信息!$G$70:$G$85,$S58),0)*SUMPRODUCT(INDEX($D$5:$H$34,IFERROR(MATCH(求节点(基础信息!$F$70:$F$85,基础信息!$H$70:$H$85,$S58),$C$5:$C$34,1),1),),INDEX(基础信息!$I$70:$M$85,IFERROR(MATCH($S58,基础信息!$F$70:$F$85,1),1),))+IFERROR(SUMPRODUCT(INDEX(门客进修!$AE$65:$AI$80,MATCH($S58,基础信息!$F$70:$F$85,1),),INDEX(基础信息!$N$70:$R$85,MATCH($S58,基础信息!$F$70:$F$85,1),),INDEX(基础信息!$I$70:$M$85,MATCH($S58,基础信息!$F$70:$F$85,1),))*求节点(基础信息!$F$70:$F$85,基础信息!$G$70:$G$85,$S58),0)</f>
        <v>75975.008675393532</v>
      </c>
      <c r="X58" s="111">
        <f>IFERROR(求节点(基础信息!$F$90:$F$105,基础信息!$G$90:$G$105,$S58),0)*SUMPRODUCT(INDEX($D$5:$H$34,IFERROR(MATCH(求节点(基础信息!$F$90:$F$105,基础信息!$H$90:$H$105,$S58),$C$5:$C$34,1),1),),INDEX(基础信息!$I$90:$M$105,IFERROR(MATCH($S58,基础信息!$F$90:$F$105,1),1),))+IFERROR(SUMPRODUCT(INDEX(门客进修!$AE$85:$AI$100,MATCH($S58,基础信息!$F$90:$F$105,1),),INDEX(基础信息!$N$90:$R$105,MATCH($S58,基础信息!$F$90:$F$105,1),),INDEX(基础信息!$I$90:$M$105,MATCH($S58,基础信息!$F$90:$F$105,1),))*求节点(基础信息!$F$90:$F$105,基础信息!$G$90:$G$105,$S58),0)</f>
        <v>81164.993609252226</v>
      </c>
    </row>
    <row r="59" spans="19:24" x14ac:dyDescent="0.15">
      <c r="S59" s="111">
        <v>55</v>
      </c>
      <c r="T59" s="111">
        <f>IFERROR(求节点(基础信息!$F$10:$F$25,基础信息!$G$10:$G$25,$S59),0)*SUMPRODUCT(INDEX($D$5:$H$34,IFERROR(MATCH(求节点(基础信息!$F$10:$F$25,基础信息!$H$10:$H$25,$S59),$C$5:$C$34,1),1),),INDEX(基础信息!$I$10:$M$25,IFERROR(MATCH($S59,基础信息!$F$10:$F$25,1),1),))+IFERROR(SUMPRODUCT(INDEX(门客进修!$AE$5:$AI$20,MATCH($S59,基础信息!$F$10:$F$25,1),),INDEX(基础信息!$N$10:$R$25,MATCH($S59,基础信息!$F$10:$F$25,1),),INDEX(基础信息!$I$10:$M$25,MATCH($S59,基础信息!$F$10:$F$25,1),))*求节点(基础信息!$F$10:$F$25,基础信息!$G$10:$G$25,$S59),0)</f>
        <v>19118.518442415461</v>
      </c>
      <c r="U59" s="111">
        <f>IFERROR(求节点(基础信息!$F$30:$F$45,基础信息!$G$30:$G$45,$S59),0)*SUMPRODUCT(INDEX($D$5:$H$34,IFERROR(MATCH(求节点(基础信息!$F$30:$F$45,基础信息!$H$30:$H$45,$S59),$C$5:$C$34,1),1),),INDEX(基础信息!$I$30:$M$45,IFERROR(MATCH($S59,基础信息!$F$30:$F$45,1),1),))+IFERROR(SUMPRODUCT(INDEX(门客进修!$AE$25:$AI$40,MATCH($S59,基础信息!$F$30:$F$45,1),),INDEX(基础信息!$N$30:$R$45,MATCH($S59,基础信息!$F$30:$F$45,1),),INDEX(基础信息!$I$30:$M$45,MATCH($S59,基础信息!$F$30:$F$45,1),))*求节点(基础信息!$F$30:$F$45,基础信息!$G$30:$G$45,$S59),0)</f>
        <v>29907.335290639956</v>
      </c>
      <c r="V59" s="111">
        <f>IFERROR(求节点(基础信息!$F$50:$F$65,基础信息!$G$50:$G$65,$S59),0)*SUMPRODUCT(INDEX($D$5:$H$34,IFERROR(MATCH(求节点(基础信息!$F$50:$F$65,基础信息!$H$50:$H$65,$S59),$C$5:$C$34,1),1),),INDEX(基础信息!$I$50:$M$65,IFERROR(MATCH($S59,基础信息!$F$50:$F$65,1),1),))+IFERROR(SUMPRODUCT(INDEX(门客进修!$AE$45:$AI$60,MATCH($S59,基础信息!$F$50:$F$65,1),),INDEX(基础信息!$N$50:$R$65,MATCH($S59,基础信息!$F$50:$F$65,1),),INDEX(基础信息!$I$50:$M$65,MATCH($S59,基础信息!$F$50:$F$65,1),))*求节点(基础信息!$F$50:$F$65,基础信息!$G$50:$G$65,$S59),0)</f>
        <v>42561.090984045135</v>
      </c>
      <c r="W59" s="111">
        <f>IFERROR(求节点(基础信息!$F$70:$F$85,基础信息!$G$70:$G$85,$S59),0)*SUMPRODUCT(INDEX($D$5:$H$34,IFERROR(MATCH(求节点(基础信息!$F$70:$F$85,基础信息!$H$70:$H$85,$S59),$C$5:$C$34,1),1),),INDEX(基础信息!$I$70:$M$85,IFERROR(MATCH($S59,基础信息!$F$70:$F$85,1),1),))+IFERROR(SUMPRODUCT(INDEX(门客进修!$AE$65:$AI$80,MATCH($S59,基础信息!$F$70:$F$85,1),),INDEX(基础信息!$N$70:$R$85,MATCH($S59,基础信息!$F$70:$F$85,1),),INDEX(基础信息!$I$70:$M$85,MATCH($S59,基础信息!$F$70:$F$85,1),))*求节点(基础信息!$F$70:$F$85,基础信息!$G$70:$G$85,$S59),0)</f>
        <v>80316.48133399339</v>
      </c>
      <c r="X59" s="111">
        <f>IFERROR(求节点(基础信息!$F$90:$F$105,基础信息!$G$90:$G$105,$S59),0)*SUMPRODUCT(INDEX($D$5:$H$34,IFERROR(MATCH(求节点(基础信息!$F$90:$F$105,基础信息!$H$90:$H$105,$S59),$C$5:$C$34,1),1),),INDEX(基础信息!$I$90:$M$105,IFERROR(MATCH($S59,基础信息!$F$90:$F$105,1),1),))+IFERROR(SUMPRODUCT(INDEX(门客进修!$AE$85:$AI$100,MATCH($S59,基础信息!$F$90:$F$105,1),),INDEX(基础信息!$N$90:$R$105,MATCH($S59,基础信息!$F$90:$F$105,1),),INDEX(基础信息!$I$90:$M$105,MATCH($S59,基础信息!$F$90:$F$105,1),))*求节点(基础信息!$F$90:$F$105,基础信息!$G$90:$G$105,$S59),0)</f>
        <v>82678.157583541062</v>
      </c>
    </row>
    <row r="60" spans="19:24" x14ac:dyDescent="0.15">
      <c r="S60" s="111">
        <v>56</v>
      </c>
      <c r="T60" s="111">
        <f>IFERROR(求节点(基础信息!$F$10:$F$25,基础信息!$G$10:$G$25,$S60),0)*SUMPRODUCT(INDEX($D$5:$H$34,IFERROR(MATCH(求节点(基础信息!$F$10:$F$25,基础信息!$H$10:$H$25,$S60),$C$5:$C$34,1),1),),INDEX(基础信息!$I$10:$M$25,IFERROR(MATCH($S60,基础信息!$F$10:$F$25,1),1),))+IFERROR(SUMPRODUCT(INDEX(门客进修!$AE$5:$AI$20,MATCH($S60,基础信息!$F$10:$F$25,1),),INDEX(基础信息!$N$10:$R$25,MATCH($S60,基础信息!$F$10:$F$25,1),),INDEX(基础信息!$I$10:$M$25,MATCH($S60,基础信息!$F$10:$F$25,1),))*求节点(基础信息!$F$10:$F$25,基础信息!$G$10:$G$25,$S60),0)</f>
        <v>20331.421267200149</v>
      </c>
      <c r="U60" s="111">
        <f>IFERROR(求节点(基础信息!$F$30:$F$45,基础信息!$G$30:$G$45,$S60),0)*SUMPRODUCT(INDEX($D$5:$H$34,IFERROR(MATCH(求节点(基础信息!$F$30:$F$45,基础信息!$H$30:$H$45,$S60),$C$5:$C$34,1),1),),INDEX(基础信息!$I$30:$M$45,IFERROR(MATCH($S60,基础信息!$F$30:$F$45,1),1),))+IFERROR(SUMPRODUCT(INDEX(门客进修!$AE$25:$AI$40,MATCH($S60,基础信息!$F$30:$F$45,1),),INDEX(基础信息!$N$30:$R$45,MATCH($S60,基础信息!$F$30:$F$45,1),),INDEX(基础信息!$I$30:$M$45,MATCH($S60,基础信息!$F$30:$F$45,1),))*求节点(基础信息!$F$30:$F$45,基础信息!$G$30:$G$45,$S60),0)</f>
        <v>30516.46687073983</v>
      </c>
      <c r="V60" s="111">
        <f>IFERROR(求节点(基础信息!$F$50:$F$65,基础信息!$G$50:$G$65,$S60),0)*SUMPRODUCT(INDEX($D$5:$H$34,IFERROR(MATCH(求节点(基础信息!$F$50:$F$65,基础信息!$H$50:$H$65,$S60),$C$5:$C$34,1),1),),INDEX(基础信息!$I$50:$M$65,IFERROR(MATCH($S60,基础信息!$F$50:$F$65,1),1),))+IFERROR(SUMPRODUCT(INDEX(门客进修!$AE$45:$AI$60,MATCH($S60,基础信息!$F$50:$F$65,1),),INDEX(基础信息!$N$50:$R$65,MATCH($S60,基础信息!$F$50:$F$65,1),),INDEX(基础信息!$I$50:$M$65,MATCH($S60,基础信息!$F$50:$F$65,1),))*求节点(基础信息!$F$50:$F$65,基础信息!$G$50:$G$65,$S60),0)</f>
        <v>44964.813184879713</v>
      </c>
      <c r="W60" s="111">
        <f>IFERROR(求节点(基础信息!$F$70:$F$85,基础信息!$G$70:$G$85,$S60),0)*SUMPRODUCT(INDEX($D$5:$H$34,IFERROR(MATCH(求节点(基础信息!$F$70:$F$85,基础信息!$H$70:$H$85,$S60),$C$5:$C$34,1),1),),INDEX(基础信息!$I$70:$M$85,IFERROR(MATCH($S60,基础信息!$F$70:$F$85,1),1),))+IFERROR(SUMPRODUCT(INDEX(门客进修!$AE$65:$AI$80,MATCH($S60,基础信息!$F$70:$F$85,1),),INDEX(基础信息!$N$70:$R$85,MATCH($S60,基础信息!$F$70:$F$85,1),),INDEX(基础信息!$I$70:$M$85,MATCH($S60,基础信息!$F$70:$F$85,1),))*求节点(基础信息!$F$70:$F$85,基础信息!$G$70:$G$85,$S60),0)</f>
        <v>81844.064782393485</v>
      </c>
      <c r="X60" s="111">
        <f>IFERROR(求节点(基础信息!$F$90:$F$105,基础信息!$G$90:$G$105,$S60),0)*SUMPRODUCT(INDEX($D$5:$H$34,IFERROR(MATCH(求节点(基础信息!$F$90:$F$105,基础信息!$H$90:$H$105,$S60),$C$5:$C$34,1),1),),INDEX(基础信息!$I$90:$M$105,IFERROR(MATCH($S60,基础信息!$F$90:$F$105,1),1),))+IFERROR(SUMPRODUCT(INDEX(门客进修!$AE$85:$AI$100,MATCH($S60,基础信息!$F$90:$F$105,1),),INDEX(基础信息!$N$90:$R$105,MATCH($S60,基础信息!$F$90:$F$105,1),),INDEX(基础信息!$I$90:$M$105,MATCH($S60,基础信息!$F$90:$F$105,1),))*求节点(基础信息!$F$90:$F$105,基础信息!$G$90:$G$105,$S60),0)</f>
        <v>93231.134262576597</v>
      </c>
    </row>
    <row r="61" spans="19:24" x14ac:dyDescent="0.15">
      <c r="S61" s="111">
        <v>57</v>
      </c>
      <c r="T61" s="111">
        <f>IFERROR(求节点(基础信息!$F$10:$F$25,基础信息!$G$10:$G$25,$S61),0)*SUMPRODUCT(INDEX($D$5:$H$34,IFERROR(MATCH(求节点(基础信息!$F$10:$F$25,基础信息!$H$10:$H$25,$S61),$C$5:$C$34,1),1),),INDEX(基础信息!$I$10:$M$25,IFERROR(MATCH($S61,基础信息!$F$10:$F$25,1),1),))+IFERROR(SUMPRODUCT(INDEX(门客进修!$AE$5:$AI$20,MATCH($S61,基础信息!$F$10:$F$25,1),),INDEX(基础信息!$N$10:$R$25,MATCH($S61,基础信息!$F$10:$F$25,1),),INDEX(基础信息!$I$10:$M$25,MATCH($S61,基础信息!$F$10:$F$25,1),))*求节点(基础信息!$F$10:$F$25,基础信息!$G$10:$G$25,$S61),0)</f>
        <v>20747.719156884192</v>
      </c>
      <c r="U61" s="111">
        <f>IFERROR(求节点(基础信息!$F$30:$F$45,基础信息!$G$30:$G$45,$S61),0)*SUMPRODUCT(INDEX($D$5:$H$34,IFERROR(MATCH(求节点(基础信息!$F$30:$F$45,基础信息!$H$30:$H$45,$S61),$C$5:$C$34,1),1),),INDEX(基础信息!$I$30:$M$45,IFERROR(MATCH($S61,基础信息!$F$30:$F$45,1),1),))+IFERROR(SUMPRODUCT(INDEX(门客进修!$AE$25:$AI$40,MATCH($S61,基础信息!$F$30:$F$45,1),),INDEX(基础信息!$N$30:$R$45,MATCH($S61,基础信息!$F$30:$F$45,1),),INDEX(基础信息!$I$30:$M$45,MATCH($S61,基础信息!$F$30:$F$45,1),))*求节点(基础信息!$F$30:$F$45,基础信息!$G$30:$G$45,$S61),0)</f>
        <v>31125.598450839709</v>
      </c>
      <c r="V61" s="111">
        <f>IFERROR(求节点(基础信息!$F$50:$F$65,基础信息!$G$50:$G$65,$S61),0)*SUMPRODUCT(INDEX($D$5:$H$34,IFERROR(MATCH(求节点(基础信息!$F$50:$F$65,基础信息!$H$50:$H$65,$S61),$C$5:$C$34,1),1),),INDEX(基础信息!$I$50:$M$65,IFERROR(MATCH($S61,基础信息!$F$50:$F$65,1),1),))+IFERROR(SUMPRODUCT(INDEX(门客进修!$AE$45:$AI$60,MATCH($S61,基础信息!$F$50:$F$65,1),),INDEX(基础信息!$N$50:$R$65,MATCH($S61,基础信息!$F$50:$F$65,1),),INDEX(基础信息!$I$50:$M$65,MATCH($S61,基础信息!$F$50:$F$65,1),))*求节点(基础信息!$F$50:$F$65,基础信息!$G$50:$G$65,$S61),0)</f>
        <v>45833.545219076594</v>
      </c>
      <c r="W61" s="111">
        <f>IFERROR(求节点(基础信息!$F$70:$F$85,基础信息!$G$70:$G$85,$S61),0)*SUMPRODUCT(INDEX($D$5:$H$34,IFERROR(MATCH(求节点(基础信息!$F$70:$F$85,基础信息!$H$70:$H$85,$S61),$C$5:$C$34,1),1),),INDEX(基础信息!$I$70:$M$85,IFERROR(MATCH($S61,基础信息!$F$70:$F$85,1),1),))+IFERROR(SUMPRODUCT(INDEX(门客进修!$AE$65:$AI$80,MATCH($S61,基础信息!$F$70:$F$85,1),),INDEX(基础信息!$N$70:$R$85,MATCH($S61,基础信息!$F$70:$F$85,1),),INDEX(基础信息!$I$70:$M$85,MATCH($S61,基础信息!$F$70:$F$85,1),))*求节点(基础信息!$F$70:$F$85,基础信息!$G$70:$G$85,$S61),0)</f>
        <v>83371.648230793609</v>
      </c>
      <c r="X61" s="111">
        <f>IFERROR(求节点(基础信息!$F$90:$F$105,基础信息!$G$90:$G$105,$S61),0)*SUMPRODUCT(INDEX($D$5:$H$34,IFERROR(MATCH(求节点(基础信息!$F$90:$F$105,基础信息!$H$90:$H$105,$S61),$C$5:$C$34,1),1),),INDEX(基础信息!$I$90:$M$105,IFERROR(MATCH($S61,基础信息!$F$90:$F$105,1),1),))+IFERROR(SUMPRODUCT(INDEX(门客进修!$AE$85:$AI$100,MATCH($S61,基础信息!$F$90:$F$105,1),),INDEX(基础信息!$N$90:$R$105,MATCH($S61,基础信息!$F$90:$F$105,1),),INDEX(基础信息!$I$90:$M$105,MATCH($S61,基础信息!$F$90:$F$105,1),))*求节点(基础信息!$F$90:$F$105,基础信息!$G$90:$G$105,$S61),0)</f>
        <v>95059.177287742263</v>
      </c>
    </row>
    <row r="62" spans="19:24" x14ac:dyDescent="0.15">
      <c r="S62" s="111">
        <v>58</v>
      </c>
      <c r="T62" s="111">
        <f>IFERROR(求节点(基础信息!$F$10:$F$25,基础信息!$G$10:$G$25,$S62),0)*SUMPRODUCT(INDEX($D$5:$H$34,IFERROR(MATCH(求节点(基础信息!$F$10:$F$25,基础信息!$H$10:$H$25,$S62),$C$5:$C$34,1),1),),INDEX(基础信息!$I$10:$M$25,IFERROR(MATCH($S62,基础信息!$F$10:$F$25,1),1),))+IFERROR(SUMPRODUCT(INDEX(门客进修!$AE$5:$AI$20,MATCH($S62,基础信息!$F$10:$F$25,1),),INDEX(基础信息!$N$10:$R$25,MATCH($S62,基础信息!$F$10:$F$25,1),),INDEX(基础信息!$I$10:$M$25,MATCH($S62,基础信息!$F$10:$F$25,1),))*求节点(基础信息!$F$10:$F$25,基础信息!$G$10:$G$25,$S62),0)</f>
        <v>21164.017046568235</v>
      </c>
      <c r="U62" s="111">
        <f>IFERROR(求节点(基础信息!$F$30:$F$45,基础信息!$G$30:$G$45,$S62),0)*SUMPRODUCT(INDEX($D$5:$H$34,IFERROR(MATCH(求节点(基础信息!$F$30:$F$45,基础信息!$H$30:$H$45,$S62),$C$5:$C$34,1),1),),INDEX(基础信息!$I$30:$M$45,IFERROR(MATCH($S62,基础信息!$F$30:$F$45,1),1),))+IFERROR(SUMPRODUCT(INDEX(门客进修!$AE$25:$AI$40,MATCH($S62,基础信息!$F$30:$F$45,1),),INDEX(基础信息!$N$30:$R$45,MATCH($S62,基础信息!$F$30:$F$45,1),),INDEX(基础信息!$I$30:$M$45,MATCH($S62,基础信息!$F$30:$F$45,1),))*求节点(基础信息!$F$30:$F$45,基础信息!$G$30:$G$45,$S62),0)</f>
        <v>32888.720213882843</v>
      </c>
      <c r="V62" s="111">
        <f>IFERROR(求节点(基础信息!$F$50:$F$65,基础信息!$G$50:$G$65,$S62),0)*SUMPRODUCT(INDEX($D$5:$H$34,IFERROR(MATCH(求节点(基础信息!$F$50:$F$65,基础信息!$H$50:$H$65,$S62),$C$5:$C$34,1),1),),INDEX(基础信息!$I$50:$M$65,IFERROR(MATCH($S62,基础信息!$F$50:$F$65,1),1),))+IFERROR(SUMPRODUCT(INDEX(门客进修!$AE$45:$AI$60,MATCH($S62,基础信息!$F$50:$F$65,1),),INDEX(基础信息!$N$50:$R$65,MATCH($S62,基础信息!$F$50:$F$65,1),),INDEX(基础信息!$I$50:$M$65,MATCH($S62,基础信息!$F$50:$F$65,1),))*求节点(基础信息!$F$50:$F$65,基础信息!$G$50:$G$65,$S62),0)</f>
        <v>46702.277253273482</v>
      </c>
      <c r="W62" s="111">
        <f>IFERROR(求节点(基础信息!$F$70:$F$85,基础信息!$G$70:$G$85,$S62),0)*SUMPRODUCT(INDEX($D$5:$H$34,IFERROR(MATCH(求节点(基础信息!$F$70:$F$85,基础信息!$H$70:$H$85,$S62),$C$5:$C$34,1),1),),INDEX(基础信息!$I$70:$M$85,IFERROR(MATCH($S62,基础信息!$F$70:$F$85,1),1),))+IFERROR(SUMPRODUCT(INDEX(门客进修!$AE$65:$AI$80,MATCH($S62,基础信息!$F$70:$F$85,1),),INDEX(基础信息!$N$70:$R$85,MATCH($S62,基础信息!$F$70:$F$85,1),),INDEX(基础信息!$I$70:$M$85,MATCH($S62,基础信息!$F$70:$F$85,1),))*求节点(基础信息!$F$70:$F$85,基础信息!$G$70:$G$85,$S62),0)</f>
        <v>94074.533564413432</v>
      </c>
      <c r="X62" s="111">
        <f>IFERROR(求节点(基础信息!$F$90:$F$105,基础信息!$G$90:$G$105,$S62),0)*SUMPRODUCT(INDEX($D$5:$H$34,IFERROR(MATCH(求节点(基础信息!$F$90:$F$105,基础信息!$H$90:$H$105,$S62),$C$5:$C$34,1),1),),INDEX(基础信息!$I$90:$M$105,IFERROR(MATCH($S62,基础信息!$F$90:$F$105,1),1),))+IFERROR(SUMPRODUCT(INDEX(门客进修!$AE$85:$AI$100,MATCH($S62,基础信息!$F$90:$F$105,1),),INDEX(基础信息!$N$90:$R$105,MATCH($S62,基础信息!$F$90:$F$105,1),),INDEX(基础信息!$I$90:$M$105,MATCH($S62,基础信息!$F$90:$F$105,1),))*求节点(基础信息!$F$90:$F$105,基础信息!$G$90:$G$105,$S62),0)</f>
        <v>96887.220312907928</v>
      </c>
    </row>
    <row r="63" spans="19:24" x14ac:dyDescent="0.15">
      <c r="S63" s="111">
        <v>59</v>
      </c>
      <c r="T63" s="111">
        <f>IFERROR(求节点(基础信息!$F$10:$F$25,基础信息!$G$10:$G$25,$S63),0)*SUMPRODUCT(INDEX($D$5:$H$34,IFERROR(MATCH(求节点(基础信息!$F$10:$F$25,基础信息!$H$10:$H$25,$S63),$C$5:$C$34,1),1),),INDEX(基础信息!$I$10:$M$25,IFERROR(MATCH($S63,基础信息!$F$10:$F$25,1),1),))+IFERROR(SUMPRODUCT(INDEX(门客进修!$AE$5:$AI$20,MATCH($S63,基础信息!$F$10:$F$25,1),),INDEX(基础信息!$N$10:$R$25,MATCH($S63,基础信息!$F$10:$F$25,1),),INDEX(基础信息!$I$10:$M$25,MATCH($S63,基础信息!$F$10:$F$25,1),))*求节点(基础信息!$F$10:$F$25,基础信息!$G$10:$G$25,$S63),0)</f>
        <v>22443.52753370237</v>
      </c>
      <c r="U63" s="111">
        <f>IFERROR(求节点(基础信息!$F$30:$F$45,基础信息!$G$30:$G$45,$S63),0)*SUMPRODUCT(INDEX($D$5:$H$34,IFERROR(MATCH(求节点(基础信息!$F$30:$F$45,基础信息!$H$30:$H$45,$S63),$C$5:$C$34,1),1),),INDEX(基础信息!$I$30:$M$45,IFERROR(MATCH($S63,基础信息!$F$30:$F$45,1),1),))+IFERROR(SUMPRODUCT(INDEX(门客进修!$AE$25:$AI$40,MATCH($S63,基础信息!$F$30:$F$45,1),),INDEX(基础信息!$N$30:$R$45,MATCH($S63,基础信息!$F$30:$F$45,1),),INDEX(基础信息!$I$30:$M$45,MATCH($S63,基础信息!$F$30:$F$45,1),))*求节点(基础信息!$F$30:$F$45,基础信息!$G$30:$G$45,$S63),0)</f>
        <v>33520.002033259079</v>
      </c>
      <c r="V63" s="111">
        <f>IFERROR(求节点(基础信息!$F$50:$F$65,基础信息!$G$50:$G$65,$S63),0)*SUMPRODUCT(INDEX($D$5:$H$34,IFERROR(MATCH(求节点(基础信息!$F$50:$F$65,基础信息!$H$50:$H$65,$S63),$C$5:$C$34,1),1),),INDEX(基础信息!$I$50:$M$65,IFERROR(MATCH($S63,基础信息!$F$50:$F$65,1),1),))+IFERROR(SUMPRODUCT(INDEX(门客进修!$AE$45:$AI$60,MATCH($S63,基础信息!$F$50:$F$65,1),),INDEX(基础信息!$N$50:$R$65,MATCH($S63,基础信息!$F$50:$F$65,1),),INDEX(基础信息!$I$50:$M$65,MATCH($S63,基础信息!$F$50:$F$65,1),))*求节点(基础信息!$F$50:$F$65,基础信息!$G$50:$G$65,$S63),0)</f>
        <v>59930.555908006681</v>
      </c>
      <c r="W63" s="111">
        <f>IFERROR(求节点(基础信息!$F$70:$F$85,基础信息!$G$70:$G$85,$S63),0)*SUMPRODUCT(INDEX($D$5:$H$34,IFERROR(MATCH(求节点(基础信息!$F$70:$F$85,基础信息!$H$70:$H$85,$S63),$C$5:$C$34,1),1),),INDEX(基础信息!$I$70:$M$85,IFERROR(MATCH($S63,基础信息!$F$70:$F$85,1),1),))+IFERROR(SUMPRODUCT(INDEX(门客进修!$AE$65:$AI$80,MATCH($S63,基础信息!$F$70:$F$85,1),),INDEX(基础信息!$N$70:$R$85,MATCH($S63,基础信息!$F$70:$F$85,1),),INDEX(基础信息!$I$70:$M$85,MATCH($S63,基础信息!$F$70:$F$85,1),))*求节点(基础信息!$F$70:$F$85,基础信息!$G$70:$G$85,$S63),0)</f>
        <v>95899.913748105522</v>
      </c>
      <c r="X63" s="111">
        <f>IFERROR(求节点(基础信息!$F$90:$F$105,基础信息!$G$90:$G$105,$S63),0)*SUMPRODUCT(INDEX($D$5:$H$34,IFERROR(MATCH(求节点(基础信息!$F$90:$F$105,基础信息!$H$90:$H$105,$S63),$C$5:$C$34,1),1),),INDEX(基础信息!$I$90:$M$105,IFERROR(MATCH($S63,基础信息!$F$90:$F$105,1),1),))+IFERROR(SUMPRODUCT(INDEX(门客进修!$AE$85:$AI$100,MATCH($S63,基础信息!$F$90:$F$105,1),),INDEX(基础信息!$N$90:$R$105,MATCH($S63,基础信息!$F$90:$F$105,1),),INDEX(基础信息!$I$90:$M$105,MATCH($S63,基础信息!$F$90:$F$105,1),))*求节点(基础信息!$F$90:$F$105,基础信息!$G$90:$G$105,$S63),0)</f>
        <v>101899.62667155983</v>
      </c>
    </row>
    <row r="64" spans="19:24" x14ac:dyDescent="0.15">
      <c r="S64" s="111">
        <v>60</v>
      </c>
      <c r="T64" s="111">
        <f>IFERROR(求节点(基础信息!$F$10:$F$25,基础信息!$G$10:$G$25,$S64),0)*SUMPRODUCT(INDEX($D$5:$H$34,IFERROR(MATCH(求节点(基础信息!$F$10:$F$25,基础信息!$H$10:$H$25,$S64),$C$5:$C$34,1),1),),INDEX(基础信息!$I$10:$M$25,IFERROR(MATCH($S64,基础信息!$F$10:$F$25,1),1),))+IFERROR(SUMPRODUCT(INDEX(门客进修!$AE$5:$AI$20,MATCH($S64,基础信息!$F$10:$F$25,1),),INDEX(基础信息!$N$10:$R$25,MATCH($S64,基础信息!$F$10:$F$25,1),),INDEX(基础信息!$I$10:$M$25,MATCH($S64,基础信息!$F$10:$F$25,1),))*求节点(基础信息!$F$10:$F$25,基础信息!$G$10:$G$25,$S64),0)</f>
        <v>22876.477338973771</v>
      </c>
      <c r="U64" s="111">
        <f>IFERROR(求节点(基础信息!$F$30:$F$45,基础信息!$G$30:$G$45,$S64),0)*SUMPRODUCT(INDEX($D$5:$H$34,IFERROR(MATCH(求节点(基础信息!$F$30:$F$45,基础信息!$H$30:$H$45,$S64),$C$5:$C$34,1),1),),INDEX(基础信息!$I$30:$M$45,IFERROR(MATCH($S64,基础信息!$F$30:$F$45,1),1),))+IFERROR(SUMPRODUCT(INDEX(门客进修!$AE$25:$AI$40,MATCH($S64,基础信息!$F$30:$F$45,1),),INDEX(基础信息!$N$30:$R$45,MATCH($S64,基础信息!$F$30:$F$45,1),),INDEX(基础信息!$I$30:$M$45,MATCH($S64,基础信息!$F$30:$F$45,1),))*求节点(基础信息!$F$30:$F$45,基础信息!$G$30:$G$45,$S64),0)</f>
        <v>34151.283852635315</v>
      </c>
      <c r="V64" s="111">
        <f>IFERROR(求节点(基础信息!$F$50:$F$65,基础信息!$G$50:$G$65,$S64),0)*SUMPRODUCT(INDEX($D$5:$H$34,IFERROR(MATCH(求节点(基础信息!$F$50:$F$65,基础信息!$H$50:$H$65,$S64),$C$5:$C$34,1),1),),INDEX(基础信息!$I$50:$M$65,IFERROR(MATCH($S64,基础信息!$F$50:$F$65,1),1),))+IFERROR(SUMPRODUCT(INDEX(门客进修!$AE$45:$AI$60,MATCH($S64,基础信息!$F$50:$F$65,1),),INDEX(基础信息!$N$50:$R$65,MATCH($S64,基础信息!$F$50:$F$65,1),),INDEX(基础信息!$I$50:$M$65,MATCH($S64,基础信息!$F$50:$F$65,1),))*求节点(基础信息!$F$50:$F$65,基础信息!$G$50:$G$65,$S64),0)</f>
        <v>61101.78646467143</v>
      </c>
      <c r="W64" s="111">
        <f>IFERROR(求节点(基础信息!$F$70:$F$85,基础信息!$G$70:$G$85,$S64),0)*SUMPRODUCT(INDEX($D$5:$H$34,IFERROR(MATCH(求节点(基础信息!$F$70:$F$85,基础信息!$H$70:$H$85,$S64),$C$5:$C$34,1),1),),INDEX(基础信息!$I$70:$M$85,IFERROR(MATCH($S64,基础信息!$F$70:$F$85,1),1),))+IFERROR(SUMPRODUCT(INDEX(门客进修!$AE$65:$AI$80,MATCH($S64,基础信息!$F$70:$F$85,1),),INDEX(基础信息!$N$70:$R$85,MATCH($S64,基础信息!$F$70:$F$85,1),),INDEX(基础信息!$I$70:$M$85,MATCH($S64,基础信息!$F$70:$F$85,1),))*求节点(基础信息!$F$70:$F$85,基础信息!$G$70:$G$85,$S64),0)</f>
        <v>97725.293931797598</v>
      </c>
      <c r="X64" s="111">
        <f>IFERROR(求节点(基础信息!$F$90:$F$105,基础信息!$G$90:$G$105,$S64),0)*SUMPRODUCT(INDEX($D$5:$H$34,IFERROR(MATCH(求节点(基础信息!$F$90:$F$105,基础信息!$H$90:$H$105,$S64),$C$5:$C$34,1),1),),INDEX(基础信息!$I$90:$M$105,IFERROR(MATCH($S64,基础信息!$F$90:$F$105,1),1),))+IFERROR(SUMPRODUCT(INDEX(门客进修!$AE$85:$AI$100,MATCH($S64,基础信息!$F$90:$F$105,1),),INDEX(基础信息!$N$90:$R$105,MATCH($S64,基础信息!$F$90:$F$105,1),),INDEX(基础信息!$I$90:$M$105,MATCH($S64,基础信息!$F$90:$F$105,1),))*求节点(基础信息!$F$90:$F$105,基础信息!$G$90:$G$105,$S64),0)</f>
        <v>103786.63882656953</v>
      </c>
    </row>
    <row r="65" spans="19:24" x14ac:dyDescent="0.15">
      <c r="S65" s="111">
        <v>61</v>
      </c>
      <c r="T65" s="111">
        <f>IFERROR(求节点(基础信息!$F$10:$F$25,基础信息!$G$10:$G$25,$S65),0)*SUMPRODUCT(INDEX($D$5:$H$34,IFERROR(MATCH(求节点(基础信息!$F$10:$F$25,基础信息!$H$10:$H$25,$S65),$C$5:$C$34,1),1),),INDEX(基础信息!$I$10:$M$25,IFERROR(MATCH($S65,基础信息!$F$10:$F$25,1),1),))+IFERROR(SUMPRODUCT(INDEX(门客进修!$AE$5:$AI$20,MATCH($S65,基础信息!$F$10:$F$25,1),),INDEX(基础信息!$N$10:$R$25,MATCH($S65,基础信息!$F$10:$F$25,1),),INDEX(基础信息!$I$10:$M$25,MATCH($S65,基础信息!$F$10:$F$25,1),))*求节点(基础信息!$F$10:$F$25,基础信息!$G$10:$G$25,$S65),0)</f>
        <v>23309.427144245179</v>
      </c>
      <c r="U65" s="111">
        <f>IFERROR(求节点(基础信息!$F$30:$F$45,基础信息!$G$30:$G$45,$S65),0)*SUMPRODUCT(INDEX($D$5:$H$34,IFERROR(MATCH(求节点(基础信息!$F$30:$F$45,基础信息!$H$30:$H$45,$S65),$C$5:$C$34,1),1),),INDEX(基础信息!$I$30:$M$45,IFERROR(MATCH($S65,基础信息!$F$30:$F$45,1),1),))+IFERROR(SUMPRODUCT(INDEX(门客进修!$AE$25:$AI$40,MATCH($S65,基础信息!$F$30:$F$45,1),),INDEX(基础信息!$N$30:$R$45,MATCH($S65,基础信息!$F$30:$F$45,1),),INDEX(基础信息!$I$30:$M$45,MATCH($S65,基础信息!$F$30:$F$45,1),))*求节点(基础信息!$F$30:$F$45,基础信息!$G$30:$G$45,$S65),0)</f>
        <v>49937.38774573175</v>
      </c>
      <c r="V65" s="111">
        <f>IFERROR(求节点(基础信息!$F$50:$F$65,基础信息!$G$50:$G$65,$S65),0)*SUMPRODUCT(INDEX($D$5:$H$34,IFERROR(MATCH(求节点(基础信息!$F$50:$F$65,基础信息!$H$50:$H$65,$S65),$C$5:$C$34,1),1),),INDEX(基础信息!$I$50:$M$65,IFERROR(MATCH($S65,基础信息!$F$50:$F$65,1),1),))+IFERROR(SUMPRODUCT(INDEX(门客进修!$AE$45:$AI$60,MATCH($S65,基础信息!$F$50:$F$65,1),),INDEX(基础信息!$N$50:$R$65,MATCH($S65,基础信息!$F$50:$F$65,1),),INDEX(基础信息!$I$50:$M$65,MATCH($S65,基础信息!$F$50:$F$65,1),))*求节点(基础信息!$F$50:$F$65,基础信息!$G$50:$G$65,$S65),0)</f>
        <v>62273.017021336178</v>
      </c>
      <c r="W65" s="111">
        <f>IFERROR(求节点(基础信息!$F$70:$F$85,基础信息!$G$70:$G$85,$S65),0)*SUMPRODUCT(INDEX($D$5:$H$34,IFERROR(MATCH(求节点(基础信息!$F$70:$F$85,基础信息!$H$70:$H$85,$S65),$C$5:$C$34,1),1),),INDEX(基础信息!$I$70:$M$85,IFERROR(MATCH($S65,基础信息!$F$70:$F$85,1),1),))+IFERROR(SUMPRODUCT(INDEX(门客进修!$AE$65:$AI$80,MATCH($S65,基础信息!$F$70:$F$85,1),),INDEX(基础信息!$N$70:$R$85,MATCH($S65,基础信息!$F$70:$F$85,1),),INDEX(基础信息!$I$70:$M$85,MATCH($S65,基础信息!$F$70:$F$85,1),))*求节点(基础信息!$F$70:$F$85,基础信息!$G$70:$G$85,$S65),0)</f>
        <v>102761.98618373126</v>
      </c>
      <c r="X65" s="111">
        <f>IFERROR(求节点(基础信息!$F$90:$F$105,基础信息!$G$90:$G$105,$S65),0)*SUMPRODUCT(INDEX($D$5:$H$34,IFERROR(MATCH(求节点(基础信息!$F$90:$F$105,基础信息!$H$90:$H$105,$S65),$C$5:$C$34,1),1),),INDEX(基础信息!$I$90:$M$105,IFERROR(MATCH($S65,基础信息!$F$90:$F$105,1),1),))+IFERROR(SUMPRODUCT(INDEX(门客进修!$AE$85:$AI$100,MATCH($S65,基础信息!$F$90:$F$105,1),),INDEX(基础信息!$N$90:$R$105,MATCH($S65,基础信息!$F$90:$F$105,1),),INDEX(基础信息!$I$90:$M$105,MATCH($S65,基础信息!$F$90:$F$105,1),))*求节点(基础信息!$F$90:$F$105,基础信息!$G$90:$G$105,$S65),0)</f>
        <v>105673.65098157924</v>
      </c>
    </row>
    <row r="66" spans="19:24" x14ac:dyDescent="0.15">
      <c r="S66" s="111">
        <v>62</v>
      </c>
      <c r="T66" s="111">
        <f>IFERROR(求节点(基础信息!$F$10:$F$25,基础信息!$G$10:$G$25,$S66),0)*SUMPRODUCT(INDEX($D$5:$H$34,IFERROR(MATCH(求节点(基础信息!$F$10:$F$25,基础信息!$H$10:$H$25,$S66),$C$5:$C$34,1),1),),INDEX(基础信息!$I$10:$M$25,IFERROR(MATCH($S66,基础信息!$F$10:$F$25,1),1),))+IFERROR(SUMPRODUCT(INDEX(门客进修!$AE$5:$AI$20,MATCH($S66,基础信息!$F$10:$F$25,1),),INDEX(基础信息!$N$10:$R$25,MATCH($S66,基础信息!$F$10:$F$25,1),),INDEX(基础信息!$I$10:$M$25,MATCH($S66,基础信息!$F$10:$F$25,1),))*求节点(基础信息!$F$10:$F$25,基础信息!$G$10:$G$25,$S66),0)</f>
        <v>32901.605952713224</v>
      </c>
      <c r="U66" s="111">
        <f>IFERROR(求节点(基础信息!$F$30:$F$45,基础信息!$G$30:$G$45,$S66),0)*SUMPRODUCT(INDEX($D$5:$H$34,IFERROR(MATCH(求节点(基础信息!$F$30:$F$45,基础信息!$H$30:$H$45,$S66),$C$5:$C$34,1),1),),INDEX(基础信息!$I$30:$M$45,IFERROR(MATCH($S66,基础信息!$F$30:$F$45,1),1),))+IFERROR(SUMPRODUCT(INDEX(门客进修!$AE$25:$AI$40,MATCH($S66,基础信息!$F$30:$F$45,1),),INDEX(基础信息!$N$30:$R$45,MATCH($S66,基础信息!$F$30:$F$45,1),),INDEX(基础信息!$I$30:$M$45,MATCH($S66,基础信息!$F$30:$F$45,1),))*求节点(基础信息!$F$30:$F$45,基础信息!$G$30:$G$45,$S66),0)</f>
        <v>50898.98191018607</v>
      </c>
      <c r="V66" s="111">
        <f>IFERROR(求节点(基础信息!$F$50:$F$65,基础信息!$G$50:$G$65,$S66),0)*SUMPRODUCT(INDEX($D$5:$H$34,IFERROR(MATCH(求节点(基础信息!$F$50:$F$65,基础信息!$H$50:$H$65,$S66),$C$5:$C$34,1),1),),INDEX(基础信息!$I$50:$M$65,IFERROR(MATCH($S66,基础信息!$F$50:$F$65,1),1),))+IFERROR(SUMPRODUCT(INDEX(门客进修!$AE$45:$AI$60,MATCH($S66,基础信息!$F$50:$F$65,1),),INDEX(基础信息!$N$50:$R$65,MATCH($S66,基础信息!$F$50:$F$65,1),),INDEX(基础信息!$I$50:$M$65,MATCH($S66,基础信息!$F$50:$F$65,1),))*求节点(基础信息!$F$50:$F$65,基础信息!$G$50:$G$65,$S66),0)</f>
        <v>65675.954779237145</v>
      </c>
      <c r="W66" s="111">
        <f>IFERROR(求节点(基础信息!$F$70:$F$85,基础信息!$G$70:$G$85,$S66),0)*SUMPRODUCT(INDEX($D$5:$H$34,IFERROR(MATCH(求节点(基础信息!$F$70:$F$85,基础信息!$H$70:$H$85,$S66),$C$5:$C$34,1),1),),INDEX(基础信息!$I$70:$M$85,IFERROR(MATCH($S66,基础信息!$F$70:$F$85,1),1),))+IFERROR(SUMPRODUCT(INDEX(门客进修!$AE$65:$AI$80,MATCH($S66,基础信息!$F$70:$F$85,1),),INDEX(基础信息!$N$70:$R$85,MATCH($S66,基础信息!$F$70:$F$85,1),),INDEX(基础信息!$I$70:$M$85,MATCH($S66,基础信息!$F$70:$F$85,1),))*求节点(基础信息!$F$70:$F$85,基础信息!$G$70:$G$85,$S66),0)</f>
        <v>104646.24959915534</v>
      </c>
      <c r="X66" s="111">
        <f>IFERROR(求节点(基础信息!$F$90:$F$105,基础信息!$G$90:$G$105,$S66),0)*SUMPRODUCT(INDEX($D$5:$H$34,IFERROR(MATCH(求节点(基础信息!$F$90:$F$105,基础信息!$H$90:$H$105,$S66),$C$5:$C$34,1),1),),INDEX(基础信息!$I$90:$M$105,IFERROR(MATCH($S66,基础信息!$F$90:$F$105,1),1),))+IFERROR(SUMPRODUCT(INDEX(门客进修!$AE$85:$AI$100,MATCH($S66,基础信息!$F$90:$F$105,1),),INDEX(基础信息!$N$90:$R$105,MATCH($S66,基础信息!$F$90:$F$105,1),),INDEX(基础信息!$I$90:$M$105,MATCH($S66,基础信息!$F$90:$F$105,1),))*求节点(基础信息!$F$90:$F$105,基础信息!$G$90:$G$105,$S66),0)</f>
        <v>110921.93385960736</v>
      </c>
    </row>
    <row r="67" spans="19:24" x14ac:dyDescent="0.15">
      <c r="S67" s="111">
        <v>63</v>
      </c>
      <c r="T67" s="111">
        <f>IFERROR(求节点(基础信息!$F$10:$F$25,基础信息!$G$10:$G$25,$S67),0)*SUMPRODUCT(INDEX($D$5:$H$34,IFERROR(MATCH(求节点(基础信息!$F$10:$F$25,基础信息!$H$10:$H$25,$S67),$C$5:$C$34,1),1),),INDEX(基础信息!$I$10:$M$25,IFERROR(MATCH($S67,基础信息!$F$10:$F$25,1),1),))+IFERROR(SUMPRODUCT(INDEX(门客进修!$AE$5:$AI$20,MATCH($S67,基础信息!$F$10:$F$25,1),),INDEX(基础信息!$N$10:$R$25,MATCH($S67,基础信息!$F$10:$F$25,1),),INDEX(基础信息!$I$10:$M$25,MATCH($S67,基础信息!$F$10:$F$25,1),))*求节点(基础信息!$F$10:$F$25,基础信息!$G$10:$G$25,$S67),0)</f>
        <v>33535.907414469933</v>
      </c>
      <c r="U67" s="111">
        <f>IFERROR(求节点(基础信息!$F$30:$F$45,基础信息!$G$30:$G$45,$S67),0)*SUMPRODUCT(INDEX($D$5:$H$34,IFERROR(MATCH(求节点(基础信息!$F$30:$F$45,基础信息!$H$30:$H$45,$S67),$C$5:$C$34,1),1),),INDEX(基础信息!$I$30:$M$45,IFERROR(MATCH($S67,基础信息!$F$30:$F$45,1),1),))+IFERROR(SUMPRODUCT(INDEX(门客进修!$AE$25:$AI$40,MATCH($S67,基础信息!$F$30:$F$45,1),),INDEX(基础信息!$N$30:$R$45,MATCH($S67,基础信息!$F$30:$F$45,1),),INDEX(基础信息!$I$30:$M$45,MATCH($S67,基础信息!$F$30:$F$45,1),))*求节点(基础信息!$F$30:$F$45,基础信息!$G$30:$G$45,$S67),0)</f>
        <v>53605.121447181817</v>
      </c>
      <c r="V67" s="111">
        <f>IFERROR(求节点(基础信息!$F$50:$F$65,基础信息!$G$50:$G$65,$S67),0)*SUMPRODUCT(INDEX($D$5:$H$34,IFERROR(MATCH(求节点(基础信息!$F$50:$F$65,基础信息!$H$50:$H$65,$S67),$C$5:$C$34,1),1),),INDEX(基础信息!$I$50:$M$65,IFERROR(MATCH($S67,基础信息!$F$50:$F$65,1),1),))+IFERROR(SUMPRODUCT(INDEX(门客进修!$AE$45:$AI$60,MATCH($S67,基础信息!$F$50:$F$65,1),),INDEX(基础信息!$N$50:$R$65,MATCH($S67,基础信息!$F$50:$F$65,1),),INDEX(基础信息!$I$50:$M$65,MATCH($S67,基础信息!$F$50:$F$65,1),))*求节点(基础信息!$F$50:$F$65,基础信息!$G$50:$G$65,$S67),0)</f>
        <v>66888.384400709183</v>
      </c>
      <c r="W67" s="111">
        <f>IFERROR(求节点(基础信息!$F$70:$F$85,基础信息!$G$70:$G$85,$S67),0)*SUMPRODUCT(INDEX($D$5:$H$34,IFERROR(MATCH(求节点(基础信息!$F$70:$F$85,基础信息!$H$70:$H$85,$S67),$C$5:$C$34,1),1),),INDEX(基础信息!$I$70:$M$85,IFERROR(MATCH($S67,基础信息!$F$70:$F$85,1),1),))+IFERROR(SUMPRODUCT(INDEX(门客进修!$AE$65:$AI$80,MATCH($S67,基础信息!$F$70:$F$85,1),),INDEX(基础信息!$N$70:$R$85,MATCH($S67,基础信息!$F$70:$F$85,1),),INDEX(基础信息!$I$70:$M$85,MATCH($S67,基础信息!$F$70:$F$85,1),))*求节点(基础信息!$F$70:$F$85,基础信息!$G$70:$G$85,$S67),0)</f>
        <v>106530.51301457941</v>
      </c>
      <c r="X67" s="111">
        <f>IFERROR(求节点(基础信息!$F$90:$F$105,基础信息!$G$90:$G$105,$S67),0)*SUMPRODUCT(INDEX($D$5:$H$34,IFERROR(MATCH(求节点(基础信息!$F$90:$F$105,基础信息!$H$90:$H$105,$S67),$C$5:$C$34,1),1),),INDEX(基础信息!$I$90:$M$105,IFERROR(MATCH($S67,基础信息!$F$90:$F$105,1),1),))+IFERROR(SUMPRODUCT(INDEX(门客进修!$AE$85:$AI$100,MATCH($S67,基础信息!$F$90:$F$105,1),),INDEX(基础信息!$N$90:$R$105,MATCH($S67,基础信息!$F$90:$F$105,1),),INDEX(基础信息!$I$90:$M$105,MATCH($S67,基础信息!$F$90:$F$105,1),))*求节点(基础信息!$F$90:$F$105,基础信息!$G$90:$G$105,$S67),0)</f>
        <v>112867.91514446113</v>
      </c>
    </row>
    <row r="68" spans="19:24" x14ac:dyDescent="0.15">
      <c r="S68" s="111">
        <v>64</v>
      </c>
      <c r="T68" s="111">
        <f>IFERROR(求节点(基础信息!$F$10:$F$25,基础信息!$G$10:$G$25,$S68),0)*SUMPRODUCT(INDEX($D$5:$H$34,IFERROR(MATCH(求节点(基础信息!$F$10:$F$25,基础信息!$H$10:$H$25,$S68),$C$5:$C$34,1),1),),INDEX(基础信息!$I$10:$M$25,IFERROR(MATCH($S68,基础信息!$F$10:$F$25,1),1),))+IFERROR(SUMPRODUCT(INDEX(门客进修!$AE$5:$AI$20,MATCH($S68,基础信息!$F$10:$F$25,1),),INDEX(基础信息!$N$10:$R$25,MATCH($S68,基础信息!$F$10:$F$25,1),),INDEX(基础信息!$I$10:$M$25,MATCH($S68,基础信息!$F$10:$F$25,1),))*求节点(基础信息!$F$10:$F$25,基础信息!$G$10:$G$25,$S68),0)</f>
        <v>34170.208876226636</v>
      </c>
      <c r="U68" s="111">
        <f>IFERROR(求节点(基础信息!$F$30:$F$45,基础信息!$G$30:$G$45,$S68),0)*SUMPRODUCT(INDEX($D$5:$H$34,IFERROR(MATCH(求节点(基础信息!$F$30:$F$45,基础信息!$H$30:$H$45,$S68),$C$5:$C$34,1),1),),INDEX(基础信息!$I$30:$M$45,IFERROR(MATCH($S68,基础信息!$F$30:$F$45,1),1),))+IFERROR(SUMPRODUCT(INDEX(门客进修!$AE$25:$AI$40,MATCH($S68,基础信息!$F$30:$F$45,1),),INDEX(基础信息!$N$30:$R$45,MATCH($S68,基础信息!$F$30:$F$45,1),),INDEX(基础信息!$I$30:$M$45,MATCH($S68,基础信息!$F$30:$F$45,1),))*求节点(基础信息!$F$30:$F$45,基础信息!$G$30:$G$45,$S68),0)</f>
        <v>54599.062815944999</v>
      </c>
      <c r="V68" s="111">
        <f>IFERROR(求节点(基础信息!$F$50:$F$65,基础信息!$G$50:$G$65,$S68),0)*SUMPRODUCT(INDEX($D$5:$H$34,IFERROR(MATCH(求节点(基础信息!$F$50:$F$65,基础信息!$H$50:$H$65,$S68),$C$5:$C$34,1),1),),INDEX(基础信息!$I$50:$M$65,IFERROR(MATCH($S68,基础信息!$F$50:$F$65,1),1),))+IFERROR(SUMPRODUCT(INDEX(门客进修!$AE$45:$AI$60,MATCH($S68,基础信息!$F$50:$F$65,1),),INDEX(基础信息!$N$50:$R$65,MATCH($S68,基础信息!$F$50:$F$65,1),),INDEX(基础信息!$I$50:$M$65,MATCH($S68,基础信息!$F$50:$F$65,1),))*求节点(基础信息!$F$50:$F$65,基础信息!$G$50:$G$65,$S68),0)</f>
        <v>68100.814022181235</v>
      </c>
      <c r="W68" s="111">
        <f>IFERROR(求节点(基础信息!$F$70:$F$85,基础信息!$G$70:$G$85,$S68),0)*SUMPRODUCT(INDEX($D$5:$H$34,IFERROR(MATCH(求节点(基础信息!$F$70:$F$85,基础信息!$H$70:$H$85,$S68),$C$5:$C$34,1),1),),INDEX(基础信息!$I$70:$M$85,IFERROR(MATCH($S68,基础信息!$F$70:$F$85,1),1),))+IFERROR(SUMPRODUCT(INDEX(门客进修!$AE$65:$AI$80,MATCH($S68,基础信息!$F$70:$F$85,1),),INDEX(基础信息!$N$70:$R$85,MATCH($S68,基础信息!$F$70:$F$85,1),),INDEX(基础信息!$I$70:$M$85,MATCH($S68,基础信息!$F$70:$F$85,1),))*求节点(基础信息!$F$70:$F$85,基础信息!$G$70:$G$85,$S68),0)</f>
        <v>111802.7381934411</v>
      </c>
      <c r="X68" s="111">
        <f>IFERROR(求节点(基础信息!$F$90:$F$105,基础信息!$G$90:$G$105,$S68),0)*SUMPRODUCT(INDEX($D$5:$H$34,IFERROR(MATCH(求节点(基础信息!$F$90:$F$105,基础信息!$H$90:$H$105,$S68),$C$5:$C$34,1),1),),INDEX(基础信息!$I$90:$M$105,IFERROR(MATCH($S68,基础信息!$F$90:$F$105,1),1),))+IFERROR(SUMPRODUCT(INDEX(门客进修!$AE$85:$AI$100,MATCH($S68,基础信息!$F$90:$F$105,1),),INDEX(基础信息!$N$90:$R$105,MATCH($S68,基础信息!$F$90:$F$105,1),),INDEX(基础信息!$I$90:$M$105,MATCH($S68,基础信息!$F$90:$F$105,1),))*求节点(基础信息!$F$90:$F$105,基础信息!$G$90:$G$105,$S68),0)</f>
        <v>114813.89642931487</v>
      </c>
    </row>
    <row r="69" spans="19:24" x14ac:dyDescent="0.15">
      <c r="S69" s="111">
        <v>65</v>
      </c>
      <c r="T69" s="111">
        <f>IFERROR(求节点(基础信息!$F$10:$F$25,基础信息!$G$10:$G$25,$S69),0)*SUMPRODUCT(INDEX($D$5:$H$34,IFERROR(MATCH(求节点(基础信息!$F$10:$F$25,基础信息!$H$10:$H$25,$S69),$C$5:$C$34,1),1),),INDEX(基础信息!$I$10:$M$25,IFERROR(MATCH($S69,基础信息!$F$10:$F$25,1),1),))+IFERROR(SUMPRODUCT(INDEX(门客进修!$AE$5:$AI$20,MATCH($S69,基础信息!$F$10:$F$25,1),),INDEX(基础信息!$N$10:$R$25,MATCH($S69,基础信息!$F$10:$F$25,1),),INDEX(基础信息!$I$10:$M$25,MATCH($S69,基础信息!$F$10:$F$25,1),))*求节点(基础信息!$F$10:$F$25,基础信息!$G$10:$G$25,$S69),0)</f>
        <v>36093.566276427169</v>
      </c>
      <c r="U69" s="111">
        <f>IFERROR(求节点(基础信息!$F$30:$F$45,基础信息!$G$30:$G$45,$S69),0)*SUMPRODUCT(INDEX($D$5:$H$34,IFERROR(MATCH(求节点(基础信息!$F$30:$F$45,基础信息!$H$30:$H$45,$S69),$C$5:$C$34,1),1),),INDEX(基础信息!$I$30:$M$45,IFERROR(MATCH($S69,基础信息!$F$30:$F$45,1),1),))+IFERROR(SUMPRODUCT(INDEX(门客进修!$AE$25:$AI$40,MATCH($S69,基础信息!$F$30:$F$45,1),),INDEX(基础信息!$N$30:$R$45,MATCH($S69,基础信息!$F$30:$F$45,1),),INDEX(基础信息!$I$30:$M$45,MATCH($S69,基础信息!$F$30:$F$45,1),))*求节点(基础信息!$F$30:$F$45,基础信息!$G$30:$G$45,$S69),0)</f>
        <v>55593.004184708188</v>
      </c>
      <c r="V69" s="111">
        <f>IFERROR(求节点(基础信息!$F$50:$F$65,基础信息!$G$50:$G$65,$S69),0)*SUMPRODUCT(INDEX($D$5:$H$34,IFERROR(MATCH(求节点(基础信息!$F$50:$F$65,基础信息!$H$50:$H$65,$S69),$C$5:$C$34,1),1),),INDEX(基础信息!$I$50:$M$65,IFERROR(MATCH($S69,基础信息!$F$50:$F$65,1),1),))+IFERROR(SUMPRODUCT(INDEX(门客进修!$AE$45:$AI$60,MATCH($S69,基础信息!$F$50:$F$65,1),),INDEX(基础信息!$N$50:$R$65,MATCH($S69,基础信息!$F$50:$F$65,1),),INDEX(基础信息!$I$50:$M$65,MATCH($S69,基础信息!$F$50:$F$65,1),))*求节点(基础信息!$F$50:$F$65,基础信息!$G$50:$G$65,$S69),0)</f>
        <v>71668.548039311398</v>
      </c>
      <c r="W69" s="111">
        <f>IFERROR(求节点(基础信息!$F$70:$F$85,基础信息!$G$70:$G$85,$S69),0)*SUMPRODUCT(INDEX($D$5:$H$34,IFERROR(MATCH(求节点(基础信息!$F$70:$F$85,基础信息!$H$70:$H$85,$S69),$C$5:$C$34,1),1),),INDEX(基础信息!$I$70:$M$85,IFERROR(MATCH($S69,基础信息!$F$70:$F$85,1),1),))+IFERROR(SUMPRODUCT(INDEX(门客进修!$AE$65:$AI$80,MATCH($S69,基础信息!$F$70:$F$85,1),),INDEX(基础信息!$N$70:$R$85,MATCH($S69,基础信息!$F$70:$F$85,1),),INDEX(基础信息!$I$70:$M$85,MATCH($S69,基础信息!$F$70:$F$85,1),))*求节点(基础信息!$F$70:$F$85,基础信息!$G$70:$G$85,$S69),0)</f>
        <v>113745.88484059717</v>
      </c>
      <c r="X69" s="111">
        <f>IFERROR(求节点(基础信息!$F$90:$F$105,基础信息!$G$90:$G$105,$S69),0)*SUMPRODUCT(INDEX($D$5:$H$34,IFERROR(MATCH(求节点(基础信息!$F$90:$F$105,基础信息!$H$90:$H$105,$S69),$C$5:$C$34,1),1),),INDEX(基础信息!$I$90:$M$105,IFERROR(MATCH($S69,基础信息!$F$90:$F$105,1),1),))+IFERROR(SUMPRODUCT(INDEX(门客进修!$AE$85:$AI$100,MATCH($S69,基础信息!$F$90:$F$105,1),),INDEX(基础信息!$N$90:$R$105,MATCH($S69,基础信息!$F$90:$F$105,1),),INDEX(基础信息!$I$90:$M$105,MATCH($S69,基础信息!$F$90:$F$105,1),))*求节点(基础信息!$F$90:$F$105,基础信息!$G$90:$G$105,$S69),0)</f>
        <v>127335.49769314348</v>
      </c>
    </row>
    <row r="70" spans="19:24" x14ac:dyDescent="0.15">
      <c r="S70" s="111">
        <v>66</v>
      </c>
      <c r="T70" s="111">
        <f>IFERROR(求节点(基础信息!$F$10:$F$25,基础信息!$G$10:$G$25,$S70),0)*SUMPRODUCT(INDEX($D$5:$H$34,IFERROR(MATCH(求节点(基础信息!$F$10:$F$25,基础信息!$H$10:$H$25,$S70),$C$5:$C$34,1),1),),INDEX(基础信息!$I$10:$M$25,IFERROR(MATCH($S70,基础信息!$F$10:$F$25,1),1),))+IFERROR(SUMPRODUCT(INDEX(门客进修!$AE$5:$AI$20,MATCH($S70,基础信息!$F$10:$F$25,1),),INDEX(基础信息!$N$10:$R$25,MATCH($S70,基础信息!$F$10:$F$25,1),),INDEX(基础信息!$I$10:$M$25,MATCH($S70,基础信息!$F$10:$F$25,1),))*求节点(基础信息!$F$10:$F$25,基础信息!$G$10:$G$25,$S70),0)</f>
        <v>36751.360384915606</v>
      </c>
      <c r="U70" s="111">
        <f>IFERROR(求节点(基础信息!$F$30:$F$45,基础信息!$G$30:$G$45,$S70),0)*SUMPRODUCT(INDEX($D$5:$H$34,IFERROR(MATCH(求节点(基础信息!$F$30:$F$45,基础信息!$H$30:$H$45,$S70),$C$5:$C$34,1),1),),INDEX(基础信息!$I$30:$M$45,IFERROR(MATCH($S70,基础信息!$F$30:$F$45,1),1),))+IFERROR(SUMPRODUCT(INDEX(门客进修!$AE$25:$AI$40,MATCH($S70,基础信息!$F$30:$F$45,1),),INDEX(基础信息!$N$30:$R$45,MATCH($S70,基础信息!$F$30:$F$45,1),),INDEX(基础信息!$I$30:$M$45,MATCH($S70,基础信息!$F$30:$F$45,1),))*求节点(基础信息!$F$30:$F$45,基础信息!$G$30:$G$45,$S70),0)</f>
        <v>58428.532538939384</v>
      </c>
      <c r="V70" s="111">
        <f>IFERROR(求节点(基础信息!$F$50:$F$65,基础信息!$G$50:$G$65,$S70),0)*SUMPRODUCT(INDEX($D$5:$H$34,IFERROR(MATCH(求节点(基础信息!$F$50:$F$65,基础信息!$H$50:$H$65,$S70),$C$5:$C$34,1),1),),INDEX(基础信息!$I$50:$M$65,IFERROR(MATCH($S70,基础信息!$F$50:$F$65,1),1),))+IFERROR(SUMPRODUCT(INDEX(门客进修!$AE$45:$AI$60,MATCH($S70,基础信息!$F$50:$F$65,1),),INDEX(基础信息!$N$50:$R$65,MATCH($S70,基础信息!$F$50:$F$65,1),),INDEX(基础信息!$I$50:$M$65,MATCH($S70,基础信息!$F$50:$F$65,1),))*求节点(基础信息!$F$50:$F$65,基础信息!$G$50:$G$65,$S70),0)</f>
        <v>72922.176725590762</v>
      </c>
      <c r="W70" s="111">
        <f>IFERROR(求节点(基础信息!$F$70:$F$85,基础信息!$G$70:$G$85,$S70),0)*SUMPRODUCT(INDEX($D$5:$H$34,IFERROR(MATCH(求节点(基础信息!$F$70:$F$85,基础信息!$H$70:$H$85,$S70),$C$5:$C$34,1),1),),INDEX(基础信息!$I$70:$M$85,IFERROR(MATCH($S70,基础信息!$F$70:$F$85,1),1),))+IFERROR(SUMPRODUCT(INDEX(门客进修!$AE$65:$AI$80,MATCH($S70,基础信息!$F$70:$F$85,1),),INDEX(基础信息!$N$70:$R$85,MATCH($S70,基础信息!$F$70:$F$85,1),),INDEX(基础信息!$I$70:$M$85,MATCH($S70,基础信息!$F$70:$F$85,1),))*求节点(基础信息!$F$70:$F$85,基础信息!$G$70:$G$85,$S70),0)</f>
        <v>126202.81611828595</v>
      </c>
      <c r="X70" s="111">
        <f>IFERROR(求节点(基础信息!$F$90:$F$105,基础信息!$G$90:$G$105,$S70),0)*SUMPRODUCT(INDEX($D$5:$H$34,IFERROR(MATCH(求节点(基础信息!$F$90:$F$105,基础信息!$H$90:$H$105,$S70),$C$5:$C$34,1),1),),INDEX(基础信息!$I$90:$M$105,IFERROR(MATCH($S70,基础信息!$F$90:$F$105,1),1),))+IFERROR(SUMPRODUCT(INDEX(门客进修!$AE$85:$AI$100,MATCH($S70,基础信息!$F$90:$F$105,1),),INDEX(基础信息!$N$90:$R$105,MATCH($S70,基础信息!$F$90:$F$105,1),),INDEX(基础信息!$I$90:$M$105,MATCH($S70,基础信息!$F$90:$F$105,1),))*求节点(基础信息!$F$90:$F$105,基础信息!$G$90:$G$105,$S70),0)</f>
        <v>129398.28004701462</v>
      </c>
    </row>
    <row r="71" spans="19:24" x14ac:dyDescent="0.15">
      <c r="S71" s="111">
        <v>67</v>
      </c>
      <c r="T71" s="111">
        <f>IFERROR(求节点(基础信息!$F$10:$F$25,基础信息!$G$10:$G$25,$S71),0)*SUMPRODUCT(INDEX($D$5:$H$34,IFERROR(MATCH(求节点(基础信息!$F$10:$F$25,基础信息!$H$10:$H$25,$S71),$C$5:$C$34,1),1),),INDEX(基础信息!$I$10:$M$25,IFERROR(MATCH($S71,基础信息!$F$10:$F$25,1),1),))+IFERROR(SUMPRODUCT(INDEX(门客进修!$AE$5:$AI$20,MATCH($S71,基础信息!$F$10:$F$25,1),),INDEX(基础信息!$N$10:$R$25,MATCH($S71,基础信息!$F$10:$F$25,1),),INDEX(基础信息!$I$10:$M$25,MATCH($S71,基础信息!$F$10:$F$25,1),))*求节点(基础信息!$F$10:$F$25,基础信息!$G$10:$G$25,$S71),0)</f>
        <v>38745.195725311329</v>
      </c>
      <c r="U71" s="111">
        <f>IFERROR(求节点(基础信息!$F$30:$F$45,基础信息!$G$30:$G$45,$S71),0)*SUMPRODUCT(INDEX($D$5:$H$34,IFERROR(MATCH(求节点(基础信息!$F$30:$F$45,基础信息!$H$30:$H$45,$S71),$C$5:$C$34,1),1),),INDEX(基础信息!$I$30:$M$45,IFERROR(MATCH($S71,基础信息!$F$30:$F$45,1),1),))+IFERROR(SUMPRODUCT(INDEX(门客进修!$AE$25:$AI$40,MATCH($S71,基础信息!$F$30:$F$45,1),),INDEX(基础信息!$N$30:$R$45,MATCH($S71,基础信息!$F$30:$F$45,1),),INDEX(基础信息!$I$30:$M$45,MATCH($S71,基础信息!$F$30:$F$45,1),))*求节点(基础信息!$F$30:$F$45,基础信息!$G$30:$G$45,$S71),0)</f>
        <v>59454.821112011428</v>
      </c>
      <c r="V71" s="111">
        <f>IFERROR(求节点(基础信息!$F$50:$F$65,基础信息!$G$50:$G$65,$S71),0)*SUMPRODUCT(INDEX($D$5:$H$34,IFERROR(MATCH(求节点(基础信息!$F$50:$F$65,基础信息!$H$50:$H$65,$S71),$C$5:$C$34,1),1),),INDEX(基础信息!$I$50:$M$65,IFERROR(MATCH($S71,基础信息!$F$50:$F$65,1),1),))+IFERROR(SUMPRODUCT(INDEX(门客进修!$AE$45:$AI$60,MATCH($S71,基础信息!$F$50:$F$65,1),),INDEX(基础信息!$N$50:$R$65,MATCH($S71,基础信息!$F$50:$F$65,1),),INDEX(基础信息!$I$50:$M$65,MATCH($S71,基础信息!$F$50:$F$65,1),))*求节点(基础信息!$F$50:$F$65,基础信息!$G$50:$G$65,$S71),0)</f>
        <v>74175.805411870111</v>
      </c>
      <c r="W71" s="111">
        <f>IFERROR(求节点(基础信息!$F$70:$F$85,基础信息!$G$70:$G$85,$S71),0)*SUMPRODUCT(INDEX($D$5:$H$34,IFERROR(MATCH(求节点(基础信息!$F$70:$F$85,基础信息!$H$70:$H$85,$S71),$C$5:$C$34,1),1),),INDEX(基础信息!$I$70:$M$85,IFERROR(MATCH($S71,基础信息!$F$70:$F$85,1),1),))+IFERROR(SUMPRODUCT(INDEX(门客进修!$AE$65:$AI$80,MATCH($S71,基础信息!$F$70:$F$85,1),),INDEX(基础信息!$N$70:$R$85,MATCH($S71,基础信息!$F$70:$F$85,1),),INDEX(基础信息!$I$70:$M$85,MATCH($S71,基础信息!$F$70:$F$85,1),))*求节点(基础信息!$F$70:$F$85,基础信息!$G$70:$G$85,$S71),0)</f>
        <v>128287.66169042146</v>
      </c>
      <c r="X71" s="111">
        <f>IFERROR(求节点(基础信息!$F$90:$F$105,基础信息!$G$90:$G$105,$S71),0)*SUMPRODUCT(INDEX($D$5:$H$34,IFERROR(MATCH(求节点(基础信息!$F$90:$F$105,基础信息!$H$90:$H$105,$S71),$C$5:$C$34,1),1),),INDEX(基础信息!$I$90:$M$105,IFERROR(MATCH($S71,基础信息!$F$90:$F$105,1),1),))+IFERROR(SUMPRODUCT(INDEX(门客进修!$AE$85:$AI$100,MATCH($S71,基础信息!$F$90:$F$105,1),),INDEX(基础信息!$N$90:$R$105,MATCH($S71,基础信息!$F$90:$F$105,1),),INDEX(基础信息!$I$90:$M$105,MATCH($S71,基础信息!$F$90:$F$105,1),))*求节点(基础信息!$F$90:$F$105,基础信息!$G$90:$G$105,$S71),0)</f>
        <v>131461.06240088571</v>
      </c>
    </row>
    <row r="72" spans="19:24" x14ac:dyDescent="0.15">
      <c r="S72" s="111">
        <v>68</v>
      </c>
      <c r="T72" s="111">
        <f>IFERROR(求节点(基础信息!$F$10:$F$25,基础信息!$G$10:$G$25,$S72),0)*SUMPRODUCT(INDEX($D$5:$H$34,IFERROR(MATCH(求节点(基础信息!$F$10:$F$25,基础信息!$H$10:$H$25,$S72),$C$5:$C$34,1),1),),INDEX(基础信息!$I$10:$M$25,IFERROR(MATCH($S72,基础信息!$F$10:$F$25,1),1),))+IFERROR(SUMPRODUCT(INDEX(门客进修!$AE$5:$AI$20,MATCH($S72,基础信息!$F$10:$F$25,1),),INDEX(基础信息!$N$10:$R$25,MATCH($S72,基础信息!$F$10:$F$25,1),),INDEX(基础信息!$I$10:$M$25,MATCH($S72,基础信息!$F$10:$F$25,1),))*求节点(基础信息!$F$10:$F$25,基础信息!$G$10:$G$25,$S72),0)</f>
        <v>39426.482480531493</v>
      </c>
      <c r="U72" s="111">
        <f>IFERROR(求节点(基础信息!$F$30:$F$45,基础信息!$G$30:$G$45,$S72),0)*SUMPRODUCT(INDEX($D$5:$H$34,IFERROR(MATCH(求节点(基础信息!$F$30:$F$45,基础信息!$H$30:$H$45,$S72),$C$5:$C$34,1),1),),INDEX(基础信息!$I$30:$M$45,IFERROR(MATCH($S72,基础信息!$F$30:$F$45,1),1),))+IFERROR(SUMPRODUCT(INDEX(门客进修!$AE$25:$AI$40,MATCH($S72,基础信息!$F$30:$F$45,1),),INDEX(基础信息!$N$30:$R$45,MATCH($S72,基础信息!$F$30:$F$45,1),),INDEX(基础信息!$I$30:$M$45,MATCH($S72,基础信息!$F$30:$F$45,1),))*求节点(基础信息!$F$30:$F$45,基础信息!$G$30:$G$45,$S72),0)</f>
        <v>60481.109685083473</v>
      </c>
      <c r="V72" s="111">
        <f>IFERROR(求节点(基础信息!$F$50:$F$65,基础信息!$G$50:$G$65,$S72),0)*SUMPRODUCT(INDEX($D$5:$H$34,IFERROR(MATCH(求节点(基础信息!$F$50:$F$65,基础信息!$H$50:$H$65,$S72),$C$5:$C$34,1),1),),INDEX(基础信息!$I$50:$M$65,IFERROR(MATCH($S72,基础信息!$F$50:$F$65,1),1),))+IFERROR(SUMPRODUCT(INDEX(门客进修!$AE$45:$AI$60,MATCH($S72,基础信息!$F$50:$F$65,1),),INDEX(基础信息!$N$50:$R$65,MATCH($S72,基础信息!$F$50:$F$65,1),),INDEX(基础信息!$I$50:$M$65,MATCH($S72,基础信息!$F$50:$F$65,1),))*求节点(基础信息!$F$50:$F$65,基础信息!$G$50:$G$65,$S72),0)</f>
        <v>92948.078385105691</v>
      </c>
      <c r="W72" s="111">
        <f>IFERROR(求节点(基础信息!$F$70:$F$85,基础信息!$G$70:$G$85,$S72),0)*SUMPRODUCT(INDEX($D$5:$H$34,IFERROR(MATCH(求节点(基础信息!$F$70:$F$85,基础信息!$H$70:$H$85,$S72),$C$5:$C$34,1),1),),INDEX(基础信息!$I$70:$M$85,IFERROR(MATCH($S72,基础信息!$F$70:$F$85,1),1),))+IFERROR(SUMPRODUCT(INDEX(门客进修!$AE$65:$AI$80,MATCH($S72,基础信息!$F$70:$F$85,1),),INDEX(基础信息!$N$70:$R$85,MATCH($S72,基础信息!$F$70:$F$85,1),),INDEX(基础信息!$I$70:$M$85,MATCH($S72,基础信息!$F$70:$F$85,1),))*求节点(基础信息!$F$70:$F$85,基础信息!$G$70:$G$85,$S72),0)</f>
        <v>130372.50726255696</v>
      </c>
      <c r="X72" s="111">
        <f>IFERROR(求节点(基础信息!$F$90:$F$105,基础信息!$G$90:$G$105,$S72),0)*SUMPRODUCT(INDEX($D$5:$H$34,IFERROR(MATCH(求节点(基础信息!$F$90:$F$105,基础信息!$H$90:$H$105,$S72),$C$5:$C$34,1),1),),INDEX(基础信息!$I$90:$M$105,IFERROR(MATCH($S72,基础信息!$F$90:$F$105,1),1),))+IFERROR(SUMPRODUCT(INDEX(门客进修!$AE$85:$AI$100,MATCH($S72,基础信息!$F$90:$F$105,1),),INDEX(基础信息!$N$90:$R$105,MATCH($S72,基础信息!$F$90:$F$105,1),),INDEX(基础信息!$I$90:$M$105,MATCH($S72,基础信息!$F$90:$F$105,1),))*求节点(基础信息!$F$90:$F$105,基础信息!$G$90:$G$105,$S72),0)</f>
        <v>137232.84044238899</v>
      </c>
    </row>
    <row r="73" spans="19:24" x14ac:dyDescent="0.15">
      <c r="S73" s="111">
        <v>69</v>
      </c>
      <c r="T73" s="111">
        <f>IFERROR(求节点(基础信息!$F$10:$F$25,基础信息!$G$10:$G$25,$S73),0)*SUMPRODUCT(INDEX($D$5:$H$34,IFERROR(MATCH(求节点(基础信息!$F$10:$F$25,基础信息!$H$10:$H$25,$S73),$C$5:$C$34,1),1),),INDEX(基础信息!$I$10:$M$25,IFERROR(MATCH($S73,基础信息!$F$10:$F$25,1),1),))+IFERROR(SUMPRODUCT(INDEX(门客进修!$AE$5:$AI$20,MATCH($S73,基础信息!$F$10:$F$25,1),),INDEX(基础信息!$N$10:$R$25,MATCH($S73,基础信息!$F$10:$F$25,1),),INDEX(基础信息!$I$10:$M$25,MATCH($S73,基础信息!$F$10:$F$25,1),))*求节点(基础信息!$F$10:$F$25,基础信息!$G$10:$G$25,$S73),0)</f>
        <v>40107.76923575165</v>
      </c>
      <c r="U73" s="111">
        <f>IFERROR(求节点(基础信息!$F$30:$F$45,基础信息!$G$30:$G$45,$S73),0)*SUMPRODUCT(INDEX($D$5:$H$34,IFERROR(MATCH(求节点(基础信息!$F$30:$F$45,基础信息!$H$30:$H$45,$S73),$C$5:$C$34,1),1),),INDEX(基础信息!$I$30:$M$45,IFERROR(MATCH($S73,基础信息!$F$30:$F$45,1),1),))+IFERROR(SUMPRODUCT(INDEX(门客进修!$AE$25:$AI$40,MATCH($S73,基础信息!$F$30:$F$45,1),),INDEX(基础信息!$N$30:$R$45,MATCH($S73,基础信息!$F$30:$F$45,1),),INDEX(基础信息!$I$30:$M$45,MATCH($S73,基础信息!$F$30:$F$45,1),))*求节点(基础信息!$F$30:$F$45,基础信息!$G$30:$G$45,$S73),0)</f>
        <v>79305.579752958205</v>
      </c>
      <c r="V73" s="111">
        <f>IFERROR(求节点(基础信息!$F$50:$F$65,基础信息!$G$50:$G$65,$S73),0)*SUMPRODUCT(INDEX($D$5:$H$34,IFERROR(MATCH(求节点(基础信息!$F$50:$F$65,基础信息!$H$50:$H$65,$S73),$C$5:$C$34,1),1),),INDEX(基础信息!$I$50:$M$65,IFERROR(MATCH($S73,基础信息!$F$50:$F$65,1),1),))+IFERROR(SUMPRODUCT(INDEX(门客进修!$AE$45:$AI$60,MATCH($S73,基础信息!$F$50:$F$65,1),),INDEX(基础信息!$N$50:$R$65,MATCH($S73,基础信息!$F$50:$F$65,1),),INDEX(基础信息!$I$50:$M$65,MATCH($S73,基础信息!$F$50:$F$65,1),))*求节点(基础信息!$F$50:$F$65,基础信息!$G$50:$G$65,$S73),0)</f>
        <v>94477.745985015135</v>
      </c>
      <c r="W73" s="111">
        <f>IFERROR(求节点(基础信息!$F$70:$F$85,基础信息!$G$70:$G$85,$S73),0)*SUMPRODUCT(INDEX($D$5:$H$34,IFERROR(MATCH(求节点(基础信息!$F$70:$F$85,基础信息!$H$70:$H$85,$S73),$C$5:$C$34,1),1),),INDEX(基础信息!$I$70:$M$85,IFERROR(MATCH($S73,基础信息!$F$70:$F$85,1),1),))+IFERROR(SUMPRODUCT(INDEX(门客进修!$AE$65:$AI$80,MATCH($S73,基础信息!$F$70:$F$85,1),),INDEX(基础信息!$N$70:$R$85,MATCH($S73,基础信息!$F$70:$F$85,1),),INDEX(基础信息!$I$70:$M$85,MATCH($S73,基础信息!$F$70:$F$85,1),))*求节点(基础信息!$F$70:$F$85,基础信息!$G$70:$G$85,$S73),0)</f>
        <v>136136.72374676727</v>
      </c>
      <c r="X73" s="111">
        <f>IFERROR(求节点(基础信息!$F$90:$F$105,基础信息!$G$90:$G$105,$S73),0)*SUMPRODUCT(INDEX($D$5:$H$34,IFERROR(MATCH(求节点(基础信息!$F$90:$F$105,基础信息!$H$90:$H$105,$S73),$C$5:$C$34,1),1),),INDEX(基础信息!$I$90:$M$105,IFERROR(MATCH($S73,基础信息!$F$90:$F$105,1),1),))+IFERROR(SUMPRODUCT(INDEX(门客进修!$AE$85:$AI$100,MATCH($S73,基础信息!$F$90:$F$105,1),),INDEX(基础信息!$N$90:$R$105,MATCH($S73,基础信息!$F$90:$F$105,1),),INDEX(基础信息!$I$90:$M$105,MATCH($S73,基础信息!$F$90:$F$105,1),))*求节点(基础信息!$F$90:$F$105,基础信息!$G$90:$G$105,$S73),0)</f>
        <v>139352.92230608987</v>
      </c>
    </row>
    <row r="74" spans="19:24" x14ac:dyDescent="0.15">
      <c r="S74" s="111">
        <v>70</v>
      </c>
      <c r="T74" s="111">
        <f>IFERROR(求节点(基础信息!$F$10:$F$25,基础信息!$G$10:$G$25,$S74),0)*SUMPRODUCT(INDEX($D$5:$H$34,IFERROR(MATCH(求节点(基础信息!$F$10:$F$25,基础信息!$H$10:$H$25,$S74),$C$5:$C$34,1),1),),INDEX(基础信息!$I$10:$M$25,IFERROR(MATCH($S74,基础信息!$F$10:$F$25,1),1),))+IFERROR(SUMPRODUCT(INDEX(门客进修!$AE$5:$AI$20,MATCH($S74,基础信息!$F$10:$F$25,1),),INDEX(基础信息!$N$10:$R$25,MATCH($S74,基础信息!$F$10:$F$25,1),),INDEX(基础信息!$I$10:$M$25,MATCH($S74,基础信息!$F$10:$F$25,1),))*求节点(基础信息!$F$10:$F$25,基础信息!$G$10:$G$25,$S74),0)</f>
        <v>61974.644954845047</v>
      </c>
      <c r="U74" s="111">
        <f>IFERROR(求节点(基础信息!$F$30:$F$45,基础信息!$G$30:$G$45,$S74),0)*SUMPRODUCT(INDEX($D$5:$H$34,IFERROR(MATCH(求节点(基础信息!$F$30:$F$45,基础信息!$H$30:$H$45,$S74),$C$5:$C$34,1),1),),INDEX(基础信息!$I$30:$M$45,IFERROR(MATCH($S74,基础信息!$F$30:$F$45,1),1),))+IFERROR(SUMPRODUCT(INDEX(门客进修!$AE$25:$AI$40,MATCH($S74,基础信息!$F$30:$F$45,1),),INDEX(基础信息!$N$30:$R$45,MATCH($S74,基础信息!$F$30:$F$45,1),),INDEX(基础信息!$I$30:$M$45,MATCH($S74,基础信息!$F$30:$F$45,1),))*求节点(基础信息!$F$30:$F$45,基础信息!$G$30:$G$45,$S74),0)</f>
        <v>80624.237127581873</v>
      </c>
      <c r="V74" s="111">
        <f>IFERROR(求节点(基础信息!$F$50:$F$65,基础信息!$G$50:$G$65,$S74),0)*SUMPRODUCT(INDEX($D$5:$H$34,IFERROR(MATCH(求节点(基础信息!$F$50:$F$65,基础信息!$H$50:$H$65,$S74),$C$5:$C$34,1),1),),INDEX(基础信息!$I$50:$M$65,IFERROR(MATCH($S74,基础信息!$F$50:$F$65,1),1),))+IFERROR(SUMPRODUCT(INDEX(门客进修!$AE$45:$AI$60,MATCH($S74,基础信息!$F$50:$F$65,1),),INDEX(基础信息!$N$50:$R$65,MATCH($S74,基础信息!$F$50:$F$65,1),),INDEX(基础信息!$I$50:$M$65,MATCH($S74,基础信息!$F$50:$F$65,1),))*求节点(基础信息!$F$50:$F$65,基础信息!$G$50:$G$65,$S74),0)</f>
        <v>96007.413584924579</v>
      </c>
      <c r="W74" s="111">
        <f>IFERROR(求节点(基础信息!$F$70:$F$85,基础信息!$G$70:$G$85,$S74),0)*SUMPRODUCT(INDEX($D$5:$H$34,IFERROR(MATCH(求节点(基础信息!$F$70:$F$85,基础信息!$H$70:$H$85,$S74),$C$5:$C$34,1),1),),INDEX(基础信息!$I$70:$M$85,IFERROR(MATCH($S74,基础信息!$F$70:$F$85,1),1),))+IFERROR(SUMPRODUCT(INDEX(门客进修!$AE$65:$AI$80,MATCH($S74,基础信息!$F$70:$F$85,1),),INDEX(基础信息!$N$70:$R$85,MATCH($S74,基础信息!$F$70:$F$85,1),),INDEX(基础信息!$I$70:$M$85,MATCH($S74,基础信息!$F$70:$F$85,1),))*求节点(基础信息!$F$70:$F$85,基础信息!$G$70:$G$85,$S74),0)</f>
        <v>138279.48169590655</v>
      </c>
      <c r="X74" s="111">
        <f>IFERROR(求节点(基础信息!$F$90:$F$105,基础信息!$G$90:$G$105,$S74),0)*SUMPRODUCT(INDEX($D$5:$H$34,IFERROR(MATCH(求节点(基础信息!$F$90:$F$105,基础信息!$H$90:$H$105,$S74),$C$5:$C$34,1),1),),INDEX(基础信息!$I$90:$M$105,IFERROR(MATCH($S74,基础信息!$F$90:$F$105,1),1),))+IFERROR(SUMPRODUCT(INDEX(门客进修!$AE$85:$AI$100,MATCH($S74,基础信息!$F$90:$F$105,1),),INDEX(基础信息!$N$90:$R$105,MATCH($S74,基础信息!$F$90:$F$105,1),),INDEX(基础信息!$I$90:$M$105,MATCH($S74,基础信息!$F$90:$F$105,1),))*求节点(基础信息!$F$90:$F$105,基础信息!$G$90:$G$105,$S74),0)</f>
        <v>141473.00416979074</v>
      </c>
    </row>
    <row r="75" spans="19:24" x14ac:dyDescent="0.15">
      <c r="S75" s="111">
        <v>71</v>
      </c>
      <c r="T75" s="111">
        <f>IFERROR(求节点(基础信息!$F$10:$F$25,基础信息!$G$10:$G$25,$S75),0)*SUMPRODUCT(INDEX($D$5:$H$34,IFERROR(MATCH(求节点(基础信息!$F$10:$F$25,基础信息!$H$10:$H$25,$S75),$C$5:$C$34,1),1),),INDEX(基础信息!$I$10:$M$25,IFERROR(MATCH($S75,基础信息!$F$10:$F$25,1),1),))+IFERROR(SUMPRODUCT(INDEX(门客进修!$AE$5:$AI$20,MATCH($S75,基础信息!$F$10:$F$25,1),),INDEX(基础信息!$N$10:$R$25,MATCH($S75,基础信息!$F$10:$F$25,1),),INDEX(基础信息!$I$10:$M$25,MATCH($S75,基础信息!$F$10:$F$25,1),))*求节点(基础信息!$F$10:$F$25,基础信息!$G$10:$G$25,$S75),0)</f>
        <v>63009.407479738467</v>
      </c>
      <c r="U75" s="111">
        <f>IFERROR(求节点(基础信息!$F$30:$F$45,基础信息!$G$30:$G$45,$S75),0)*SUMPRODUCT(INDEX($D$5:$H$34,IFERROR(MATCH(求节点(基础信息!$F$30:$F$45,基础信息!$H$30:$H$45,$S75),$C$5:$C$34,1),1),),INDEX(基础信息!$I$30:$M$45,IFERROR(MATCH($S75,基础信息!$F$30:$F$45,1),1),))+IFERROR(SUMPRODUCT(INDEX(门客进修!$AE$25:$AI$40,MATCH($S75,基础信息!$F$30:$F$45,1),),INDEX(基础信息!$N$30:$R$45,MATCH($S75,基础信息!$F$30:$F$45,1),),INDEX(基础信息!$I$30:$M$45,MATCH($S75,基础信息!$F$30:$F$45,1),))*求节点(基础信息!$F$30:$F$45,基础信息!$G$30:$G$45,$S75),0)</f>
        <v>81942.894502205527</v>
      </c>
      <c r="V75" s="111">
        <f>IFERROR(求节点(基础信息!$F$50:$F$65,基础信息!$G$50:$G$65,$S75),0)*SUMPRODUCT(INDEX($D$5:$H$34,IFERROR(MATCH(求节点(基础信息!$F$50:$F$65,基础信息!$H$50:$H$65,$S75),$C$5:$C$34,1),1),),INDEX(基础信息!$I$50:$M$65,IFERROR(MATCH($S75,基础信息!$F$50:$F$65,1),1),))+IFERROR(SUMPRODUCT(INDEX(门客进修!$AE$45:$AI$60,MATCH($S75,基础信息!$F$50:$F$65,1),),INDEX(基础信息!$N$50:$R$65,MATCH($S75,基础信息!$F$50:$F$65,1),),INDEX(基础信息!$I$50:$M$65,MATCH($S75,基础信息!$F$50:$F$65,1),))*求节点(基础信息!$F$50:$F$65,基础信息!$G$50:$G$65,$S75),0)</f>
        <v>100695.42476605723</v>
      </c>
      <c r="W75" s="111">
        <f>IFERROR(求节点(基础信息!$F$70:$F$85,基础信息!$G$70:$G$85,$S75),0)*SUMPRODUCT(INDEX($D$5:$H$34,IFERROR(MATCH(求节点(基础信息!$F$70:$F$85,基础信息!$H$70:$H$85,$S75),$C$5:$C$34,1),1),),INDEX(基础信息!$I$70:$M$85,IFERROR(MATCH($S75,基础信息!$F$70:$F$85,1),1),))+IFERROR(SUMPRODUCT(INDEX(门客进修!$AE$65:$AI$80,MATCH($S75,基础信息!$F$70:$F$85,1),),INDEX(基础信息!$N$70:$R$85,MATCH($S75,基础信息!$F$70:$F$85,1),),INDEX(基础信息!$I$70:$M$85,MATCH($S75,基础信息!$F$70:$F$85,1),))*求节点(基础信息!$F$70:$F$85,基础信息!$G$70:$G$85,$S75),0)</f>
        <v>140422.23964504583</v>
      </c>
      <c r="X75" s="111">
        <f>IFERROR(求节点(基础信息!$F$90:$F$105,基础信息!$G$90:$G$105,$S75),0)*SUMPRODUCT(INDEX($D$5:$H$34,IFERROR(MATCH(求节点(基础信息!$F$90:$F$105,基础信息!$H$90:$H$105,$S75),$C$5:$C$34,1),1),),INDEX(基础信息!$I$90:$M$105,IFERROR(MATCH($S75,基础信息!$F$90:$F$105,1),1),))+IFERROR(SUMPRODUCT(INDEX(门客进修!$AE$85:$AI$100,MATCH($S75,基础信息!$F$90:$F$105,1),),INDEX(基础信息!$N$90:$R$105,MATCH($S75,基础信息!$F$90:$F$105,1),),INDEX(基础信息!$I$90:$M$105,MATCH($S75,基础信息!$F$90:$F$105,1),))*求节点(基础信息!$F$90:$F$105,基础信息!$G$90:$G$105,$S75),0)</f>
        <v>147473.98025061301</v>
      </c>
    </row>
    <row r="76" spans="19:24" x14ac:dyDescent="0.15">
      <c r="S76" s="111">
        <v>72</v>
      </c>
      <c r="T76" s="111">
        <f>IFERROR(求节点(基础信息!$F$10:$F$25,基础信息!$G$10:$G$25,$S76),0)*SUMPRODUCT(INDEX($D$5:$H$34,IFERROR(MATCH(求节点(基础信息!$F$10:$F$25,基础信息!$H$10:$H$25,$S76),$C$5:$C$34,1),1),),INDEX(基础信息!$I$10:$M$25,IFERROR(MATCH($S76,基础信息!$F$10:$F$25,1),1),))+IFERROR(SUMPRODUCT(INDEX(门客进修!$AE$5:$AI$20,MATCH($S76,基础信息!$F$10:$F$25,1),),INDEX(基础信息!$N$10:$R$25,MATCH($S76,基础信息!$F$10:$F$25,1),),INDEX(基础信息!$I$10:$M$25,MATCH($S76,基础信息!$F$10:$F$25,1),))*求节点(基础信息!$F$10:$F$25,基础信息!$G$10:$G$25,$S76),0)</f>
        <v>64044.170004631895</v>
      </c>
      <c r="U76" s="111">
        <f>IFERROR(求节点(基础信息!$F$30:$F$45,基础信息!$G$30:$G$45,$S76),0)*SUMPRODUCT(INDEX($D$5:$H$34,IFERROR(MATCH(求节点(基础信息!$F$30:$F$45,基础信息!$H$30:$H$45,$S76),$C$5:$C$34,1),1),),INDEX(基础信息!$I$30:$M$45,IFERROR(MATCH($S76,基础信息!$F$30:$F$45,1),1),))+IFERROR(SUMPRODUCT(INDEX(门客进修!$AE$25:$AI$40,MATCH($S76,基础信息!$F$30:$F$45,1),),INDEX(基础信息!$N$30:$R$45,MATCH($S76,基础信息!$F$30:$F$45,1),),INDEX(基础信息!$I$30:$M$45,MATCH($S76,基础信息!$F$30:$F$45,1),))*求节点(基础信息!$F$30:$F$45,基础信息!$G$30:$G$45,$S76),0)</f>
        <v>85851.911268552751</v>
      </c>
      <c r="V76" s="111">
        <f>IFERROR(求节点(基础信息!$F$50:$F$65,基础信息!$G$50:$G$65,$S76),0)*SUMPRODUCT(INDEX($D$5:$H$34,IFERROR(MATCH(求节点(基础信息!$F$50:$F$65,基础信息!$H$50:$H$65,$S76),$C$5:$C$34,1),1),),INDEX(基础信息!$I$50:$M$65,IFERROR(MATCH($S76,基础信息!$F$50:$F$65,1),1),))+IFERROR(SUMPRODUCT(INDEX(门客进修!$AE$45:$AI$60,MATCH($S76,基础信息!$F$50:$F$65,1),),INDEX(基础信息!$N$50:$R$65,MATCH($S76,基础信息!$F$50:$F$65,1),),INDEX(基础信息!$I$50:$M$65,MATCH($S76,基础信息!$F$50:$F$65,1),))*求节点(基础信息!$F$50:$F$65,基础信息!$G$50:$G$65,$S76),0)</f>
        <v>102274.62445967803</v>
      </c>
      <c r="W76" s="111">
        <f>IFERROR(求节点(基础信息!$F$70:$F$85,基础信息!$G$70:$G$85,$S76),0)*SUMPRODUCT(INDEX($D$5:$H$34,IFERROR(MATCH(求节点(基础信息!$F$70:$F$85,基础信息!$H$70:$H$85,$S76),$C$5:$C$34,1),1),),INDEX(基础信息!$I$70:$M$85,IFERROR(MATCH($S76,基础信息!$F$70:$F$85,1),1),))+IFERROR(SUMPRODUCT(INDEX(门客进修!$AE$65:$AI$80,MATCH($S76,基础信息!$F$70:$F$85,1),),INDEX(基础信息!$N$70:$R$85,MATCH($S76,基础信息!$F$70:$F$85,1),),INDEX(基础信息!$I$70:$M$85,MATCH($S76,基础信息!$F$70:$F$85,1),))*求节点(基础信息!$F$70:$F$85,基础信息!$G$70:$G$85,$S76),0)</f>
        <v>146418.10563727119</v>
      </c>
      <c r="X76" s="111">
        <f>IFERROR(求节点(基础信息!$F$90:$F$105,基础信息!$G$90:$G$105,$S76),0)*SUMPRODUCT(INDEX($D$5:$H$34,IFERROR(MATCH(求节点(基础信息!$F$90:$F$105,基础信息!$H$90:$H$105,$S76),$C$5:$C$34,1),1),),INDEX(基础信息!$I$90:$M$105,IFERROR(MATCH($S76,基础信息!$F$90:$F$105,1),1),))+IFERROR(SUMPRODUCT(INDEX(门客进修!$AE$85:$AI$100,MATCH($S76,基础信息!$F$90:$F$105,1),),INDEX(基础信息!$N$90:$R$105,MATCH($S76,基础信息!$F$90:$F$105,1),),INDEX(基础信息!$I$90:$M$105,MATCH($S76,基础信息!$F$90:$F$105,1),))*求节点(基础信息!$F$90:$F$105,基础信息!$G$90:$G$105,$S76),0)</f>
        <v>149651.36162414364</v>
      </c>
    </row>
    <row r="77" spans="19:24" x14ac:dyDescent="0.15">
      <c r="S77" s="111">
        <v>73</v>
      </c>
      <c r="T77" s="111">
        <f>IFERROR(求节点(基础信息!$F$10:$F$25,基础信息!$G$10:$G$25,$S77),0)*SUMPRODUCT(INDEX($D$5:$H$34,IFERROR(MATCH(求节点(基础信息!$F$10:$F$25,基础信息!$H$10:$H$25,$S77),$C$5:$C$34,1),1),),INDEX(基础信息!$I$10:$M$25,IFERROR(MATCH($S77,基础信息!$F$10:$F$25,1),1),))+IFERROR(SUMPRODUCT(INDEX(门客进修!$AE$5:$AI$20,MATCH($S77,基础信息!$F$10:$F$25,1),),INDEX(基础信息!$N$10:$R$25,MATCH($S77,基础信息!$F$10:$F$25,1),),INDEX(基础信息!$I$10:$M$25,MATCH($S77,基础信息!$F$10:$F$25,1),))*求节点(基础信息!$F$10:$F$25,基础信息!$G$10:$G$25,$S77),0)</f>
        <v>67109.764466616878</v>
      </c>
      <c r="U77" s="111">
        <f>IFERROR(求节点(基础信息!$F$30:$F$45,基础信息!$G$30:$G$45,$S77),0)*SUMPRODUCT(INDEX($D$5:$H$34,IFERROR(MATCH(求节点(基础信息!$F$30:$F$45,基础信息!$H$30:$H$45,$S77),$C$5:$C$34,1),1),),INDEX(基础信息!$I$30:$M$45,IFERROR(MATCH($S77,基础信息!$F$30:$F$45,1),1),))+IFERROR(SUMPRODUCT(INDEX(门客进修!$AE$25:$AI$40,MATCH($S77,基础信息!$F$30:$F$45,1),),INDEX(基础信息!$N$30:$R$45,MATCH($S77,基础信息!$F$30:$F$45,1),),INDEX(基础信息!$I$30:$M$45,MATCH($S77,基础信息!$F$30:$F$45,1),))*求节点(基础信息!$F$30:$F$45,基础信息!$G$30:$G$45,$S77),0)</f>
        <v>87211.593539275826</v>
      </c>
      <c r="V77" s="111">
        <f>IFERROR(求节点(基础信息!$F$50:$F$65,基础信息!$G$50:$G$65,$S77),0)*SUMPRODUCT(INDEX($D$5:$H$34,IFERROR(MATCH(求节点(基础信息!$F$50:$F$65,基础信息!$H$50:$H$65,$S77),$C$5:$C$34,1),1),),INDEX(基础信息!$I$50:$M$65,IFERROR(MATCH($S77,基础信息!$F$50:$F$65,1),1),))+IFERROR(SUMPRODUCT(INDEX(门客进修!$AE$45:$AI$60,MATCH($S77,基础信息!$F$50:$F$65,1),),INDEX(基础信息!$N$50:$R$65,MATCH($S77,基础信息!$F$50:$F$65,1),),INDEX(基础信息!$I$50:$M$65,MATCH($S77,基础信息!$F$50:$F$65,1),))*求节点(基础信息!$F$50:$F$65,基础信息!$G$50:$G$65,$S77),0)</f>
        <v>103853.82415329883</v>
      </c>
      <c r="W77" s="111">
        <f>IFERROR(求节点(基础信息!$F$70:$F$85,基础信息!$G$70:$G$85,$S77),0)*SUMPRODUCT(INDEX($D$5:$H$34,IFERROR(MATCH(求节点(基础信息!$F$70:$F$85,基础信息!$H$70:$H$85,$S77),$C$5:$C$34,1),1),),INDEX(基础信息!$I$70:$M$85,IFERROR(MATCH($S77,基础信息!$F$70:$F$85,1),1),))+IFERROR(SUMPRODUCT(INDEX(门客进修!$AE$65:$AI$80,MATCH($S77,基础信息!$F$70:$F$85,1),),INDEX(基础信息!$N$70:$R$85,MATCH($S77,基础信息!$F$70:$F$85,1),),INDEX(基础信息!$I$70:$M$85,MATCH($S77,基础信息!$F$70:$F$85,1),))*求节点(基础信息!$F$70:$F$85,基础信息!$G$70:$G$85,$S77),0)</f>
        <v>148618.77596341423</v>
      </c>
      <c r="X77" s="111">
        <f>IFERROR(求节点(基础信息!$F$90:$F$105,基础信息!$G$90:$G$105,$S77),0)*SUMPRODUCT(INDEX($D$5:$H$34,IFERROR(MATCH(求节点(基础信息!$F$90:$F$105,基础信息!$H$90:$H$105,$S77),$C$5:$C$34,1),1),),INDEX(基础信息!$I$90:$M$105,IFERROR(MATCH($S77,基础信息!$F$90:$F$105,1),1),))+IFERROR(SUMPRODUCT(INDEX(门客进修!$AE$85:$AI$100,MATCH($S77,基础信息!$F$90:$F$105,1),),INDEX(基础信息!$N$90:$R$105,MATCH($S77,基础信息!$F$90:$F$105,1),),INDEX(基础信息!$I$90:$M$105,MATCH($S77,基础信息!$F$90:$F$105,1),))*求节点(基础信息!$F$90:$F$105,基础信息!$G$90:$G$105,$S77),0)</f>
        <v>151828.7429976743</v>
      </c>
    </row>
    <row r="78" spans="19:24" x14ac:dyDescent="0.15">
      <c r="S78" s="111">
        <v>74</v>
      </c>
      <c r="T78" s="111">
        <f>IFERROR(求节点(基础信息!$F$10:$F$25,基础信息!$G$10:$G$25,$S78),0)*SUMPRODUCT(INDEX($D$5:$H$34,IFERROR(MATCH(求节点(基础信息!$F$10:$F$25,基础信息!$H$10:$H$25,$S78),$C$5:$C$34,1),1),),INDEX(基础信息!$I$10:$M$25,IFERROR(MATCH($S78,基础信息!$F$10:$F$25,1),1),))+IFERROR(SUMPRODUCT(INDEX(门客进修!$AE$5:$AI$20,MATCH($S78,基础信息!$F$10:$F$25,1),),INDEX(基础信息!$N$10:$R$25,MATCH($S78,基础信息!$F$10:$F$25,1),),INDEX(基础信息!$I$10:$M$25,MATCH($S78,基础信息!$F$10:$F$25,1),))*求节点(基础信息!$F$10:$F$25,基础信息!$G$10:$G$25,$S78),0)</f>
        <v>68176.817453280019</v>
      </c>
      <c r="U78" s="111">
        <f>IFERROR(求节点(基础信息!$F$30:$F$45,基础信息!$G$30:$G$45,$S78),0)*SUMPRODUCT(INDEX($D$5:$H$34,IFERROR(MATCH(求节点(基础信息!$F$30:$F$45,基础信息!$H$30:$H$45,$S78),$C$5:$C$34,1),1),),INDEX(基础信息!$I$30:$M$45,IFERROR(MATCH($S78,基础信息!$F$30:$F$45,1),1),))+IFERROR(SUMPRODUCT(INDEX(门客进修!$AE$25:$AI$40,MATCH($S78,基础信息!$F$30:$F$45,1),),INDEX(基础信息!$N$30:$R$45,MATCH($S78,基础信息!$F$30:$F$45,1),),INDEX(基础信息!$I$30:$M$45,MATCH($S78,基础信息!$F$30:$F$45,1),))*求节点(基础信息!$F$30:$F$45,基础信息!$G$30:$G$45,$S78),0)</f>
        <v>88571.275809998886</v>
      </c>
      <c r="V78" s="111">
        <f>IFERROR(求节点(基础信息!$F$50:$F$65,基础信息!$G$50:$G$65,$S78),0)*SUMPRODUCT(INDEX($D$5:$H$34,IFERROR(MATCH(求节点(基础信息!$F$50:$F$65,基础信息!$H$50:$H$65,$S78),$C$5:$C$34,1),1),),INDEX(基础信息!$I$50:$M$65,IFERROR(MATCH($S78,基础信息!$F$50:$F$65,1),1),))+IFERROR(SUMPRODUCT(INDEX(门客进修!$AE$45:$AI$60,MATCH($S78,基础信息!$F$50:$F$65,1),),INDEX(基础信息!$N$50:$R$65,MATCH($S78,基础信息!$F$50:$F$65,1),),INDEX(基础信息!$I$50:$M$65,MATCH($S78,基础信息!$F$50:$F$65,1),))*求节点(基础信息!$F$50:$F$65,基础信息!$G$50:$G$65,$S78),0)</f>
        <v>108739.9637092769</v>
      </c>
      <c r="W78" s="111">
        <f>IFERROR(求节点(基础信息!$F$70:$F$85,基础信息!$G$70:$G$85,$S78),0)*SUMPRODUCT(INDEX($D$5:$H$34,IFERROR(MATCH(求节点(基础信息!$F$70:$F$85,基础信息!$H$70:$H$85,$S78),$C$5:$C$34,1),1),),INDEX(基础信息!$I$70:$M$85,IFERROR(MATCH($S78,基础信息!$F$70:$F$85,1),1),))+IFERROR(SUMPRODUCT(INDEX(门客进修!$AE$65:$AI$80,MATCH($S78,基础信息!$F$70:$F$85,1),),INDEX(基础信息!$N$70:$R$85,MATCH($S78,基础信息!$F$70:$F$85,1),),INDEX(基础信息!$I$70:$M$85,MATCH($S78,基础信息!$F$70:$F$85,1),))*求节点(基础信息!$F$70:$F$85,基础信息!$G$70:$G$85,$S78),0)</f>
        <v>150819.44628955727</v>
      </c>
      <c r="X78" s="111">
        <f>IFERROR(求节点(基础信息!$F$90:$F$105,基础信息!$G$90:$G$105,$S78),0)*SUMPRODUCT(INDEX($D$5:$H$34,IFERROR(MATCH(求节点(基础信息!$F$90:$F$105,基础信息!$H$90:$H$105,$S78),$C$5:$C$34,1),1),),INDEX(基础信息!$I$90:$M$105,IFERROR(MATCH($S78,基础信息!$F$90:$F$105,1),1),))+IFERROR(SUMPRODUCT(INDEX(门客进修!$AE$85:$AI$100,MATCH($S78,基础信息!$F$90:$F$105,1),),INDEX(基础信息!$N$90:$R$105,MATCH($S78,基础信息!$F$90:$F$105,1),),INDEX(基础信息!$I$90:$M$105,MATCH($S78,基础信息!$F$90:$F$105,1),))*求节点(基础信息!$F$90:$F$105,基础信息!$G$90:$G$105,$S78),0)</f>
        <v>191527.57845542079</v>
      </c>
    </row>
    <row r="79" spans="19:24" x14ac:dyDescent="0.15">
      <c r="S79" s="111">
        <v>75</v>
      </c>
      <c r="T79" s="111">
        <f>IFERROR(求节点(基础信息!$F$10:$F$25,基础信息!$G$10:$G$25,$S79),0)*SUMPRODUCT(INDEX($D$5:$H$34,IFERROR(MATCH(求节点(基础信息!$F$10:$F$25,基础信息!$H$10:$H$25,$S79),$C$5:$C$34,1),1),),INDEX(基础信息!$I$10:$M$25,IFERROR(MATCH($S79,基础信息!$F$10:$F$25,1),1),))+IFERROR(SUMPRODUCT(INDEX(门客进修!$AE$5:$AI$20,MATCH($S79,基础信息!$F$10:$F$25,1),),INDEX(基础信息!$N$10:$R$25,MATCH($S79,基础信息!$F$10:$F$25,1),),INDEX(基础信息!$I$10:$M$25,MATCH($S79,基础信息!$F$10:$F$25,1),))*求节点(基础信息!$F$10:$F$25,基础信息!$G$10:$G$25,$S79),0)</f>
        <v>69243.870439943159</v>
      </c>
      <c r="U79" s="111">
        <f>IFERROR(求节点(基础信息!$F$30:$F$45,基础信息!$G$30:$G$45,$S79),0)*SUMPRODUCT(INDEX($D$5:$H$34,IFERROR(MATCH(求节点(基础信息!$F$30:$F$45,基础信息!$H$30:$H$45,$S79),$C$5:$C$34,1),1),),INDEX(基础信息!$I$30:$M$45,IFERROR(MATCH($S79,基础信息!$F$30:$F$45,1),1),))+IFERROR(SUMPRODUCT(INDEX(门客进修!$AE$25:$AI$40,MATCH($S79,基础信息!$F$30:$F$45,1),),INDEX(基础信息!$N$30:$R$45,MATCH($S79,基础信息!$F$30:$F$45,1),),INDEX(基础信息!$I$30:$M$45,MATCH($S79,基础信息!$F$30:$F$45,1),))*求节点(基础信息!$F$30:$F$45,基础信息!$G$30:$G$45,$S79),0)</f>
        <v>92644.392160743722</v>
      </c>
      <c r="V79" s="111">
        <f>IFERROR(求节点(基础信息!$F$50:$F$65,基础信息!$G$50:$G$65,$S79),0)*SUMPRODUCT(INDEX($D$5:$H$34,IFERROR(MATCH(求节点(基础信息!$F$50:$F$65,基础信息!$H$50:$H$65,$S79),$C$5:$C$34,1),1),),INDEX(基础信息!$I$50:$M$65,IFERROR(MATCH($S79,基础信息!$F$50:$F$65,1),1),))+IFERROR(SUMPRODUCT(INDEX(门客进修!$AE$45:$AI$60,MATCH($S79,基础信息!$F$50:$F$65,1),),INDEX(基础信息!$N$50:$R$65,MATCH($S79,基础信息!$F$50:$F$65,1),),INDEX(基础信息!$I$50:$M$65,MATCH($S79,基础信息!$F$50:$F$65,1),))*求节点(基础信息!$F$50:$F$65,基础信息!$G$50:$G$65,$S79),0)</f>
        <v>110368.69549660906</v>
      </c>
      <c r="W79" s="111">
        <f>IFERROR(求节点(基础信息!$F$70:$F$85,基础信息!$G$70:$G$85,$S79),0)*SUMPRODUCT(INDEX($D$5:$H$34,IFERROR(MATCH(求节点(基础信息!$F$70:$F$85,基础信息!$H$70:$H$85,$S79),$C$5:$C$34,1),1),),INDEX(基础信息!$I$70:$M$85,IFERROR(MATCH($S79,基础信息!$F$70:$F$85,1),1),))+IFERROR(SUMPRODUCT(INDEX(门客进修!$AE$65:$AI$80,MATCH($S79,基础信息!$F$70:$F$85,1),),INDEX(基础信息!$N$70:$R$85,MATCH($S79,基础信息!$F$70:$F$85,1),),INDEX(基础信息!$I$70:$M$85,MATCH($S79,基础信息!$F$70:$F$85,1),))*求节点(基础信息!$F$70:$F$85,基础信息!$G$70:$G$85,$S79),0)</f>
        <v>185239.72569033655</v>
      </c>
      <c r="X79" s="111">
        <f>IFERROR(求节点(基础信息!$F$90:$F$105,基础信息!$G$90:$G$105,$S79),0)*SUMPRODUCT(INDEX($D$5:$H$34,IFERROR(MATCH(求节点(基础信息!$F$90:$F$105,基础信息!$H$90:$H$105,$S79),$C$5:$C$34,1),1),),INDEX(基础信息!$I$90:$M$105,IFERROR(MATCH($S79,基础信息!$F$90:$F$105,1),1),))+IFERROR(SUMPRODUCT(INDEX(门客进修!$AE$85:$AI$100,MATCH($S79,基础信息!$F$90:$F$105,1),),INDEX(基础信息!$N$90:$R$105,MATCH($S79,基础信息!$F$90:$F$105,1),),INDEX(基础信息!$I$90:$M$105,MATCH($S79,基础信息!$F$90:$F$105,1),))*求节点(基础信息!$F$90:$F$105,基础信息!$G$90:$G$105,$S79),0)</f>
        <v>194270.92893157556</v>
      </c>
    </row>
    <row r="80" spans="19:24" x14ac:dyDescent="0.15">
      <c r="S80" s="111">
        <v>76</v>
      </c>
      <c r="T80" s="111">
        <f>IFERROR(求节点(基础信息!$F$10:$F$25,基础信息!$G$10:$G$25,$S80),0)*SUMPRODUCT(INDEX($D$5:$H$34,IFERROR(MATCH(求节点(基础信息!$F$10:$F$25,基础信息!$H$10:$H$25,$S80),$C$5:$C$34,1),1),),INDEX(基础信息!$I$10:$M$25,IFERROR(MATCH($S80,基础信息!$F$10:$F$25,1),1),))+IFERROR(SUMPRODUCT(INDEX(门客进修!$AE$5:$AI$20,MATCH($S80,基础信息!$F$10:$F$25,1),),INDEX(基础信息!$N$10:$R$25,MATCH($S80,基础信息!$F$10:$F$25,1),),INDEX(基础信息!$I$10:$M$25,MATCH($S80,基础信息!$F$10:$F$25,1),))*求节点(基础信息!$F$10:$F$25,基础信息!$G$10:$G$25,$S80),0)</f>
        <v>72438.626749007046</v>
      </c>
      <c r="U80" s="111">
        <f>IFERROR(求节点(基础信息!$F$30:$F$45,基础信息!$G$30:$G$45,$S80),0)*SUMPRODUCT(INDEX($D$5:$H$34,IFERROR(MATCH(求节点(基础信息!$F$30:$F$45,基础信息!$H$30:$H$45,$S80),$C$5:$C$34,1),1),),INDEX(基础信息!$I$30:$M$45,IFERROR(MATCH($S80,基础信息!$F$30:$F$45,1),1),))+IFERROR(SUMPRODUCT(INDEX(门客进修!$AE$25:$AI$40,MATCH($S80,基础信息!$F$30:$F$45,1),),INDEX(基础信息!$N$30:$R$45,MATCH($S80,基础信息!$F$30:$F$45,1),),INDEX(基础信息!$I$30:$M$45,MATCH($S80,基础信息!$F$30:$F$45,1),))*求节点(基础信息!$F$30:$F$45,基础信息!$G$30:$G$45,$S80),0)</f>
        <v>94045.099327566189</v>
      </c>
      <c r="V80" s="111">
        <f>IFERROR(求节点(基础信息!$F$50:$F$65,基础信息!$G$50:$G$65,$S80),0)*SUMPRODUCT(INDEX($D$5:$H$34,IFERROR(MATCH(求节点(基础信息!$F$50:$F$65,基础信息!$H$50:$H$65,$S80),$C$5:$C$34,1),1),),INDEX(基础信息!$I$50:$M$65,IFERROR(MATCH($S80,基础信息!$F$50:$F$65,1),1),))+IFERROR(SUMPRODUCT(INDEX(门客进修!$AE$45:$AI$60,MATCH($S80,基础信息!$F$50:$F$65,1),),INDEX(基础信息!$N$50:$R$65,MATCH($S80,基础信息!$F$50:$F$65,1),),INDEX(基础信息!$I$50:$M$65,MATCH($S80,基础信息!$F$50:$F$65,1),))*求节点(基础信息!$F$50:$F$65,基础信息!$G$50:$G$65,$S80),0)</f>
        <v>132233.44571569641</v>
      </c>
      <c r="W80" s="111">
        <f>IFERROR(求节点(基础信息!$F$70:$F$85,基础信息!$G$70:$G$85,$S80),0)*SUMPRODUCT(INDEX($D$5:$H$34,IFERROR(MATCH(求节点(基础信息!$F$70:$F$85,基础信息!$H$70:$H$85,$S80),$C$5:$C$34,1),1),),INDEX(基础信息!$I$70:$M$85,IFERROR(MATCH($S80,基础信息!$F$70:$F$85,1),1),))+IFERROR(SUMPRODUCT(INDEX(门客进修!$AE$65:$AI$80,MATCH($S80,基础信息!$F$70:$F$85,1),),INDEX(基础信息!$N$70:$R$85,MATCH($S80,基础信息!$F$70:$F$85,1),),INDEX(基础信息!$I$70:$M$85,MATCH($S80,基础信息!$F$70:$F$85,1),))*求节点(基础信息!$F$70:$F$85,基础信息!$G$70:$G$85,$S80),0)</f>
        <v>187914.15280709113</v>
      </c>
      <c r="X80" s="111">
        <f>IFERROR(求节点(基础信息!$F$90:$F$105,基础信息!$G$90:$G$105,$S80),0)*SUMPRODUCT(INDEX($D$5:$H$34,IFERROR(MATCH(求节点(基础信息!$F$90:$F$105,基础信息!$H$90:$H$105,$S80),$C$5:$C$34,1),1),),INDEX(基础信息!$I$90:$M$105,IFERROR(MATCH($S80,基础信息!$F$90:$F$105,1),1),))+IFERROR(SUMPRODUCT(INDEX(门客进修!$AE$85:$AI$100,MATCH($S80,基础信息!$F$90:$F$105,1),),INDEX(基础信息!$N$90:$R$105,MATCH($S80,基础信息!$F$90:$F$105,1),),INDEX(基础信息!$I$90:$M$105,MATCH($S80,基础信息!$F$90:$F$105,1),))*求节点(基础信息!$F$90:$F$105,基础信息!$G$90:$G$105,$S80),0)</f>
        <v>202226.29738147979</v>
      </c>
    </row>
    <row r="81" spans="19:24" x14ac:dyDescent="0.15">
      <c r="S81" s="111">
        <v>77</v>
      </c>
      <c r="T81" s="111">
        <f>IFERROR(求节点(基础信息!$F$10:$F$25,基础信息!$G$10:$G$25,$S81),0)*SUMPRODUCT(INDEX($D$5:$H$34,IFERROR(MATCH(求节点(基础信息!$F$10:$F$25,基础信息!$H$10:$H$25,$S81),$C$5:$C$34,1),1),),INDEX(基础信息!$I$10:$M$25,IFERROR(MATCH($S81,基础信息!$F$10:$F$25,1),1),))+IFERROR(SUMPRODUCT(INDEX(门客进修!$AE$5:$AI$20,MATCH($S81,基础信息!$F$10:$F$25,1),),INDEX(基础信息!$N$10:$R$25,MATCH($S81,基础信息!$F$10:$F$25,1),),INDEX(基础信息!$I$10:$M$25,MATCH($S81,基础信息!$F$10:$F$25,1),))*求节点(基础信息!$F$10:$F$25,基础信息!$G$10:$G$25,$S81),0)</f>
        <v>73537.970197439907</v>
      </c>
      <c r="U81" s="111">
        <f>IFERROR(求节点(基础信息!$F$30:$F$45,基础信息!$G$30:$G$45,$S81),0)*SUMPRODUCT(INDEX($D$5:$H$34,IFERROR(MATCH(求节点(基础信息!$F$30:$F$45,基础信息!$H$30:$H$45,$S81),$C$5:$C$34,1),1),),INDEX(基础信息!$I$30:$M$45,IFERROR(MATCH($S81,基础信息!$F$30:$F$45,1),1),))+IFERROR(SUMPRODUCT(INDEX(门客进修!$AE$25:$AI$40,MATCH($S81,基础信息!$F$30:$F$45,1),),INDEX(基础信息!$N$30:$R$45,MATCH($S81,基础信息!$F$30:$F$45,1),),INDEX(基础信息!$I$30:$M$45,MATCH($S81,基础信息!$F$30:$F$45,1),))*求节点(基础信息!$F$30:$F$45,基础信息!$G$30:$G$45,$S81),0)</f>
        <v>95445.806494388657</v>
      </c>
      <c r="V81" s="111">
        <f>IFERROR(求节点(基础信息!$F$50:$F$65,基础信息!$G$50:$G$65,$S81),0)*SUMPRODUCT(INDEX($D$5:$H$34,IFERROR(MATCH(求节点(基础信息!$F$50:$F$65,基础信息!$H$50:$H$65,$S81),$C$5:$C$34,1),1),),INDEX(基础信息!$I$50:$M$65,IFERROR(MATCH($S81,基础信息!$F$50:$F$65,1),1),))+IFERROR(SUMPRODUCT(INDEX(门客进修!$AE$45:$AI$60,MATCH($S81,基础信息!$F$50:$F$65,1),),INDEX(基础信息!$N$50:$R$65,MATCH($S81,基础信息!$F$50:$F$65,1),),INDEX(基础信息!$I$50:$M$65,MATCH($S81,基础信息!$F$50:$F$65,1),))*求节点(基础信息!$F$50:$F$65,基础信息!$G$50:$G$65,$S81),0)</f>
        <v>134159.32166445587</v>
      </c>
      <c r="W81" s="111">
        <f>IFERROR(求节点(基础信息!$F$70:$F$85,基础信息!$G$70:$G$85,$S81),0)*SUMPRODUCT(INDEX($D$5:$H$34,IFERROR(MATCH(求节点(基础信息!$F$70:$F$85,基础信息!$H$70:$H$85,$S81),$C$5:$C$34,1),1),),INDEX(基础信息!$I$70:$M$85,IFERROR(MATCH($S81,基础信息!$F$70:$F$85,1),1),))+IFERROR(SUMPRODUCT(INDEX(门客进修!$AE$65:$AI$80,MATCH($S81,基础信息!$F$70:$F$85,1),),INDEX(基础信息!$N$70:$R$85,MATCH($S81,基础信息!$F$70:$F$85,1),),INDEX(基础信息!$I$70:$M$85,MATCH($S81,基础信息!$F$70:$F$85,1),))*求节点(基础信息!$F$70:$F$85,基础信息!$G$70:$G$85,$S81),0)</f>
        <v>190588.57992384571</v>
      </c>
      <c r="X81" s="111">
        <f>IFERROR(求节点(基础信息!$F$90:$F$105,基础信息!$G$90:$G$105,$S81),0)*SUMPRODUCT(INDEX($D$5:$H$34,IFERROR(MATCH(求节点(基础信息!$F$90:$F$105,基础信息!$H$90:$H$105,$S81),$C$5:$C$34,1),1),),INDEX(基础信息!$I$90:$M$105,IFERROR(MATCH($S81,基础信息!$F$90:$F$105,1),1),))+IFERROR(SUMPRODUCT(INDEX(门客进修!$AE$85:$AI$100,MATCH($S81,基础信息!$F$90:$F$105,1),),INDEX(基础信息!$N$90:$R$105,MATCH($S81,基础信息!$F$90:$F$105,1),),INDEX(基础信息!$I$90:$M$105,MATCH($S81,基础信息!$F$90:$F$105,1),))*求节点(基础信息!$F$90:$F$105,基础信息!$G$90:$G$105,$S81),0)</f>
        <v>205042.22326705663</v>
      </c>
    </row>
    <row r="82" spans="19:24" x14ac:dyDescent="0.15">
      <c r="S82" s="111">
        <v>78</v>
      </c>
      <c r="T82" s="111">
        <f>IFERROR(求节点(基础信息!$F$10:$F$25,基础信息!$G$10:$G$25,$S82),0)*SUMPRODUCT(INDEX($D$5:$H$34,IFERROR(MATCH(求节点(基础信息!$F$10:$F$25,基础信息!$H$10:$H$25,$S82),$C$5:$C$34,1),1),),INDEX(基础信息!$I$10:$M$25,IFERROR(MATCH($S82,基础信息!$F$10:$F$25,1),1),))+IFERROR(SUMPRODUCT(INDEX(门客进修!$AE$5:$AI$20,MATCH($S82,基础信息!$F$10:$F$25,1),),INDEX(基础信息!$N$10:$R$25,MATCH($S82,基础信息!$F$10:$F$25,1),),INDEX(基础信息!$I$10:$M$25,MATCH($S82,基础信息!$F$10:$F$25,1),))*求节点(基础信息!$F$10:$F$25,基础信息!$G$10:$G$25,$S82),0)</f>
        <v>74637.313645872768</v>
      </c>
      <c r="U82" s="111">
        <f>IFERROR(求节点(基础信息!$F$30:$F$45,基础信息!$G$30:$G$45,$S82),0)*SUMPRODUCT(INDEX($D$5:$H$34,IFERROR(MATCH(求节点(基础信息!$F$30:$F$45,基础信息!$H$30:$H$45,$S82),$C$5:$C$34,1),1),),INDEX(基础信息!$I$30:$M$45,IFERROR(MATCH($S82,基础信息!$F$30:$F$45,1),1),))+IFERROR(SUMPRODUCT(INDEX(门客进修!$AE$25:$AI$40,MATCH($S82,基础信息!$F$30:$F$45,1),),INDEX(基础信息!$N$30:$R$45,MATCH($S82,基础信息!$F$30:$F$45,1),),INDEX(基础信息!$I$30:$M$45,MATCH($S82,基础信息!$F$30:$F$45,1),))*求节点(基础信息!$F$30:$F$45,基础信息!$G$30:$G$45,$S82),0)</f>
        <v>116700.06343145842</v>
      </c>
      <c r="V82" s="111">
        <f>IFERROR(求节点(基础信息!$F$50:$F$65,基础信息!$G$50:$G$65,$S82),0)*SUMPRODUCT(INDEX($D$5:$H$34,IFERROR(MATCH(求节点(基础信息!$F$50:$F$65,基础信息!$H$50:$H$65,$S82),$C$5:$C$34,1),1),),INDEX(基础信息!$I$50:$M$65,IFERROR(MATCH($S82,基础信息!$F$50:$F$65,1),1),))+IFERROR(SUMPRODUCT(INDEX(门客进修!$AE$45:$AI$60,MATCH($S82,基础信息!$F$50:$F$65,1),),INDEX(基础信息!$N$50:$R$65,MATCH($S82,基础信息!$F$50:$F$65,1),),INDEX(基础信息!$I$50:$M$65,MATCH($S82,基础信息!$F$50:$F$65,1),))*求节点(基础信息!$F$50:$F$65,基础信息!$G$50:$G$65,$S82),0)</f>
        <v>136085.19761321536</v>
      </c>
      <c r="W82" s="111">
        <f>IFERROR(求节点(基础信息!$F$70:$F$85,基础信息!$G$70:$G$85,$S82),0)*SUMPRODUCT(INDEX($D$5:$H$34,IFERROR(MATCH(求节点(基础信息!$F$70:$F$85,基础信息!$H$70:$H$85,$S82),$C$5:$C$34,1),1),),INDEX(基础信息!$I$70:$M$85,IFERROR(MATCH($S82,基础信息!$F$70:$F$85,1),1),))+IFERROR(SUMPRODUCT(INDEX(门客进修!$AE$65:$AI$80,MATCH($S82,基础信息!$F$70:$F$85,1),),INDEX(基础信息!$N$70:$R$85,MATCH($S82,基础信息!$F$70:$F$85,1),),INDEX(基础信息!$I$70:$M$85,MATCH($S82,基础信息!$F$70:$F$85,1),))*求节点(基础信息!$F$70:$F$85,基础信息!$G$70:$G$85,$S82),0)</f>
        <v>198304.65070252898</v>
      </c>
      <c r="X82" s="111">
        <f>IFERROR(求节点(基础信息!$F$90:$F$105,基础信息!$G$90:$G$105,$S82),0)*SUMPRODUCT(INDEX($D$5:$H$34,IFERROR(MATCH(求节点(基础信息!$F$90:$F$105,基础信息!$H$90:$H$105,$S82),$C$5:$C$34,1),1),),INDEX(基础信息!$I$90:$M$105,IFERROR(MATCH($S82,基础信息!$F$90:$F$105,1),1),))+IFERROR(SUMPRODUCT(INDEX(门客进修!$AE$85:$AI$100,MATCH($S82,基础信息!$F$90:$F$105,1),),INDEX(基础信息!$N$90:$R$105,MATCH($S82,基础信息!$F$90:$F$105,1),),INDEX(基础信息!$I$90:$M$105,MATCH($S82,基础信息!$F$90:$F$105,1),))*求节点(基础信息!$F$90:$F$105,基础信息!$G$90:$G$105,$S82),0)</f>
        <v>207858.14915263341</v>
      </c>
    </row>
    <row r="83" spans="19:24" x14ac:dyDescent="0.15">
      <c r="S83" s="111">
        <v>79</v>
      </c>
      <c r="T83" s="111">
        <f>IFERROR(求节点(基础信息!$F$10:$F$25,基础信息!$G$10:$G$25,$S83),0)*SUMPRODUCT(INDEX($D$5:$H$34,IFERROR(MATCH(求节点(基础信息!$F$10:$F$25,基础信息!$H$10:$H$25,$S83),$C$5:$C$34,1),1),),INDEX(基础信息!$I$10:$M$25,IFERROR(MATCH($S83,基础信息!$F$10:$F$25,1),1),))+IFERROR(SUMPRODUCT(INDEX(门客进修!$AE$5:$AI$20,MATCH($S83,基础信息!$F$10:$F$25,1),),INDEX(基础信息!$N$10:$R$25,MATCH($S83,基础信息!$F$10:$F$25,1),),INDEX(基础信息!$I$10:$M$25,MATCH($S83,基础信息!$F$10:$F$25,1),))*求节点(基础信息!$F$10:$F$25,基础信息!$G$10:$G$25,$S83),0)</f>
        <v>99500.20631231794</v>
      </c>
      <c r="U83" s="111">
        <f>IFERROR(求节点(基础信息!$F$30:$F$45,基础信息!$G$30:$G$45,$S83),0)*SUMPRODUCT(INDEX($D$5:$H$34,IFERROR(MATCH(求节点(基础信息!$F$30:$F$45,基础信息!$H$30:$H$45,$S83),$C$5:$C$34,1),1),),INDEX(基础信息!$I$30:$M$45,IFERROR(MATCH($S83,基础信息!$F$30:$F$45,1),1),))+IFERROR(SUMPRODUCT(INDEX(门客进修!$AE$25:$AI$40,MATCH($S83,基础信息!$F$30:$F$45,1),),INDEX(基础信息!$N$30:$R$45,MATCH($S83,基础信息!$F$30:$F$45,1),),INDEX(基础信息!$I$30:$M$45,MATCH($S83,基础信息!$F$30:$F$45,1),))*求节点(基础信息!$F$30:$F$45,基础信息!$G$30:$G$45,$S83),0)</f>
        <v>118385.68442745347</v>
      </c>
      <c r="V83" s="111">
        <f>IFERROR(求节点(基础信息!$F$50:$F$65,基础信息!$G$50:$G$65,$S83),0)*SUMPRODUCT(INDEX($D$5:$H$34,IFERROR(MATCH(求节点(基础信息!$F$50:$F$65,基础信息!$H$50:$H$65,$S83),$C$5:$C$34,1),1),),INDEX(基础信息!$I$50:$M$65,IFERROR(MATCH($S83,基础信息!$F$50:$F$65,1),1),))+IFERROR(SUMPRODUCT(INDEX(门客进修!$AE$45:$AI$60,MATCH($S83,基础信息!$F$50:$F$65,1),),INDEX(基础信息!$N$50:$R$65,MATCH($S83,基础信息!$F$50:$F$65,1),),INDEX(基础信息!$I$50:$M$65,MATCH($S83,基础信息!$F$50:$F$65,1),))*求节点(基础信息!$F$50:$F$65,基础信息!$G$50:$G$65,$S83),0)</f>
        <v>142193.22730627708</v>
      </c>
      <c r="W83" s="111">
        <f>IFERROR(求节点(基础信息!$F$70:$F$85,基础信息!$G$70:$G$85,$S83),0)*SUMPRODUCT(INDEX($D$5:$H$34,IFERROR(MATCH(求节点(基础信息!$F$70:$F$85,基础信息!$H$70:$H$85,$S83),$C$5:$C$34,1),1),),INDEX(基础信息!$I$70:$M$85,IFERROR(MATCH($S83,基础信息!$F$70:$F$85,1),1),))+IFERROR(SUMPRODUCT(INDEX(门客进修!$AE$65:$AI$80,MATCH($S83,基础信息!$F$70:$F$85,1),),INDEX(基础信息!$N$70:$R$85,MATCH($S83,基础信息!$F$70:$F$85,1),),INDEX(基础信息!$I$70:$M$85,MATCH($S83,基础信息!$F$70:$F$85,1),))*求节点(基础信息!$F$70:$F$85,基础信息!$G$70:$G$85,$S83),0)</f>
        <v>201048.84548319891</v>
      </c>
      <c r="X83" s="111">
        <f>IFERROR(求节点(基础信息!$F$90:$F$105,基础信息!$G$90:$G$105,$S83),0)*SUMPRODUCT(INDEX($D$5:$H$34,IFERROR(MATCH(求节点(基础信息!$F$90:$F$105,基础信息!$H$90:$H$105,$S83),$C$5:$C$34,1),1),),INDEX(基础信息!$I$90:$M$105,IFERROR(MATCH($S83,基础信息!$F$90:$F$105,1),1),))+IFERROR(SUMPRODUCT(INDEX(门客进修!$AE$85:$AI$100,MATCH($S83,基础信息!$F$90:$F$105,1),),INDEX(基础信息!$N$90:$R$105,MATCH($S83,基础信息!$F$90:$F$105,1),),INDEX(基础信息!$I$90:$M$105,MATCH($S83,基础信息!$F$90:$F$105,1),))*求节点(基础信息!$F$90:$F$105,基础信息!$G$90:$G$105,$S83),0)</f>
        <v>216103.81924022594</v>
      </c>
    </row>
    <row r="84" spans="19:24" x14ac:dyDescent="0.15">
      <c r="S84" s="111">
        <v>80</v>
      </c>
      <c r="T84" s="111">
        <f>IFERROR(求节点(基础信息!$F$10:$F$25,基础信息!$G$10:$G$25,$S84),0)*SUMPRODUCT(INDEX($D$5:$H$34,IFERROR(MATCH(求节点(基础信息!$F$10:$F$25,基础信息!$H$10:$H$25,$S84),$C$5:$C$34,1),1),),INDEX(基础信息!$I$10:$M$25,IFERROR(MATCH($S84,基础信息!$F$10:$F$25,1),1),))+IFERROR(SUMPRODUCT(INDEX(门客进修!$AE$5:$AI$20,MATCH($S84,基础信息!$F$10:$F$25,1),),INDEX(基础信息!$N$10:$R$25,MATCH($S84,基础信息!$F$10:$F$25,1),),INDEX(基础信息!$I$10:$M$25,MATCH($S84,基础信息!$F$10:$F$25,1),))*求节点(基础信息!$F$10:$F$25,基础信息!$G$10:$G$25,$S84),0)</f>
        <v>100945.84588150728</v>
      </c>
      <c r="U84" s="111">
        <f>IFERROR(求节点(基础信息!$F$30:$F$45,基础信息!$G$30:$G$45,$S84),0)*SUMPRODUCT(INDEX($D$5:$H$34,IFERROR(MATCH(求节点(基础信息!$F$30:$F$45,基础信息!$H$30:$H$45,$S84),$C$5:$C$34,1),1),),INDEX(基础信息!$I$30:$M$45,IFERROR(MATCH($S84,基础信息!$F$30:$F$45,1),1),))+IFERROR(SUMPRODUCT(INDEX(门客进修!$AE$25:$AI$40,MATCH($S84,基础信息!$F$30:$F$45,1),),INDEX(基础信息!$N$30:$R$45,MATCH($S84,基础信息!$F$30:$F$45,1),),INDEX(基础信息!$I$30:$M$45,MATCH($S84,基础信息!$F$30:$F$45,1),))*求节点(基础信息!$F$30:$F$45,基础信息!$G$30:$G$45,$S84),0)</f>
        <v>123615.07659046</v>
      </c>
      <c r="V84" s="111">
        <f>IFERROR(求节点(基础信息!$F$50:$F$65,基础信息!$G$50:$G$65,$S84),0)*SUMPRODUCT(INDEX($D$5:$H$34,IFERROR(MATCH(求节点(基础信息!$F$50:$F$65,基础信息!$H$50:$H$65,$S84),$C$5:$C$34,1),1),),INDEX(基础信息!$I$50:$M$65,IFERROR(MATCH($S84,基础信息!$F$50:$F$65,1),1),))+IFERROR(SUMPRODUCT(INDEX(门客进修!$AE$45:$AI$60,MATCH($S84,基础信息!$F$50:$F$65,1),),INDEX(基础信息!$N$50:$R$65,MATCH($S84,基础信息!$F$50:$F$65,1),),INDEX(基础信息!$I$50:$M$65,MATCH($S84,基础信息!$F$50:$F$65,1),))*求节点(基础信息!$F$50:$F$65,基础信息!$G$50:$G$65,$S84),0)</f>
        <v>144177.46313227169</v>
      </c>
      <c r="W84" s="111">
        <f>IFERROR(求节点(基础信息!$F$70:$F$85,基础信息!$G$70:$G$85,$S84),0)*SUMPRODUCT(INDEX($D$5:$H$34,IFERROR(MATCH(求节点(基础信息!$F$70:$F$85,基础信息!$H$70:$H$85,$S84),$C$5:$C$34,1),1),),INDEX(基础信息!$I$70:$M$85,IFERROR(MATCH($S84,基础信息!$F$70:$F$85,1),1),))+IFERROR(SUMPRODUCT(INDEX(门客进修!$AE$65:$AI$80,MATCH($S84,基础信息!$F$70:$F$85,1),),INDEX(基础信息!$N$70:$R$85,MATCH($S84,基础信息!$F$70:$F$85,1),),INDEX(基础信息!$I$70:$M$85,MATCH($S84,基础信息!$F$70:$F$85,1),))*求节点(基础信息!$F$70:$F$85,基础信息!$G$70:$G$85,$S84),0)</f>
        <v>203793.04026386881</v>
      </c>
      <c r="X84" s="111">
        <f>IFERROR(求节点(基础信息!$F$90:$F$105,基础信息!$G$90:$G$105,$S84),0)*SUMPRODUCT(INDEX($D$5:$H$34,IFERROR(MATCH(求节点(基础信息!$F$90:$F$105,基础信息!$H$90:$H$105,$S84),$C$5:$C$34,1),1),),INDEX(基础信息!$I$90:$M$105,IFERROR(MATCH($S84,基础信息!$F$90:$F$105,1),1),))+IFERROR(SUMPRODUCT(INDEX(门客进修!$AE$85:$AI$100,MATCH($S84,基础信息!$F$90:$F$105,1),),INDEX(基础信息!$N$90:$R$105,MATCH($S84,基础信息!$F$90:$F$105,1),),INDEX(基础信息!$I$90:$M$105,MATCH($S84,基础信息!$F$90:$F$105,1),))*求节点(基础信息!$F$90:$F$105,基础信息!$G$90:$G$105,$S84),0)</f>
        <v>218992.32053522483</v>
      </c>
    </row>
    <row r="85" spans="19:24" x14ac:dyDescent="0.15">
      <c r="S85" s="111">
        <v>81</v>
      </c>
      <c r="T85" s="111">
        <f>IFERROR(求节点(基础信息!$F$10:$F$25,基础信息!$G$10:$G$25,$S85),0)*SUMPRODUCT(INDEX($D$5:$H$34,IFERROR(MATCH(求节点(基础信息!$F$10:$F$25,基础信息!$H$10:$H$25,$S85),$C$5:$C$34,1),1),),INDEX(基础信息!$I$10:$M$25,IFERROR(MATCH($S85,基础信息!$F$10:$F$25,1),1),))+IFERROR(SUMPRODUCT(INDEX(门客进修!$AE$5:$AI$20,MATCH($S85,基础信息!$F$10:$F$25,1),),INDEX(基础信息!$N$10:$R$25,MATCH($S85,基础信息!$F$10:$F$25,1),),INDEX(基础信息!$I$10:$M$25,MATCH($S85,基础信息!$F$10:$F$25,1),))*求节点(基础信息!$F$10:$F$25,基础信息!$G$10:$G$25,$S85),0)</f>
        <v>102391.48545069662</v>
      </c>
      <c r="U85" s="111">
        <f>IFERROR(求节点(基础信息!$F$30:$F$45,基础信息!$G$30:$G$45,$S85),0)*SUMPRODUCT(INDEX($D$5:$H$34,IFERROR(MATCH(求节点(基础信息!$F$30:$F$45,基础信息!$H$30:$H$45,$S85),$C$5:$C$34,1),1),),INDEX(基础信息!$I$30:$M$45,IFERROR(MATCH($S85,基础信息!$F$30:$F$45,1),1),))+IFERROR(SUMPRODUCT(INDEX(门客进修!$AE$25:$AI$40,MATCH($S85,基础信息!$F$30:$F$45,1),),INDEX(基础信息!$N$30:$R$45,MATCH($S85,基础信息!$F$30:$F$45,1),),INDEX(基础信息!$I$30:$M$45,MATCH($S85,基础信息!$F$30:$F$45,1),))*求节点(基础信息!$F$30:$F$45,基础信息!$G$30:$G$45,$S85),0)</f>
        <v>125350.44681723963</v>
      </c>
      <c r="V85" s="111">
        <f>IFERROR(求节点(基础信息!$F$50:$F$65,基础信息!$G$50:$G$65,$S85),0)*SUMPRODUCT(INDEX($D$5:$H$34,IFERROR(MATCH(求节点(基础信息!$F$50:$F$65,基础信息!$H$50:$H$65,$S85),$C$5:$C$34,1),1),),INDEX(基础信息!$I$50:$M$65,IFERROR(MATCH($S85,基础信息!$F$50:$F$65,1),1),))+IFERROR(SUMPRODUCT(INDEX(门客进修!$AE$45:$AI$60,MATCH($S85,基础信息!$F$50:$F$65,1),),INDEX(基础信息!$N$50:$R$65,MATCH($S85,基础信息!$F$50:$F$65,1),),INDEX(基础信息!$I$50:$M$65,MATCH($S85,基础信息!$F$50:$F$65,1),))*求节点(基础信息!$F$50:$F$65,基础信息!$G$50:$G$65,$S85),0)</f>
        <v>146161.69895826629</v>
      </c>
      <c r="W85" s="111">
        <f>IFERROR(求节点(基础信息!$F$70:$F$85,基础信息!$G$70:$G$85,$S85),0)*SUMPRODUCT(INDEX($D$5:$H$34,IFERROR(MATCH(求节点(基础信息!$F$70:$F$85,基础信息!$H$70:$H$85,$S85),$C$5:$C$34,1),1),),INDEX(基础信息!$I$70:$M$85,IFERROR(MATCH($S85,基础信息!$F$70:$F$85,1),1),))+IFERROR(SUMPRODUCT(INDEX(门客进修!$AE$65:$AI$80,MATCH($S85,基础信息!$F$70:$F$85,1),),INDEX(基础信息!$N$70:$R$85,MATCH($S85,基础信息!$F$70:$F$85,1),),INDEX(基础信息!$I$70:$M$85,MATCH($S85,基础信息!$F$70:$F$85,1),))*求节点(基础信息!$F$70:$F$85,基础信息!$G$70:$G$85,$S85),0)</f>
        <v>211788.18169821345</v>
      </c>
      <c r="X85" s="111">
        <f>IFERROR(求节点(基础信息!$F$90:$F$105,基础信息!$G$90:$G$105,$S85),0)*SUMPRODUCT(INDEX($D$5:$H$34,IFERROR(MATCH(求节点(基础信息!$F$90:$F$105,基础信息!$H$90:$H$105,$S85),$C$5:$C$34,1),1),),INDEX(基础信息!$I$90:$M$105,IFERROR(MATCH($S85,基础信息!$F$90:$F$105,1),1),))+IFERROR(SUMPRODUCT(INDEX(门客进修!$AE$85:$AI$100,MATCH($S85,基础信息!$F$90:$F$105,1),),INDEX(基础信息!$N$90:$R$105,MATCH($S85,基础信息!$F$90:$F$105,1),),INDEX(基础信息!$I$90:$M$105,MATCH($S85,基础信息!$F$90:$F$105,1),))*求节点(基础信息!$F$90:$F$105,基础信息!$G$90:$G$105,$S85),0)</f>
        <v>221880.82183022378</v>
      </c>
    </row>
    <row r="86" spans="19:24" x14ac:dyDescent="0.15">
      <c r="S86" s="111">
        <v>82</v>
      </c>
      <c r="T86" s="111">
        <f>IFERROR(求节点(基础信息!$F$10:$F$25,基础信息!$G$10:$G$25,$S86),0)*SUMPRODUCT(INDEX($D$5:$H$34,IFERROR(MATCH(求节点(基础信息!$F$10:$F$25,基础信息!$H$10:$H$25,$S86),$C$5:$C$34,1),1),),INDEX(基础信息!$I$10:$M$25,IFERROR(MATCH($S86,基础信息!$F$10:$F$25,1),1),))+IFERROR(SUMPRODUCT(INDEX(门客进修!$AE$5:$AI$20,MATCH($S86,基础信息!$F$10:$F$25,1),),INDEX(基础信息!$N$10:$R$25,MATCH($S86,基础信息!$F$10:$F$25,1),),INDEX(基础信息!$I$10:$M$25,MATCH($S86,基础信息!$F$10:$F$25,1),))*求节点(基础信息!$F$10:$F$25,基础信息!$G$10:$G$25,$S86),0)</f>
        <v>106791.83995947619</v>
      </c>
      <c r="U86" s="111">
        <f>IFERROR(求节点(基础信息!$F$30:$F$45,基础信息!$G$30:$G$45,$S86),0)*SUMPRODUCT(INDEX($D$5:$H$34,IFERROR(MATCH(求节点(基础信息!$F$30:$F$45,基础信息!$H$30:$H$45,$S86),$C$5:$C$34,1),1),),INDEX(基础信息!$I$30:$M$45,IFERROR(MATCH($S86,基础信息!$F$30:$F$45,1),1),))+IFERROR(SUMPRODUCT(INDEX(门客进修!$AE$25:$AI$40,MATCH($S86,基础信息!$F$30:$F$45,1),),INDEX(基础信息!$N$30:$R$45,MATCH($S86,基础信息!$F$30:$F$45,1),),INDEX(基础信息!$I$30:$M$45,MATCH($S86,基础信息!$F$30:$F$45,1),))*求节点(基础信息!$F$30:$F$45,基础信息!$G$30:$G$45,$S86),0)</f>
        <v>127085.81704401925</v>
      </c>
      <c r="V86" s="111">
        <f>IFERROR(求节点(基础信息!$F$50:$F$65,基础信息!$G$50:$G$65,$S86),0)*SUMPRODUCT(INDEX($D$5:$H$34,IFERROR(MATCH(求节点(基础信息!$F$50:$F$65,基础信息!$H$50:$H$65,$S86),$C$5:$C$34,1),1),),INDEX(基础信息!$I$50:$M$65,IFERROR(MATCH($S86,基础信息!$F$50:$F$65,1),1),))+IFERROR(SUMPRODUCT(INDEX(门客进修!$AE$45:$AI$60,MATCH($S86,基础信息!$F$50:$F$65,1),),INDEX(基础信息!$N$50:$R$65,MATCH($S86,基础信息!$F$50:$F$65,1),),INDEX(基础信息!$I$50:$M$65,MATCH($S86,基础信息!$F$50:$F$65,1),))*求节点(基础信息!$F$50:$F$65,基础信息!$G$50:$G$65,$S86),0)</f>
        <v>152503.16816026857</v>
      </c>
      <c r="W86" s="111">
        <f>IFERROR(求节点(基础信息!$F$70:$F$85,基础信息!$G$70:$G$85,$S86),0)*SUMPRODUCT(INDEX($D$5:$H$34,IFERROR(MATCH(求节点(基础信息!$F$70:$F$85,基础信息!$H$70:$H$85,$S86),$C$5:$C$34,1),1),),INDEX(基础信息!$I$70:$M$85,IFERROR(MATCH($S86,基础信息!$F$70:$F$85,1),1),))+IFERROR(SUMPRODUCT(INDEX(门客进修!$AE$65:$AI$80,MATCH($S86,基础信息!$F$70:$F$85,1),),INDEX(基础信息!$N$70:$R$85,MATCH($S86,基础信息!$F$70:$F$85,1),),INDEX(基础信息!$I$70:$M$85,MATCH($S86,基础信息!$F$70:$F$85,1),))*求节点(基础信息!$F$70:$F$85,基础信息!$G$70:$G$85,$S86),0)</f>
        <v>214602.14414279867</v>
      </c>
      <c r="X86" s="111">
        <f>IFERROR(求节点(基础信息!$F$90:$F$105,基础信息!$G$90:$G$105,$S86),0)*SUMPRODUCT(INDEX($D$5:$H$34,IFERROR(MATCH(求节点(基础信息!$F$90:$F$105,基础信息!$H$90:$H$105,$S86),$C$5:$C$34,1),1),),INDEX(基础信息!$I$90:$M$105,IFERROR(MATCH($S86,基础信息!$F$90:$F$105,1),1),))+IFERROR(SUMPRODUCT(INDEX(门客进修!$AE$85:$AI$100,MATCH($S86,基础信息!$F$90:$F$105,1),),INDEX(基础信息!$N$90:$R$105,MATCH($S86,基础信息!$F$90:$F$105,1),),INDEX(基础信息!$I$90:$M$105,MATCH($S86,基础信息!$F$90:$F$105,1),))*求节点(基础信息!$F$90:$F$105,基础信息!$G$90:$G$105,$S86),0)</f>
        <v>261868.35923525164</v>
      </c>
    </row>
    <row r="87" spans="19:24" x14ac:dyDescent="0.15">
      <c r="S87" s="111">
        <v>83</v>
      </c>
      <c r="T87" s="111">
        <f>IFERROR(求节点(基础信息!$F$10:$F$25,基础信息!$G$10:$G$25,$S87),0)*SUMPRODUCT(INDEX($D$5:$H$34,IFERROR(MATCH(求节点(基础信息!$F$10:$F$25,基础信息!$H$10:$H$25,$S87),$C$5:$C$34,1),1),),INDEX(基础信息!$I$10:$M$25,IFERROR(MATCH($S87,基础信息!$F$10:$F$25,1),1),))+IFERROR(SUMPRODUCT(INDEX(门客进修!$AE$5:$AI$20,MATCH($S87,基础信息!$F$10:$F$25,1),),INDEX(基础信息!$N$10:$R$25,MATCH($S87,基础信息!$F$10:$F$25,1),),INDEX(基础信息!$I$10:$M$25,MATCH($S87,基础信息!$F$10:$F$25,1),))*求节点(基础信息!$F$10:$F$25,基础信息!$G$10:$G$25,$S87),0)</f>
        <v>108278.61561396768</v>
      </c>
      <c r="U87" s="111">
        <f>IFERROR(求节点(基础信息!$F$30:$F$45,基础信息!$G$30:$G$45,$S87),0)*SUMPRODUCT(INDEX($D$5:$H$34,IFERROR(MATCH(求节点(基础信息!$F$30:$F$45,基础信息!$H$30:$H$45,$S87),$C$5:$C$34,1),1),),INDEX(基础信息!$I$30:$M$45,IFERROR(MATCH($S87,基础信息!$F$30:$F$45,1),1),))+IFERROR(SUMPRODUCT(INDEX(门客进修!$AE$25:$AI$40,MATCH($S87,基础信息!$F$30:$F$45,1),),INDEX(基础信息!$N$30:$R$45,MATCH($S87,基础信息!$F$30:$F$45,1),),INDEX(基础信息!$I$30:$M$45,MATCH($S87,基础信息!$F$30:$F$45,1),))*求节点(基础信息!$F$30:$F$45,基础信息!$G$30:$G$45,$S87),0)</f>
        <v>132514.20613016406</v>
      </c>
      <c r="V87" s="111">
        <f>IFERROR(求节点(基础信息!$F$50:$F$65,基础信息!$G$50:$G$65,$S87),0)*SUMPRODUCT(INDEX($D$5:$H$34,IFERROR(MATCH(求节点(基础信息!$F$50:$F$65,基础信息!$H$50:$H$65,$S87),$C$5:$C$34,1),1),),INDEX(基础信息!$I$50:$M$65,IFERROR(MATCH($S87,基础信息!$F$50:$F$65,1),1),))+IFERROR(SUMPRODUCT(INDEX(门客进修!$AE$45:$AI$60,MATCH($S87,基础信息!$F$50:$F$65,1),),INDEX(基础信息!$N$50:$R$65,MATCH($S87,基础信息!$F$50:$F$65,1),),INDEX(基础信息!$I$50:$M$65,MATCH($S87,基础信息!$F$50:$F$65,1),))*求节点(基础信息!$F$50:$F$65,基础信息!$G$50:$G$65,$S87),0)</f>
        <v>154545.76386349832</v>
      </c>
      <c r="W87" s="111">
        <f>IFERROR(求节点(基础信息!$F$70:$F$85,基础信息!$G$70:$G$85,$S87),0)*SUMPRODUCT(INDEX($D$5:$H$34,IFERROR(MATCH(求节点(基础信息!$F$70:$F$85,基础信息!$H$70:$H$85,$S87),$C$5:$C$34,1),1),),INDEX(基础信息!$I$70:$M$85,IFERROR(MATCH($S87,基础信息!$F$70:$F$85,1),1),))+IFERROR(SUMPRODUCT(INDEX(门客进修!$AE$65:$AI$80,MATCH($S87,基础信息!$F$70:$F$85,1),),INDEX(基础信息!$N$70:$R$85,MATCH($S87,基础信息!$F$70:$F$85,1),),INDEX(基础信息!$I$70:$M$85,MATCH($S87,基础信息!$F$70:$F$85,1),))*求节点(基础信息!$F$70:$F$85,基础信息!$G$70:$G$85,$S87),0)</f>
        <v>217416.10658738395</v>
      </c>
      <c r="X87" s="111">
        <f>IFERROR(求节点(基础信息!$F$90:$F$105,基础信息!$G$90:$G$105,$S87),0)*SUMPRODUCT(INDEX($D$5:$H$34,IFERROR(MATCH(求节点(基础信息!$F$90:$F$105,基础信息!$H$90:$H$105,$S87),$C$5:$C$34,1),1),),INDEX(基础信息!$I$90:$M$105,IFERROR(MATCH($S87,基础信息!$F$90:$F$105,1),1),))+IFERROR(SUMPRODUCT(INDEX(门客进修!$AE$85:$AI$100,MATCH($S87,基础信息!$F$90:$F$105,1),),INDEX(基础信息!$N$90:$R$105,MATCH($S87,基础信息!$F$90:$F$105,1),),INDEX(基础信息!$I$90:$M$105,MATCH($S87,基础信息!$F$90:$F$105,1),))*求节点(基础信息!$F$90:$F$105,基础信息!$G$90:$G$105,$S87),0)</f>
        <v>264673.00188040751</v>
      </c>
    </row>
    <row r="88" spans="19:24" x14ac:dyDescent="0.15">
      <c r="S88" s="111">
        <v>84</v>
      </c>
      <c r="T88" s="111">
        <f>IFERROR(求节点(基础信息!$F$10:$F$25,基础信息!$G$10:$G$25,$S88),0)*SUMPRODUCT(INDEX($D$5:$H$34,IFERROR(MATCH(求节点(基础信息!$F$10:$F$25,基础信息!$H$10:$H$25,$S88),$C$5:$C$34,1),1),),INDEX(基础信息!$I$10:$M$25,IFERROR(MATCH($S88,基础信息!$F$10:$F$25,1),1),))+IFERROR(SUMPRODUCT(INDEX(门客进修!$AE$5:$AI$20,MATCH($S88,基础信息!$F$10:$F$25,1),),INDEX(基础信息!$N$10:$R$25,MATCH($S88,基础信息!$F$10:$F$25,1),),INDEX(基础信息!$I$10:$M$25,MATCH($S88,基础信息!$F$10:$F$25,1),))*求节点(基础信息!$F$10:$F$25,基础信息!$G$10:$G$25,$S88),0)</f>
        <v>112802.37837865367</v>
      </c>
      <c r="U88" s="111">
        <f>IFERROR(求节点(基础信息!$F$30:$F$45,基础信息!$G$30:$G$45,$S88),0)*SUMPRODUCT(INDEX($D$5:$H$34,IFERROR(MATCH(求节点(基础信息!$F$30:$F$45,基础信息!$H$30:$H$45,$S88),$C$5:$C$34,1),1),),INDEX(基础信息!$I$30:$M$45,IFERROR(MATCH($S88,基础信息!$F$30:$F$45,1),1),))+IFERROR(SUMPRODUCT(INDEX(门客进修!$AE$25:$AI$40,MATCH($S88,基础信息!$F$30:$F$45,1),),INDEX(基础信息!$N$30:$R$45,MATCH($S88,基础信息!$F$30:$F$45,1),),INDEX(基础信息!$I$30:$M$45,MATCH($S88,基础信息!$F$30:$F$45,1),))*求节点(基础信息!$F$30:$F$45,基础信息!$G$30:$G$45,$S88),0)</f>
        <v>134299.32558772826</v>
      </c>
      <c r="V88" s="111">
        <f>IFERROR(求节点(基础信息!$F$50:$F$65,基础信息!$G$50:$G$65,$S88),0)*SUMPRODUCT(INDEX($D$5:$H$34,IFERROR(MATCH(求节点(基础信息!$F$50:$F$65,基础信息!$H$50:$H$65,$S88),$C$5:$C$34,1),1),),INDEX(基础信息!$I$50:$M$65,IFERROR(MATCH($S88,基础信息!$F$50:$F$65,1),1),))+IFERROR(SUMPRODUCT(INDEX(门客进修!$AE$45:$AI$60,MATCH($S88,基础信息!$F$50:$F$65,1),),INDEX(基础信息!$N$50:$R$65,MATCH($S88,基础信息!$F$50:$F$65,1),),INDEX(基础信息!$I$50:$M$65,MATCH($S88,基础信息!$F$50:$F$65,1),))*求节点(基础信息!$F$50:$F$65,基础信息!$G$50:$G$65,$S88),0)</f>
        <v>156588.35956672803</v>
      </c>
      <c r="W88" s="111">
        <f>IFERROR(求节点(基础信息!$F$70:$F$85,基础信息!$G$70:$G$85,$S88),0)*SUMPRODUCT(INDEX($D$5:$H$34,IFERROR(MATCH(求节点(基础信息!$F$70:$F$85,基础信息!$H$70:$H$85,$S88),$C$5:$C$34,1),1),),INDEX(基础信息!$I$70:$M$85,IFERROR(MATCH($S88,基础信息!$F$70:$F$85,1),1),))+IFERROR(SUMPRODUCT(INDEX(门客进修!$AE$65:$AI$80,MATCH($S88,基础信息!$F$70:$F$85,1),),INDEX(基础信息!$N$70:$R$85,MATCH($S88,基础信息!$F$70:$F$85,1),),INDEX(基础信息!$I$70:$M$85,MATCH($S88,基础信息!$F$70:$F$85,1),))*求节点(基础信息!$F$70:$F$85,基础信息!$G$70:$G$85,$S88),0)</f>
        <v>250766.42549359077</v>
      </c>
      <c r="X88" s="111">
        <f>IFERROR(求节点(基础信息!$F$90:$F$105,基础信息!$G$90:$G$105,$S88),0)*SUMPRODUCT(INDEX($D$5:$H$34,IFERROR(MATCH(求节点(基础信息!$F$90:$F$105,基础信息!$H$90:$H$105,$S88),$C$5:$C$34,1),1),),INDEX(基础信息!$I$90:$M$105,IFERROR(MATCH($S88,基础信息!$F$90:$F$105,1),1),))+IFERROR(SUMPRODUCT(INDEX(门客进修!$AE$85:$AI$100,MATCH($S88,基础信息!$F$90:$F$105,1),),INDEX(基础信息!$N$90:$R$105,MATCH($S88,基础信息!$F$90:$F$105,1),),INDEX(基础信息!$I$90:$M$105,MATCH($S88,基础信息!$F$90:$F$105,1),))*求节点(基础信息!$F$90:$F$105,基础信息!$G$90:$G$105,$S88),0)</f>
        <v>267477.64452556334</v>
      </c>
    </row>
    <row r="89" spans="19:24" x14ac:dyDescent="0.15">
      <c r="S89" s="111">
        <v>85</v>
      </c>
      <c r="T89" s="111">
        <f>IFERROR(求节点(基础信息!$F$10:$F$25,基础信息!$G$10:$G$25,$S89),0)*SUMPRODUCT(INDEX($D$5:$H$34,IFERROR(MATCH(求节点(基础信息!$F$10:$F$25,基础信息!$H$10:$H$25,$S89),$C$5:$C$34,1),1),),INDEX(基础信息!$I$10:$M$25,IFERROR(MATCH($S89,基础信息!$F$10:$F$25,1),1),))+IFERROR(SUMPRODUCT(INDEX(门客进修!$AE$5:$AI$20,MATCH($S89,基础信息!$F$10:$F$25,1),),INDEX(基础信息!$N$10:$R$25,MATCH($S89,基础信息!$F$10:$F$25,1),),INDEX(基础信息!$I$10:$M$25,MATCH($S89,基础信息!$F$10:$F$25,1),))*求节点(基础信息!$F$10:$F$25,基础信息!$G$10:$G$25,$S89),0)</f>
        <v>114330.29011844729</v>
      </c>
      <c r="U89" s="111">
        <f>IFERROR(求节点(基础信息!$F$30:$F$45,基础信息!$G$30:$G$45,$S89),0)*SUMPRODUCT(INDEX($D$5:$H$34,IFERROR(MATCH(求节点(基础信息!$F$30:$F$45,基础信息!$H$30:$H$45,$S89),$C$5:$C$34,1),1),),INDEX(基础信息!$I$30:$M$45,IFERROR(MATCH($S89,基础信息!$F$30:$F$45,1),1),))+IFERROR(SUMPRODUCT(INDEX(门客进修!$AE$25:$AI$40,MATCH($S89,基础信息!$F$30:$F$45,1),),INDEX(基础信息!$N$30:$R$45,MATCH($S89,基础信息!$F$30:$F$45,1),),INDEX(基础信息!$I$30:$M$45,MATCH($S89,基础信息!$F$30:$F$45,1),))*求节点(基础信息!$F$30:$F$45,基础信息!$G$30:$G$45,$S89),0)</f>
        <v>136084.44504529244</v>
      </c>
      <c r="V89" s="111">
        <f>IFERROR(求节点(基础信息!$F$50:$F$65,基础信息!$G$50:$G$65,$S89),0)*SUMPRODUCT(INDEX($D$5:$H$34,IFERROR(MATCH(求节点(基础信息!$F$50:$F$65,基础信息!$H$50:$H$65,$S89),$C$5:$C$34,1),1),),INDEX(基础信息!$I$50:$M$65,IFERROR(MATCH($S89,基础信息!$F$50:$F$65,1),1),))+IFERROR(SUMPRODUCT(INDEX(门客进修!$AE$45:$AI$60,MATCH($S89,基础信息!$F$50:$F$65,1),),INDEX(基础信息!$N$50:$R$65,MATCH($S89,基础信息!$F$50:$F$65,1),),INDEX(基础信息!$I$50:$M$65,MATCH($S89,基础信息!$F$50:$F$65,1),))*求节点(基础信息!$F$50:$F$65,基础信息!$G$50:$G$65,$S89),0)</f>
        <v>202857.51231361704</v>
      </c>
      <c r="W89" s="111">
        <f>IFERROR(求节点(基础信息!$F$70:$F$85,基础信息!$G$70:$G$85,$S89),0)*SUMPRODUCT(INDEX($D$5:$H$34,IFERROR(MATCH(求节点(基础信息!$F$70:$F$85,基础信息!$H$70:$H$85,$S89),$C$5:$C$34,1),1),),INDEX(基础信息!$I$70:$M$85,IFERROR(MATCH($S89,基础信息!$F$70:$F$85,1),1),))+IFERROR(SUMPRODUCT(INDEX(门客进修!$AE$65:$AI$80,MATCH($S89,基础信息!$F$70:$F$85,1),),INDEX(基础信息!$N$70:$R$85,MATCH($S89,基础信息!$F$70:$F$85,1),),INDEX(基础信息!$I$70:$M$85,MATCH($S89,基础信息!$F$70:$F$85,1),))*求节点(基础信息!$F$70:$F$85,基础信息!$G$70:$G$85,$S89),0)</f>
        <v>253506.69022651378</v>
      </c>
      <c r="X89" s="111">
        <f>IFERROR(求节点(基础信息!$F$90:$F$105,基础信息!$G$90:$G$105,$S89),0)*SUMPRODUCT(INDEX($D$5:$H$34,IFERROR(MATCH(求节点(基础信息!$F$90:$F$105,基础信息!$H$90:$H$105,$S89),$C$5:$C$34,1),1),),INDEX(基础信息!$I$90:$M$105,IFERROR(MATCH($S89,基础信息!$F$90:$F$105,1),1),))+IFERROR(SUMPRODUCT(INDEX(门客进修!$AE$85:$AI$100,MATCH($S89,基础信息!$F$90:$F$105,1),),INDEX(基础信息!$N$90:$R$105,MATCH($S89,基础信息!$F$90:$F$105,1),),INDEX(基础信息!$I$90:$M$105,MATCH($S89,基础信息!$F$90:$F$105,1),))*求节点(基础信息!$F$90:$F$105,基础信息!$G$90:$G$105,$S89),0)</f>
        <v>270282.28717071924</v>
      </c>
    </row>
    <row r="90" spans="19:24" x14ac:dyDescent="0.15">
      <c r="S90" s="111">
        <v>86</v>
      </c>
      <c r="T90" s="111">
        <f>IFERROR(求节点(基础信息!$F$10:$F$25,基础信息!$G$10:$G$25,$S90),0)*SUMPRODUCT(INDEX($D$5:$H$34,IFERROR(MATCH(求节点(基础信息!$F$10:$F$25,基础信息!$H$10:$H$25,$S90),$C$5:$C$34,1),1),),INDEX(基础信息!$I$10:$M$25,IFERROR(MATCH($S90,基础信息!$F$10:$F$25,1),1),))+IFERROR(SUMPRODUCT(INDEX(门客进修!$AE$5:$AI$20,MATCH($S90,基础信息!$F$10:$F$25,1),),INDEX(基础信息!$N$10:$R$25,MATCH($S90,基础信息!$F$10:$F$25,1),),INDEX(基础信息!$I$10:$M$25,MATCH($S90,基础信息!$F$10:$F$25,1),))*求节点(基础信息!$F$10:$F$25,基础信息!$G$10:$G$25,$S90),0)</f>
        <v>115858.20185824089</v>
      </c>
      <c r="U90" s="111">
        <f>IFERROR(求节点(基础信息!$F$30:$F$45,基础信息!$G$30:$G$45,$S90),0)*SUMPRODUCT(INDEX($D$5:$H$34,IFERROR(MATCH(求节点(基础信息!$F$30:$F$45,基础信息!$H$30:$H$45,$S90),$C$5:$C$34,1),1),),INDEX(基础信息!$I$30:$M$45,IFERROR(MATCH($S90,基础信息!$F$30:$F$45,1),1),))+IFERROR(SUMPRODUCT(INDEX(门客进修!$AE$25:$AI$40,MATCH($S90,基础信息!$F$30:$F$45,1),),INDEX(基础信息!$N$30:$R$45,MATCH($S90,基础信息!$F$30:$F$45,1),),INDEX(基础信息!$I$30:$M$45,MATCH($S90,基础信息!$F$30:$F$45,1),))*求节点(基础信息!$F$30:$F$45,基础信息!$G$30:$G$45,$S90),0)</f>
        <v>162646.24064738108</v>
      </c>
      <c r="V90" s="111">
        <f>IFERROR(求节点(基础信息!$F$50:$F$65,基础信息!$G$50:$G$65,$S90),0)*SUMPRODUCT(INDEX($D$5:$H$34,IFERROR(MATCH(求节点(基础信息!$F$50:$F$65,基础信息!$H$50:$H$65,$S90),$C$5:$C$34,1),1),),INDEX(基础信息!$I$50:$M$65,IFERROR(MATCH($S90,基础信息!$F$50:$F$65,1),1),))+IFERROR(SUMPRODUCT(INDEX(门客进修!$AE$45:$AI$60,MATCH($S90,基础信息!$F$50:$F$65,1),),INDEX(基础信息!$N$50:$R$65,MATCH($S90,基础信息!$F$50:$F$65,1),),INDEX(基础信息!$I$50:$M$65,MATCH($S90,基础信息!$F$50:$F$65,1),))*求节点(基础信息!$F$50:$F$65,基础信息!$G$50:$G$65,$S90),0)</f>
        <v>205128.68016329559</v>
      </c>
      <c r="W90" s="111">
        <f>IFERROR(求节点(基础信息!$F$70:$F$85,基础信息!$G$70:$G$85,$S90),0)*SUMPRODUCT(INDEX($D$5:$H$34,IFERROR(MATCH(求节点(基础信息!$F$70:$F$85,基础信息!$H$70:$H$85,$S90),$C$5:$C$34,1),1),),INDEX(基础信息!$I$70:$M$85,IFERROR(MATCH($S90,基础信息!$F$70:$F$85,1),1),))+IFERROR(SUMPRODUCT(INDEX(门客进修!$AE$65:$AI$80,MATCH($S90,基础信息!$F$70:$F$85,1),),INDEX(基础信息!$N$70:$R$85,MATCH($S90,基础信息!$F$70:$F$85,1),),INDEX(基础信息!$I$70:$M$85,MATCH($S90,基础信息!$F$70:$F$85,1),))*求节点(基础信息!$F$70:$F$85,基础信息!$G$70:$G$85,$S90),0)</f>
        <v>256246.95495943676</v>
      </c>
      <c r="X90" s="111">
        <f>IFERROR(求节点(基础信息!$F$90:$F$105,基础信息!$G$90:$G$105,$S90),0)*SUMPRODUCT(INDEX($D$5:$H$34,IFERROR(MATCH(求节点(基础信息!$F$90:$F$105,基础信息!$H$90:$H$105,$S90),$C$5:$C$34,1),1),),INDEX(基础信息!$I$90:$M$105,IFERROR(MATCH($S90,基础信息!$F$90:$F$105,1),1),))+IFERROR(SUMPRODUCT(INDEX(门客进修!$AE$85:$AI$100,MATCH($S90,基础信息!$F$90:$F$105,1),),INDEX(基础信息!$N$90:$R$105,MATCH($S90,基础信息!$F$90:$F$105,1),),INDEX(基础信息!$I$90:$M$105,MATCH($S90,基础信息!$F$90:$F$105,1),))*求节点(基础信息!$F$90:$F$105,基础信息!$G$90:$G$105,$S90),0)</f>
        <v>280149.52282835462</v>
      </c>
    </row>
    <row r="91" spans="19:24" x14ac:dyDescent="0.15">
      <c r="S91" s="111">
        <v>87</v>
      </c>
      <c r="T91" s="111">
        <f>IFERROR(求节点(基础信息!$F$10:$F$25,基础信息!$G$10:$G$25,$S91),0)*SUMPRODUCT(INDEX($D$5:$H$34,IFERROR(MATCH(求节点(基础信息!$F$10:$F$25,基础信息!$H$10:$H$25,$S91),$C$5:$C$34,1),1),),INDEX(基础信息!$I$10:$M$25,IFERROR(MATCH($S91,基础信息!$F$10:$F$25,1),1),))+IFERROR(SUMPRODUCT(INDEX(门客进修!$AE$5:$AI$20,MATCH($S91,基础信息!$F$10:$F$25,1),),INDEX(基础信息!$N$10:$R$25,MATCH($S91,基础信息!$F$10:$F$25,1),),INDEX(基础信息!$I$10:$M$25,MATCH($S91,基础信息!$F$10:$F$25,1),))*求节点(基础信息!$F$10:$F$25,基础信息!$G$10:$G$25,$S91),0)</f>
        <v>142619.4731030094</v>
      </c>
      <c r="U91" s="111">
        <f>IFERROR(求节点(基础信息!$F$30:$F$45,基础信息!$G$30:$G$45,$S91),0)*SUMPRODUCT(INDEX($D$5:$H$34,IFERROR(MATCH(求节点(基础信息!$F$30:$F$45,基础信息!$H$30:$H$45,$S91),$C$5:$C$34,1),1),),INDEX(基础信息!$I$30:$M$45,IFERROR(MATCH($S91,基础信息!$F$30:$F$45,1),1),))+IFERROR(SUMPRODUCT(INDEX(门客进修!$AE$25:$AI$40,MATCH($S91,基础信息!$F$30:$F$45,1),),INDEX(基础信息!$N$30:$R$45,MATCH($S91,基础信息!$F$30:$F$45,1),),INDEX(基础信息!$I$30:$M$45,MATCH($S91,基础信息!$F$30:$F$45,1),))*求节点(基础信息!$F$30:$F$45,基础信息!$G$30:$G$45,$S91),0)</f>
        <v>164508.22071336268</v>
      </c>
      <c r="V91" s="111">
        <f>IFERROR(求节点(基础信息!$F$50:$F$65,基础信息!$G$50:$G$65,$S91),0)*SUMPRODUCT(INDEX($D$5:$H$34,IFERROR(MATCH(求节点(基础信息!$F$50:$F$65,基础信息!$H$50:$H$65,$S91),$C$5:$C$34,1),1),),INDEX(基础信息!$I$50:$M$65,IFERROR(MATCH($S91,基础信息!$F$50:$F$65,1),1),))+IFERROR(SUMPRODUCT(INDEX(门客进修!$AE$45:$AI$60,MATCH($S91,基础信息!$F$50:$F$65,1),),INDEX(基础信息!$N$50:$R$65,MATCH($S91,基础信息!$F$50:$F$65,1),),INDEX(基础信息!$I$50:$M$65,MATCH($S91,基础信息!$F$50:$F$65,1),))*求节点(基础信息!$F$50:$F$65,基础信息!$G$50:$G$65,$S91),0)</f>
        <v>207399.84801297414</v>
      </c>
      <c r="W91" s="111">
        <f>IFERROR(求节点(基础信息!$F$70:$F$85,基础信息!$G$70:$G$85,$S91),0)*SUMPRODUCT(INDEX($D$5:$H$34,IFERROR(MATCH(求节点(基础信息!$F$70:$F$85,基础信息!$H$70:$H$85,$S91),$C$5:$C$34,1),1),),INDEX(基础信息!$I$70:$M$85,IFERROR(MATCH($S91,基础信息!$F$70:$F$85,1),1),))+IFERROR(SUMPRODUCT(INDEX(门客进修!$AE$65:$AI$80,MATCH($S91,基础信息!$F$70:$F$85,1),),INDEX(基础信息!$N$70:$R$85,MATCH($S91,基础信息!$F$70:$F$85,1),),INDEX(基础信息!$I$70:$M$85,MATCH($S91,基础信息!$F$70:$F$85,1),))*求节点(基础信息!$F$70:$F$85,基础信息!$G$70:$G$85,$S91),0)</f>
        <v>265555.73613383272</v>
      </c>
      <c r="X91" s="111">
        <f>IFERROR(求节点(基础信息!$F$90:$F$105,基础信息!$G$90:$G$105,$S91),0)*SUMPRODUCT(INDEX($D$5:$H$34,IFERROR(MATCH(求节点(基础信息!$F$90:$F$105,基础信息!$H$90:$H$105,$S91),$C$5:$C$34,1),1),),INDEX(基础信息!$I$90:$M$105,IFERROR(MATCH($S91,基础信息!$F$90:$F$105,1),1),))+IFERROR(SUMPRODUCT(INDEX(门客进修!$AE$85:$AI$100,MATCH($S91,基础信息!$F$90:$F$105,1),),INDEX(基础信息!$N$90:$R$105,MATCH($S91,基础信息!$F$90:$F$105,1),),INDEX(基础信息!$I$90:$M$105,MATCH($S91,基础信息!$F$90:$F$105,1),))*求节点(基础信息!$F$90:$F$105,基础信息!$G$90:$G$105,$S91),0)</f>
        <v>283026.69933502318</v>
      </c>
    </row>
    <row r="92" spans="19:24" x14ac:dyDescent="0.15">
      <c r="S92" s="111">
        <v>88</v>
      </c>
      <c r="T92" s="111">
        <f>IFERROR(求节点(基础信息!$F$10:$F$25,基础信息!$G$10:$G$25,$S92),0)*SUMPRODUCT(INDEX($D$5:$H$34,IFERROR(MATCH(求节点(基础信息!$F$10:$F$25,基础信息!$H$10:$H$25,$S92),$C$5:$C$34,1),1),),INDEX(基础信息!$I$10:$M$25,IFERROR(MATCH($S92,基础信息!$F$10:$F$25,1),1),))+IFERROR(SUMPRODUCT(INDEX(门客进修!$AE$5:$AI$20,MATCH($S92,基础信息!$F$10:$F$25,1),),INDEX(基础信息!$N$10:$R$25,MATCH($S92,基础信息!$F$10:$F$25,1),),INDEX(基础信息!$I$10:$M$25,MATCH($S92,基础信息!$F$10:$F$25,1),))*求节点(基础信息!$F$10:$F$25,基础信息!$G$10:$G$25,$S92),0)</f>
        <v>144279.39360795499</v>
      </c>
      <c r="U92" s="111">
        <f>IFERROR(求节点(基础信息!$F$30:$F$45,基础信息!$G$30:$G$45,$S92),0)*SUMPRODUCT(INDEX($D$5:$H$34,IFERROR(MATCH(求节点(基础信息!$F$30:$F$45,基础信息!$H$30:$H$45,$S92),$C$5:$C$34,1),1),),INDEX(基础信息!$I$30:$M$45,IFERROR(MATCH($S92,基础信息!$F$30:$F$45,1),1),))+IFERROR(SUMPRODUCT(INDEX(门客进修!$AE$25:$AI$40,MATCH($S92,基础信息!$F$30:$F$45,1),),INDEX(基础信息!$N$30:$R$45,MATCH($S92,基础信息!$F$30:$F$45,1),),INDEX(基础信息!$I$30:$M$45,MATCH($S92,基础信息!$F$30:$F$45,1),))*求节点(基础信息!$F$30:$F$45,基础信息!$G$30:$G$45,$S92),0)</f>
        <v>166370.20077934428</v>
      </c>
      <c r="V92" s="111">
        <f>IFERROR(求节点(基础信息!$F$50:$F$65,基础信息!$G$50:$G$65,$S92),0)*SUMPRODUCT(INDEX($D$5:$H$34,IFERROR(MATCH(求节点(基础信息!$F$50:$F$65,基础信息!$H$50:$H$65,$S92),$C$5:$C$34,1),1),),INDEX(基础信息!$I$50:$M$65,IFERROR(MATCH($S92,基础信息!$F$50:$F$65,1),1),))+IFERROR(SUMPRODUCT(INDEX(门客进修!$AE$45:$AI$60,MATCH($S92,基础信息!$F$50:$F$65,1),),INDEX(基础信息!$N$50:$R$65,MATCH($S92,基础信息!$F$50:$F$65,1),),INDEX(基础信息!$I$50:$M$65,MATCH($S92,基础信息!$F$50:$F$65,1),))*求节点(基础信息!$F$50:$F$65,基础信息!$G$50:$G$65,$S92),0)</f>
        <v>215287.20378754515</v>
      </c>
      <c r="W92" s="111">
        <f>IFERROR(求节点(基础信息!$F$70:$F$85,基础信息!$G$70:$G$85,$S92),0)*SUMPRODUCT(INDEX($D$5:$H$34,IFERROR(MATCH(求节点(基础信息!$F$70:$F$85,基础信息!$H$70:$H$85,$S92),$C$5:$C$34,1),1),),INDEX(基础信息!$I$70:$M$85,IFERROR(MATCH($S92,基础信息!$F$70:$F$85,1),1),))+IFERROR(SUMPRODUCT(INDEX(门客进修!$AE$65:$AI$80,MATCH($S92,基础信息!$F$70:$F$85,1),),INDEX(基础信息!$N$70:$R$85,MATCH($S92,基础信息!$F$70:$F$85,1),),INDEX(基础信息!$I$70:$M$85,MATCH($S92,基础信息!$F$70:$F$85,1),))*求节点(基础信息!$F$70:$F$85,基础信息!$G$70:$G$85,$S92),0)</f>
        <v>268365.50033461966</v>
      </c>
      <c r="X92" s="111">
        <f>IFERROR(求节点(基础信息!$F$90:$F$105,基础信息!$G$90:$G$105,$S92),0)*SUMPRODUCT(INDEX($D$5:$H$34,IFERROR(MATCH(求节点(基础信息!$F$90:$F$105,基础信息!$H$90:$H$105,$S92),$C$5:$C$34,1),1),),INDEX(基础信息!$I$90:$M$105,IFERROR(MATCH($S92,基础信息!$F$90:$F$105,1),1),))+IFERROR(SUMPRODUCT(INDEX(门客进修!$AE$85:$AI$100,MATCH($S92,基础信息!$F$90:$F$105,1),),INDEX(基础信息!$N$90:$R$105,MATCH($S92,基础信息!$F$90:$F$105,1),),INDEX(基础信息!$I$90:$M$105,MATCH($S92,基础信息!$F$90:$F$105,1),))*求节点(基础信息!$F$90:$F$105,基础信息!$G$90:$G$105,$S92),0)</f>
        <v>285903.87584169168</v>
      </c>
    </row>
    <row r="93" spans="19:24" x14ac:dyDescent="0.15">
      <c r="S93" s="111">
        <v>89</v>
      </c>
      <c r="T93" s="111">
        <f>IFERROR(求节点(基础信息!$F$10:$F$25,基础信息!$G$10:$G$25,$S93),0)*SUMPRODUCT(INDEX($D$5:$H$34,IFERROR(MATCH(求节点(基础信息!$F$10:$F$25,基础信息!$H$10:$H$25,$S93),$C$5:$C$34,1),1),),INDEX(基础信息!$I$10:$M$25,IFERROR(MATCH($S93,基础信息!$F$10:$F$25,1),1),))+IFERROR(SUMPRODUCT(INDEX(门客进修!$AE$5:$AI$20,MATCH($S93,基础信息!$F$10:$F$25,1),),INDEX(基础信息!$N$10:$R$25,MATCH($S93,基础信息!$F$10:$F$25,1),),INDEX(基础信息!$I$10:$M$25,MATCH($S93,基础信息!$F$10:$F$25,1),))*求节点(基础信息!$F$10:$F$25,基础信息!$G$10:$G$25,$S93),0)</f>
        <v>145939.31411290049</v>
      </c>
      <c r="U93" s="111">
        <f>IFERROR(求节点(基础信息!$F$30:$F$45,基础信息!$G$30:$G$45,$S93),0)*SUMPRODUCT(INDEX($D$5:$H$34,IFERROR(MATCH(求节点(基础信息!$F$30:$F$45,基础信息!$H$30:$H$45,$S93),$C$5:$C$34,1),1),),INDEX(基础信息!$I$30:$M$45,IFERROR(MATCH($S93,基础信息!$F$30:$F$45,1),1),))+IFERROR(SUMPRODUCT(INDEX(门客进修!$AE$25:$AI$40,MATCH($S93,基础信息!$F$30:$F$45,1),),INDEX(基础信息!$N$30:$R$45,MATCH($S93,基础信息!$F$30:$F$45,1),),INDEX(基础信息!$I$30:$M$45,MATCH($S93,基础信息!$F$30:$F$45,1),))*求节点(基础信息!$F$30:$F$45,基础信息!$G$30:$G$45,$S93),0)</f>
        <v>172905.29697991826</v>
      </c>
      <c r="V93" s="111">
        <f>IFERROR(求节点(基础信息!$F$50:$F$65,基础信息!$G$50:$G$65,$S93),0)*SUMPRODUCT(INDEX($D$5:$H$34,IFERROR(MATCH(求节点(基础信息!$F$50:$F$65,基础信息!$H$50:$H$65,$S93),$C$5:$C$34,1),1),),INDEX(基础信息!$I$50:$M$65,IFERROR(MATCH($S93,基础信息!$F$50:$F$65,1),1),))+IFERROR(SUMPRODUCT(INDEX(门客进修!$AE$45:$AI$60,MATCH($S93,基础信息!$F$50:$F$65,1),),INDEX(基础信息!$N$50:$R$65,MATCH($S93,基础信息!$F$50:$F$65,1),),INDEX(基础信息!$I$50:$M$65,MATCH($S93,基础信息!$F$50:$F$65,1),))*求节点(基础信息!$F$50:$F$65,基础信息!$G$50:$G$65,$S93),0)</f>
        <v>217619.20649034009</v>
      </c>
      <c r="W93" s="111">
        <f>IFERROR(求节点(基础信息!$F$70:$F$85,基础信息!$G$70:$G$85,$S93),0)*SUMPRODUCT(INDEX($D$5:$H$34,IFERROR(MATCH(求节点(基础信息!$F$70:$F$85,基础信息!$H$70:$H$85,$S93),$C$5:$C$34,1),1),),INDEX(基础信息!$I$70:$M$85,IFERROR(MATCH($S93,基础信息!$F$70:$F$85,1),1),))+IFERROR(SUMPRODUCT(INDEX(门客进修!$AE$65:$AI$80,MATCH($S93,基础信息!$F$70:$F$85,1),),INDEX(基础信息!$N$70:$R$85,MATCH($S93,基础信息!$F$70:$F$85,1),),INDEX(基础信息!$I$70:$M$85,MATCH($S93,基础信息!$F$70:$F$85,1),))*求节点(基础信息!$F$70:$F$85,基础信息!$G$70:$G$85,$S93),0)</f>
        <v>271175.26453540666</v>
      </c>
      <c r="X93" s="111">
        <f>IFERROR(求节点(基础信息!$F$90:$F$105,基础信息!$G$90:$G$105,$S93),0)*SUMPRODUCT(INDEX($D$5:$H$34,IFERROR(MATCH(求节点(基础信息!$F$90:$F$105,基础信息!$H$90:$H$105,$S93),$C$5:$C$34,1),1),),INDEX(基础信息!$I$90:$M$105,IFERROR(MATCH($S93,基础信息!$F$90:$F$105,1),1),))+IFERROR(SUMPRODUCT(INDEX(门客进修!$AE$85:$AI$100,MATCH($S93,基础信息!$F$90:$F$105,1),),INDEX(基础信息!$N$90:$R$105,MATCH($S93,基础信息!$F$90:$F$105,1),),INDEX(基础信息!$I$90:$M$105,MATCH($S93,基础信息!$F$90:$F$105,1),))*求节点(基础信息!$F$90:$F$105,基础信息!$G$90:$G$105,$S93),0)</f>
        <v>296061.24694537761</v>
      </c>
    </row>
    <row r="94" spans="19:24" x14ac:dyDescent="0.15">
      <c r="S94" s="111">
        <v>90</v>
      </c>
      <c r="T94" s="111">
        <f>IFERROR(求节点(基础信息!$F$10:$F$25,基础信息!$G$10:$G$25,$S94),0)*SUMPRODUCT(INDEX($D$5:$H$34,IFERROR(MATCH(求节点(基础信息!$F$10:$F$25,基础信息!$H$10:$H$25,$S94),$C$5:$C$34,1),1),),INDEX(基础信息!$I$10:$M$25,IFERROR(MATCH($S94,基础信息!$F$10:$F$25,1),1),))+IFERROR(SUMPRODUCT(INDEX(门客进修!$AE$5:$AI$20,MATCH($S94,基础信息!$F$10:$F$25,1),),INDEX(基础信息!$N$10:$R$25,MATCH($S94,基础信息!$F$10:$F$25,1),),INDEX(基础信息!$I$10:$M$25,MATCH($S94,基础信息!$F$10:$F$25,1),))*求节点(基础信息!$F$10:$F$25,基础信息!$G$10:$G$25,$S94),0)</f>
        <v>151569.46719459188</v>
      </c>
      <c r="U94" s="111">
        <f>IFERROR(求节点(基础信息!$F$30:$F$45,基础信息!$G$30:$G$45,$S94),0)*SUMPRODUCT(INDEX($D$5:$H$34,IFERROR(MATCH(求节点(基础信息!$F$30:$F$45,基础信息!$H$30:$H$45,$S94),$C$5:$C$34,1),1),),INDEX(基础信息!$I$30:$M$45,IFERROR(MATCH($S94,基础信息!$F$30:$F$45,1),1),))+IFERROR(SUMPRODUCT(INDEX(门客进修!$AE$25:$AI$40,MATCH($S94,基础信息!$F$30:$F$45,1),),INDEX(基础信息!$N$30:$R$45,MATCH($S94,基础信息!$F$30:$F$45,1),),INDEX(基础信息!$I$30:$M$45,MATCH($S94,基础信息!$F$30:$F$45,1),))*求节点(基础信息!$F$30:$F$45,基础信息!$G$30:$G$45,$S94),0)</f>
        <v>174818.99871439932</v>
      </c>
      <c r="V94" s="111">
        <f>IFERROR(求节点(基础信息!$F$50:$F$65,基础信息!$G$50:$G$65,$S94),0)*SUMPRODUCT(INDEX($D$5:$H$34,IFERROR(MATCH(求节点(基础信息!$F$50:$F$65,基础信息!$H$50:$H$65,$S94),$C$5:$C$34,1),1),),INDEX(基础信息!$I$50:$M$65,IFERROR(MATCH($S94,基础信息!$F$50:$F$65,1),1),))+IFERROR(SUMPRODUCT(INDEX(门客进修!$AE$45:$AI$60,MATCH($S94,基础信息!$F$50:$F$65,1),),INDEX(基础信息!$N$50:$R$65,MATCH($S94,基础信息!$F$50:$F$65,1),),INDEX(基础信息!$I$50:$M$65,MATCH($S94,基础信息!$F$50:$F$65,1),))*求节点(基础信息!$F$50:$F$65,基础信息!$G$50:$G$65,$S94),0)</f>
        <v>219951.20919313506</v>
      </c>
      <c r="W94" s="111">
        <f>IFERROR(求节点(基础信息!$F$70:$F$85,基础信息!$G$70:$G$85,$S94),0)*SUMPRODUCT(INDEX($D$5:$H$34,IFERROR(MATCH(求节点(基础信息!$F$70:$F$85,基础信息!$H$70:$H$85,$S94),$C$5:$C$34,1),1),),INDEX(基础信息!$I$70:$M$85,IFERROR(MATCH($S94,基础信息!$F$70:$F$85,1),1),))+IFERROR(SUMPRODUCT(INDEX(门客进修!$AE$65:$AI$80,MATCH($S94,基础信息!$F$70:$F$85,1),),INDEX(基础信息!$N$70:$R$85,MATCH($S94,基础信息!$F$70:$F$85,1),),INDEX(基础信息!$I$70:$M$85,MATCH($S94,基础信息!$F$70:$F$85,1),))*求节点(基础信息!$F$70:$F$85,基础信息!$G$70:$G$85,$S94),0)</f>
        <v>280762.04358125851</v>
      </c>
      <c r="X94" s="111">
        <f>IFERROR(求节点(基础信息!$F$90:$F$105,基础信息!$G$90:$G$105,$S94),0)*SUMPRODUCT(INDEX($D$5:$H$34,IFERROR(MATCH(求节点(基础信息!$F$90:$F$105,基础信息!$H$90:$H$105,$S94),$C$5:$C$34,1),1),),INDEX(基础信息!$I$90:$M$105,IFERROR(MATCH($S94,基础信息!$F$90:$F$105,1),1),))+IFERROR(SUMPRODUCT(INDEX(门客进修!$AE$85:$AI$100,MATCH($S94,基础信息!$F$90:$F$105,1),),INDEX(基础信息!$N$90:$R$105,MATCH($S94,基础信息!$F$90:$F$105,1),),INDEX(基础信息!$I$90:$M$105,MATCH($S94,基础信息!$F$90:$F$105,1),))*求节点(基础信息!$F$90:$F$105,基础信息!$G$90:$G$105,$S94),0)</f>
        <v>299010.95731355879</v>
      </c>
    </row>
    <row r="95" spans="19:24" x14ac:dyDescent="0.15">
      <c r="S95" s="111">
        <v>91</v>
      </c>
      <c r="T95" s="111">
        <f>IFERROR(求节点(基础信息!$F$10:$F$25,基础信息!$G$10:$G$25,$S95),0)*SUMPRODUCT(INDEX($D$5:$H$34,IFERROR(MATCH(求节点(基础信息!$F$10:$F$25,基础信息!$H$10:$H$25,$S95),$C$5:$C$34,1),1),),INDEX(基础信息!$I$10:$M$25,IFERROR(MATCH($S95,基础信息!$F$10:$F$25,1),1),))+IFERROR(SUMPRODUCT(INDEX(门客进修!$AE$5:$AI$20,MATCH($S95,基础信息!$F$10:$F$25,1),),INDEX(基础信息!$N$10:$R$25,MATCH($S95,基础信息!$F$10:$F$25,1),),INDEX(基础信息!$I$10:$M$25,MATCH($S95,基础信息!$F$10:$F$25,1),))*求节点(基础信息!$F$10:$F$25,基础信息!$G$10:$G$25,$S95),0)</f>
        <v>153274.03745995529</v>
      </c>
      <c r="U95" s="111">
        <f>IFERROR(求节点(基础信息!$F$30:$F$45,基础信息!$G$30:$G$45,$S95),0)*SUMPRODUCT(INDEX($D$5:$H$34,IFERROR(MATCH(求节点(基础信息!$F$30:$F$45,基础信息!$H$30:$H$45,$S95),$C$5:$C$34,1),1),),INDEX(基础信息!$I$30:$M$45,IFERROR(MATCH($S95,基础信息!$F$30:$F$45,1),1),))+IFERROR(SUMPRODUCT(INDEX(门客进修!$AE$25:$AI$40,MATCH($S95,基础信息!$F$30:$F$45,1),),INDEX(基础信息!$N$30:$R$45,MATCH($S95,基础信息!$F$30:$F$45,1),),INDEX(基础信息!$I$30:$M$45,MATCH($S95,基础信息!$F$30:$F$45,1),))*求节点(基础信息!$F$30:$F$45,基础信息!$G$30:$G$45,$S95),0)</f>
        <v>176732.70044888041</v>
      </c>
      <c r="V95" s="111">
        <f>IFERROR(求节点(基础信息!$F$50:$F$65,基础信息!$G$50:$G$65,$S95),0)*SUMPRODUCT(INDEX($D$5:$H$34,IFERROR(MATCH(求节点(基础信息!$F$50:$F$65,基础信息!$H$50:$H$65,$S95),$C$5:$C$34,1),1),),INDEX(基础信息!$I$50:$M$65,IFERROR(MATCH($S95,基础信息!$F$50:$F$65,1),1),))+IFERROR(SUMPRODUCT(INDEX(门客进修!$AE$45:$AI$60,MATCH($S95,基础信息!$F$50:$F$65,1),),INDEX(基础信息!$N$50:$R$65,MATCH($S95,基础信息!$F$50:$F$65,1),),INDEX(基础信息!$I$50:$M$65,MATCH($S95,基础信息!$F$50:$F$65,1),))*求节点(基础信息!$F$50:$F$65,基础信息!$G$50:$G$65,$S95),0)</f>
        <v>222283.21189592997</v>
      </c>
      <c r="W95" s="111">
        <f>IFERROR(求节点(基础信息!$F$70:$F$85,基础信息!$G$70:$G$85,$S95),0)*SUMPRODUCT(INDEX($D$5:$H$34,IFERROR(MATCH(求节点(基础信息!$F$70:$F$85,基础信息!$H$70:$H$85,$S95),$C$5:$C$34,1),1),),INDEX(基础信息!$I$70:$M$85,IFERROR(MATCH($S95,基础信息!$F$70:$F$85,1),1),))+IFERROR(SUMPRODUCT(INDEX(门客进修!$AE$65:$AI$80,MATCH($S95,基础信息!$F$70:$F$85,1),),INDEX(基础信息!$N$70:$R$85,MATCH($S95,基础信息!$F$70:$F$85,1),),INDEX(基础信息!$I$70:$M$85,MATCH($S95,基础信息!$F$70:$F$85,1),))*求节点(基础信息!$F$70:$F$85,基础信息!$G$70:$G$85,$S95),0)</f>
        <v>283641.3072499095</v>
      </c>
      <c r="X95" s="111">
        <f>IFERROR(求节点(基础信息!$F$90:$F$105,基础信息!$G$90:$G$105,$S95),0)*SUMPRODUCT(INDEX($D$5:$H$34,IFERROR(MATCH(求节点(基础信息!$F$90:$F$105,基础信息!$H$90:$H$105,$S95),$C$5:$C$34,1),1),),INDEX(基础信息!$I$90:$M$105,IFERROR(MATCH($S95,基础信息!$F$90:$F$105,1),1),))+IFERROR(SUMPRODUCT(INDEX(门客进修!$AE$85:$AI$100,MATCH($S95,基础信息!$F$90:$F$105,1),),INDEX(基础信息!$N$90:$R$105,MATCH($S95,基础信息!$F$90:$F$105,1),),INDEX(基础信息!$I$90:$M$105,MATCH($S95,基础信息!$F$90:$F$105,1),))*求节点(基础信息!$F$90:$F$105,基础信息!$G$90:$G$105,$S95),0)</f>
        <v>301960.66768174001</v>
      </c>
    </row>
    <row r="96" spans="19:24" x14ac:dyDescent="0.15">
      <c r="S96" s="111">
        <v>92</v>
      </c>
      <c r="T96" s="111">
        <f>IFERROR(求节点(基础信息!$F$10:$F$25,基础信息!$G$10:$G$25,$S96),0)*SUMPRODUCT(INDEX($D$5:$H$34,IFERROR(MATCH(求节点(基础信息!$F$10:$F$25,基础信息!$H$10:$H$25,$S96),$C$5:$C$34,1),1),),INDEX(基础信息!$I$10:$M$25,IFERROR(MATCH($S96,基础信息!$F$10:$F$25,1),1),))+IFERROR(SUMPRODUCT(INDEX(门客进修!$AE$5:$AI$20,MATCH($S96,基础信息!$F$10:$F$25,1),),INDEX(基础信息!$N$10:$R$25,MATCH($S96,基础信息!$F$10:$F$25,1),),INDEX(基础信息!$I$10:$M$25,MATCH($S96,基础信息!$F$10:$F$25,1),))*求节点(基础信息!$F$10:$F$25,基础信息!$G$10:$G$25,$S96),0)</f>
        <v>154978.60772531867</v>
      </c>
      <c r="U96" s="111">
        <f>IFERROR(求节点(基础信息!$F$30:$F$45,基础信息!$G$30:$G$45,$S96),0)*SUMPRODUCT(INDEX($D$5:$H$34,IFERROR(MATCH(求节点(基础信息!$F$30:$F$45,基础信息!$H$30:$H$45,$S96),$C$5:$C$34,1),1),),INDEX(基础信息!$I$30:$M$45,IFERROR(MATCH($S96,基础信息!$F$30:$F$45,1),1),))+IFERROR(SUMPRODUCT(INDEX(门客进修!$AE$25:$AI$40,MATCH($S96,基础信息!$F$30:$F$45,1),),INDEX(基础信息!$N$30:$R$45,MATCH($S96,基础信息!$F$30:$F$45,1),),INDEX(基础信息!$I$30:$M$45,MATCH($S96,基础信息!$F$30:$F$45,1),))*求节点(基础信息!$F$30:$F$45,基础信息!$G$30:$G$45,$S96),0)</f>
        <v>178646.4021833615</v>
      </c>
      <c r="V96" s="111">
        <f>IFERROR(求节点(基础信息!$F$50:$F$65,基础信息!$G$50:$G$65,$S96),0)*SUMPRODUCT(INDEX($D$5:$H$34,IFERROR(MATCH(求节点(基础信息!$F$50:$F$65,基础信息!$H$50:$H$65,$S96),$C$5:$C$34,1),1),),INDEX(基础信息!$I$50:$M$65,IFERROR(MATCH($S96,基础信息!$F$50:$F$65,1),1),))+IFERROR(SUMPRODUCT(INDEX(门客进修!$AE$45:$AI$60,MATCH($S96,基础信息!$F$50:$F$65,1),),INDEX(基础信息!$N$50:$R$65,MATCH($S96,基础信息!$F$50:$F$65,1),),INDEX(基础信息!$I$50:$M$65,MATCH($S96,基础信息!$F$50:$F$65,1),))*求节点(基础信息!$F$50:$F$65,基础信息!$G$50:$G$65,$S96),0)</f>
        <v>230474.74193608295</v>
      </c>
      <c r="W96" s="111">
        <f>IFERROR(求节点(基础信息!$F$70:$F$85,基础信息!$G$70:$G$85,$S96),0)*SUMPRODUCT(INDEX($D$5:$H$34,IFERROR(MATCH(求节点(基础信息!$F$70:$F$85,基础信息!$H$70:$H$85,$S96),$C$5:$C$34,1),1),),INDEX(基础信息!$I$70:$M$85,IFERROR(MATCH($S96,基础信息!$F$70:$F$85,1),1),))+IFERROR(SUMPRODUCT(INDEX(门客进修!$AE$65:$AI$80,MATCH($S96,基础信息!$F$70:$F$85,1),),INDEX(基础信息!$N$70:$R$85,MATCH($S96,基础信息!$F$70:$F$85,1),),INDEX(基础信息!$I$70:$M$85,MATCH($S96,基础信息!$F$70:$F$85,1),))*求节点(基础信息!$F$70:$F$85,基础信息!$G$70:$G$85,$S96),0)</f>
        <v>286520.57091856049</v>
      </c>
      <c r="X96" s="111">
        <f>IFERROR(求节点(基础信息!$F$90:$F$105,基础信息!$G$90:$G$105,$S96),0)*SUMPRODUCT(INDEX($D$5:$H$34,IFERROR(MATCH(求节点(基础信息!$F$90:$F$105,基础信息!$H$90:$H$105,$S96),$C$5:$C$34,1),1),),INDEX(基础信息!$I$90:$M$105,IFERROR(MATCH($S96,基础信息!$F$90:$F$105,1),1),))+IFERROR(SUMPRODUCT(INDEX(门客进修!$AE$85:$AI$100,MATCH($S96,基础信息!$F$90:$F$105,1),),INDEX(基础信息!$N$90:$R$105,MATCH($S96,基础信息!$F$90:$F$105,1),),INDEX(基础信息!$I$90:$M$105,MATCH($S96,基础信息!$F$90:$F$105,1),))*求节点(基础信息!$F$90:$F$105,基础信息!$G$90:$G$105,$S96),0)</f>
        <v>304910.37804992119</v>
      </c>
    </row>
    <row r="97" spans="19:24" x14ac:dyDescent="0.15">
      <c r="S97" s="111">
        <v>93</v>
      </c>
      <c r="T97" s="111">
        <f>IFERROR(求节点(基础信息!$F$10:$F$25,基础信息!$G$10:$G$25,$S97),0)*SUMPRODUCT(INDEX($D$5:$H$34,IFERROR(MATCH(求节点(基础信息!$F$10:$F$25,基础信息!$H$10:$H$25,$S97),$C$5:$C$34,1),1),),INDEX(基础信息!$I$10:$M$25,IFERROR(MATCH($S97,基础信息!$F$10:$F$25,1),1),))+IFERROR(SUMPRODUCT(INDEX(门客进修!$AE$5:$AI$20,MATCH($S97,基础信息!$F$10:$F$25,1),),INDEX(基础信息!$N$10:$R$25,MATCH($S97,基础信息!$F$10:$F$25,1),),INDEX(基础信息!$I$10:$M$25,MATCH($S97,基础信息!$F$10:$F$25,1),))*求节点(基础信息!$F$10:$F$25,基础信息!$G$10:$G$25,$S97),0)</f>
        <v>156683.17799068202</v>
      </c>
      <c r="U97" s="111">
        <f>IFERROR(求节点(基础信息!$F$30:$F$45,基础信息!$G$30:$G$45,$S97),0)*SUMPRODUCT(INDEX($D$5:$H$34,IFERROR(MATCH(求节点(基础信息!$F$30:$F$45,基础信息!$H$30:$H$45,$S97),$C$5:$C$34,1),1),),INDEX(基础信息!$I$30:$M$45,IFERROR(MATCH($S97,基础信息!$F$30:$F$45,1),1),))+IFERROR(SUMPRODUCT(INDEX(门客进修!$AE$25:$AI$40,MATCH($S97,基础信息!$F$30:$F$45,1),),INDEX(基础信息!$N$30:$R$45,MATCH($S97,基础信息!$F$30:$F$45,1),),INDEX(基础信息!$I$30:$M$45,MATCH($S97,基础信息!$F$30:$F$45,1),))*求节点(基础信息!$F$30:$F$45,基础信息!$G$30:$G$45,$S97),0)</f>
        <v>185440.10672643292</v>
      </c>
      <c r="V97" s="111">
        <f>IFERROR(求节点(基础信息!$F$50:$F$65,基础信息!$G$50:$G$65,$S97),0)*SUMPRODUCT(INDEX($D$5:$H$34,IFERROR(MATCH(求节点(基础信息!$F$50:$F$65,基础信息!$H$50:$H$65,$S97),$C$5:$C$34,1),1),),INDEX(基础信息!$I$50:$M$65,IFERROR(MATCH($S97,基础信息!$F$50:$F$65,1),1),))+IFERROR(SUMPRODUCT(INDEX(门客进修!$AE$45:$AI$60,MATCH($S97,基础信息!$F$50:$F$65,1),),INDEX(基础信息!$N$50:$R$65,MATCH($S97,基础信息!$F$50:$F$65,1),),INDEX(基础信息!$I$50:$M$65,MATCH($S97,基础信息!$F$50:$F$65,1),))*求节点(基础信息!$F$50:$F$65,基础信息!$G$50:$G$65,$S97),0)</f>
        <v>232867.57949199426</v>
      </c>
      <c r="W97" s="111">
        <f>IFERROR(求节点(基础信息!$F$70:$F$85,基础信息!$G$70:$G$85,$S97),0)*SUMPRODUCT(INDEX($D$5:$H$34,IFERROR(MATCH(求节点(基础信息!$F$70:$F$85,基础信息!$H$70:$H$85,$S97),$C$5:$C$34,1),1),),INDEX(基础信息!$I$70:$M$85,IFERROR(MATCH($S97,基础信息!$F$70:$F$85,1),1),))+IFERROR(SUMPRODUCT(INDEX(门客进修!$AE$65:$AI$80,MATCH($S97,基础信息!$F$70:$F$85,1),),INDEX(基础信息!$N$70:$R$85,MATCH($S97,基础信息!$F$70:$F$85,1),),INDEX(基础信息!$I$70:$M$85,MATCH($S97,基础信息!$F$70:$F$85,1),))*求节点(基础信息!$F$70:$F$85,基础信息!$G$70:$G$85,$S97),0)</f>
        <v>289399.83458721149</v>
      </c>
      <c r="X97" s="111">
        <f>IFERROR(求节点(基础信息!$F$90:$F$105,基础信息!$G$90:$G$105,$S97),0)*SUMPRODUCT(INDEX($D$5:$H$34,IFERROR(MATCH(求节点(基础信息!$F$90:$F$105,基础信息!$H$90:$H$105,$S97),$C$5:$C$34,1),1),),INDEX(基础信息!$I$90:$M$105,IFERROR(MATCH($S97,基础信息!$F$90:$F$105,1),1),))+IFERROR(SUMPRODUCT(INDEX(门客进修!$AE$85:$AI$100,MATCH($S97,基础信息!$F$90:$F$105,1),),INDEX(基础信息!$N$90:$R$105,MATCH($S97,基础信息!$F$90:$F$105,1),),INDEX(基础信息!$I$90:$M$105,MATCH($S97,基础信息!$F$90:$F$105,1),))*求节点(基础信息!$F$90:$F$105,基础信息!$G$90:$G$105,$S97),0)</f>
        <v>359481.85766067333</v>
      </c>
    </row>
    <row r="98" spans="19:24" x14ac:dyDescent="0.15">
      <c r="S98" s="111">
        <v>94</v>
      </c>
      <c r="T98" s="111">
        <f>IFERROR(求节点(基础信息!$F$10:$F$25,基础信息!$G$10:$G$25,$S98),0)*SUMPRODUCT(INDEX($D$5:$H$34,IFERROR(MATCH(求节点(基础信息!$F$10:$F$25,基础信息!$H$10:$H$25,$S98),$C$5:$C$34,1),1),),INDEX(基础信息!$I$10:$M$25,IFERROR(MATCH($S98,基础信息!$F$10:$F$25,1),1),))+IFERROR(SUMPRODUCT(INDEX(门客进修!$AE$5:$AI$20,MATCH($S98,基础信息!$F$10:$F$25,1),),INDEX(基础信息!$N$10:$R$25,MATCH($S98,基础信息!$F$10:$F$25,1),),INDEX(基础信息!$I$10:$M$25,MATCH($S98,基础信息!$F$10:$F$25,1),))*求节点(基础信息!$F$10:$F$25,基础信息!$G$10:$G$25,$S98),0)</f>
        <v>162536.57987446256</v>
      </c>
      <c r="U98" s="111">
        <f>IFERROR(求节点(基础信息!$F$30:$F$45,基础信息!$G$30:$G$45,$S98),0)*SUMPRODUCT(INDEX($D$5:$H$34,IFERROR(MATCH(求节点(基础信息!$F$30:$F$45,基础信息!$H$30:$H$45,$S98),$C$5:$C$34,1),1),),INDEX(基础信息!$I$30:$M$45,IFERROR(MATCH($S98,基础信息!$F$30:$F$45,1),1),))+IFERROR(SUMPRODUCT(INDEX(门客进修!$AE$25:$AI$40,MATCH($S98,基础信息!$F$30:$F$45,1),),INDEX(基础信息!$N$30:$R$45,MATCH($S98,基础信息!$F$30:$F$45,1),),INDEX(基础信息!$I$30:$M$45,MATCH($S98,基础信息!$F$30:$F$45,1),))*求节点(基础信息!$F$30:$F$45,基础信息!$G$30:$G$45,$S98),0)</f>
        <v>187405.53012941347</v>
      </c>
      <c r="V98" s="111">
        <f>IFERROR(求节点(基础信息!$F$50:$F$65,基础信息!$G$50:$G$65,$S98),0)*SUMPRODUCT(INDEX($D$5:$H$34,IFERROR(MATCH(求节点(基础信息!$F$50:$F$65,基础信息!$H$50:$H$65,$S98),$C$5:$C$34,1),1),),INDEX(基础信息!$I$50:$M$65,IFERROR(MATCH($S98,基础信息!$F$50:$F$65,1),1),))+IFERROR(SUMPRODUCT(INDEX(门客进修!$AE$45:$AI$60,MATCH($S98,基础信息!$F$50:$F$65,1),),INDEX(基础信息!$N$50:$R$65,MATCH($S98,基础信息!$F$50:$F$65,1),),INDEX(基础信息!$I$50:$M$65,MATCH($S98,基础信息!$F$50:$F$65,1),))*求节点(基础信息!$F$50:$F$65,基础信息!$G$50:$G$65,$S98),0)</f>
        <v>235260.41704790565</v>
      </c>
      <c r="W98" s="111">
        <f>IFERROR(求节点(基础信息!$F$70:$F$85,基础信息!$G$70:$G$85,$S98),0)*SUMPRODUCT(INDEX($D$5:$H$34,IFERROR(MATCH(求节点(基础信息!$F$70:$F$85,基础信息!$H$70:$H$85,$S98),$C$5:$C$34,1),1),),INDEX(基础信息!$I$70:$M$85,IFERROR(MATCH($S98,基础信息!$F$70:$F$85,1),1),))+IFERROR(SUMPRODUCT(INDEX(门客进修!$AE$65:$AI$80,MATCH($S98,基础信息!$F$70:$F$85,1),),INDEX(基础信息!$N$70:$R$85,MATCH($S98,基础信息!$F$70:$F$85,1),),INDEX(基础信息!$I$70:$M$85,MATCH($S98,基础信息!$F$70:$F$85,1),))*求节点(基础信息!$F$70:$F$85,基础信息!$G$70:$G$85,$S98),0)</f>
        <v>338494.47393450851</v>
      </c>
      <c r="X98" s="111">
        <f>IFERROR(求节点(基础信息!$F$90:$F$105,基础信息!$G$90:$G$105,$S98),0)*SUMPRODUCT(INDEX($D$5:$H$34,IFERROR(MATCH(求节点(基础信息!$F$90:$F$105,基础信息!$H$90:$H$105,$S98),$C$5:$C$34,1),1),),INDEX(基础信息!$I$90:$M$105,IFERROR(MATCH($S98,基础信息!$F$90:$F$105,1),1),))+IFERROR(SUMPRODUCT(INDEX(门客进修!$AE$85:$AI$100,MATCH($S98,基础信息!$F$90:$F$105,1),),INDEX(基础信息!$N$90:$R$105,MATCH($S98,基础信息!$F$90:$F$105,1),),INDEX(基础信息!$I$90:$M$105,MATCH($S98,基础信息!$F$90:$F$105,1),))*求节点(基础信息!$F$90:$F$105,基础信息!$G$90:$G$105,$S98),0)</f>
        <v>362814.98680096015</v>
      </c>
    </row>
    <row r="99" spans="19:24" x14ac:dyDescent="0.15">
      <c r="S99" s="111">
        <v>95</v>
      </c>
      <c r="T99" s="111">
        <f>IFERROR(求节点(基础信息!$F$10:$F$25,基础信息!$G$10:$G$25,$S99),0)*SUMPRODUCT(INDEX($D$5:$H$34,IFERROR(MATCH(求节点(基础信息!$F$10:$F$25,基础信息!$H$10:$H$25,$S99),$C$5:$C$34,1),1),),INDEX(基础信息!$I$10:$M$25,IFERROR(MATCH($S99,基础信息!$F$10:$F$25,1),1),))+IFERROR(SUMPRODUCT(INDEX(门客进修!$AE$5:$AI$20,MATCH($S99,基础信息!$F$10:$F$25,1),),INDEX(基础信息!$N$10:$R$25,MATCH($S99,基础信息!$F$10:$F$25,1),),INDEX(基础信息!$I$10:$M$25,MATCH($S99,基础信息!$F$10:$F$25,1),))*求节点(基础信息!$F$10:$F$25,基础信息!$G$10:$G$25,$S99),0)</f>
        <v>164285.79990024382</v>
      </c>
      <c r="U99" s="111">
        <f>IFERROR(求节点(基础信息!$F$30:$F$45,基础信息!$G$30:$G$45,$S99),0)*SUMPRODUCT(INDEX($D$5:$H$34,IFERROR(MATCH(求节点(基础信息!$F$30:$F$45,基础信息!$H$30:$H$45,$S99),$C$5:$C$34,1),1),),INDEX(基础信息!$I$30:$M$45,IFERROR(MATCH($S99,基础信息!$F$30:$F$45,1),1),))+IFERROR(SUMPRODUCT(INDEX(门客进修!$AE$25:$AI$40,MATCH($S99,基础信息!$F$30:$F$45,1),),INDEX(基础信息!$N$30:$R$45,MATCH($S99,基础信息!$F$30:$F$45,1),),INDEX(基础信息!$I$30:$M$45,MATCH($S99,基础信息!$F$30:$F$45,1),))*求节点(基础信息!$F$30:$F$45,基础信息!$G$30:$G$45,$S99),0)</f>
        <v>189370.95353239405</v>
      </c>
      <c r="V99" s="111">
        <f>IFERROR(求节点(基础信息!$F$50:$F$65,基础信息!$G$50:$G$65,$S99),0)*SUMPRODUCT(INDEX($D$5:$H$34,IFERROR(MATCH(求节点(基础信息!$F$50:$F$65,基础信息!$H$50:$H$65,$S99),$C$5:$C$34,1),1),),INDEX(基础信息!$I$50:$M$65,IFERROR(MATCH($S99,基础信息!$F$50:$F$65,1),1),))+IFERROR(SUMPRODUCT(INDEX(门客进修!$AE$45:$AI$60,MATCH($S99,基础信息!$F$50:$F$65,1),),INDEX(基础信息!$N$50:$R$65,MATCH($S99,基础信息!$F$50:$F$65,1),),INDEX(基础信息!$I$50:$M$65,MATCH($S99,基础信息!$F$50:$F$65,1),))*求节点(基础信息!$F$50:$F$65,基础信息!$G$50:$G$65,$S99),0)</f>
        <v>292892.35508100403</v>
      </c>
      <c r="W99" s="111">
        <f>IFERROR(求节点(基础信息!$F$70:$F$85,基础信息!$G$70:$G$85,$S99),0)*SUMPRODUCT(INDEX($D$5:$H$34,IFERROR(MATCH(求节点(基础信息!$F$70:$F$85,基础信息!$H$70:$H$85,$S99),$C$5:$C$34,1),1),),INDEX(基础信息!$I$70:$M$85,IFERROR(MATCH($S99,基础信息!$F$70:$F$85,1),1),))+IFERROR(SUMPRODUCT(INDEX(门客进修!$AE$65:$AI$80,MATCH($S99,基础信息!$F$70:$F$85,1),),INDEX(基础信息!$N$70:$R$85,MATCH($S99,基础信息!$F$70:$F$85,1),),INDEX(基础信息!$I$70:$M$85,MATCH($S99,基础信息!$F$70:$F$85,1),))*求节点(基础信息!$F$70:$F$85,基础信息!$G$70:$G$85,$S99),0)</f>
        <v>341645.82914859487</v>
      </c>
      <c r="X99" s="111">
        <f>IFERROR(求节点(基础信息!$F$90:$F$105,基础信息!$G$90:$G$105,$S99),0)*SUMPRODUCT(INDEX($D$5:$H$34,IFERROR(MATCH(求节点(基础信息!$F$90:$F$105,基础信息!$H$90:$H$105,$S99),$C$5:$C$34,1),1),),INDEX(基础信息!$I$90:$M$105,IFERROR(MATCH($S99,基础信息!$F$90:$F$105,1),1),))+IFERROR(SUMPRODUCT(INDEX(门客进修!$AE$85:$AI$100,MATCH($S99,基础信息!$F$90:$F$105,1),),INDEX(基础信息!$N$90:$R$105,MATCH($S99,基础信息!$F$90:$F$105,1),),INDEX(基础信息!$I$90:$M$105,MATCH($S99,基础信息!$F$90:$F$105,1),))*求节点(基础信息!$F$90:$F$105,基础信息!$G$90:$G$105,$S99),0)</f>
        <v>366148.11594124703</v>
      </c>
    </row>
    <row r="100" spans="19:24" x14ac:dyDescent="0.15">
      <c r="S100" s="111">
        <v>96</v>
      </c>
      <c r="T100" s="111">
        <f>IFERROR(求节点(基础信息!$F$10:$F$25,基础信息!$G$10:$G$25,$S100),0)*SUMPRODUCT(INDEX($D$5:$H$34,IFERROR(MATCH(求节点(基础信息!$F$10:$F$25,基础信息!$H$10:$H$25,$S100),$C$5:$C$34,1),1),),INDEX(基础信息!$I$10:$M$25,IFERROR(MATCH($S100,基础信息!$F$10:$F$25,1),1),))+IFERROR(SUMPRODUCT(INDEX(门客进修!$AE$5:$AI$20,MATCH($S100,基础信息!$F$10:$F$25,1),),INDEX(基础信息!$N$10:$R$25,MATCH($S100,基础信息!$F$10:$F$25,1),),INDEX(基础信息!$I$10:$M$25,MATCH($S100,基础信息!$F$10:$F$25,1),))*求节点(基础信息!$F$10:$F$25,基础信息!$G$10:$G$25,$S100),0)</f>
        <v>166035.01992602501</v>
      </c>
      <c r="U100" s="111">
        <f>IFERROR(求节点(基础信息!$F$30:$F$45,基础信息!$G$30:$G$45,$S100),0)*SUMPRODUCT(INDEX($D$5:$H$34,IFERROR(MATCH(求节点(基础信息!$F$30:$F$45,基础信息!$H$30:$H$45,$S100),$C$5:$C$34,1),1),),INDEX(基础信息!$I$30:$M$45,IFERROR(MATCH($S100,基础信息!$F$30:$F$45,1),1),))+IFERROR(SUMPRODUCT(INDEX(门客进修!$AE$25:$AI$40,MATCH($S100,基础信息!$F$30:$F$45,1),),INDEX(基础信息!$N$30:$R$45,MATCH($S100,基础信息!$F$30:$F$45,1),),INDEX(基础信息!$I$30:$M$45,MATCH($S100,基础信息!$F$30:$F$45,1),))*求节点(基础信息!$F$30:$F$45,基础信息!$G$30:$G$45,$S100),0)</f>
        <v>247576.41304281013</v>
      </c>
      <c r="V100" s="111">
        <f>IFERROR(求节点(基础信息!$F$50:$F$65,基础信息!$G$50:$G$65,$S100),0)*SUMPRODUCT(INDEX($D$5:$H$34,IFERROR(MATCH(求节点(基础信息!$F$50:$F$65,基础信息!$H$50:$H$65,$S100),$C$5:$C$34,1),1),),INDEX(基础信息!$I$50:$M$65,IFERROR(MATCH($S100,基础信息!$F$50:$F$65,1),1),))+IFERROR(SUMPRODUCT(INDEX(门客进修!$AE$45:$AI$60,MATCH($S100,基础信息!$F$50:$F$65,1),),INDEX(基础信息!$N$50:$R$65,MATCH($S100,基础信息!$F$50:$F$65,1),),INDEX(基础信息!$I$50:$M$65,MATCH($S100,基础信息!$F$50:$F$65,1),))*求节点(基础信息!$F$50:$F$65,基础信息!$G$50:$G$65,$S100),0)</f>
        <v>295631.25464099424</v>
      </c>
      <c r="W100" s="111">
        <f>IFERROR(求节点(基础信息!$F$70:$F$85,基础信息!$G$70:$G$85,$S100),0)*SUMPRODUCT(INDEX($D$5:$H$34,IFERROR(MATCH(求节点(基础信息!$F$70:$F$85,基础信息!$H$70:$H$85,$S100),$C$5:$C$34,1),1),),INDEX(基础信息!$I$70:$M$85,IFERROR(MATCH($S100,基础信息!$F$70:$F$85,1),1),))+IFERROR(SUMPRODUCT(INDEX(门客进修!$AE$65:$AI$80,MATCH($S100,基础信息!$F$70:$F$85,1),),INDEX(基础信息!$N$70:$R$85,MATCH($S100,基础信息!$F$70:$F$85,1),),INDEX(基础信息!$I$70:$M$85,MATCH($S100,基础信息!$F$70:$F$85,1),))*求节点(基础信息!$F$70:$F$85,基础信息!$G$70:$G$85,$S100),0)</f>
        <v>344797.18436268118</v>
      </c>
      <c r="X100" s="111">
        <f>IFERROR(求节点(基础信息!$F$90:$F$105,基础信息!$G$90:$G$105,$S100),0)*SUMPRODUCT(INDEX($D$5:$H$34,IFERROR(MATCH(求节点(基础信息!$F$90:$F$105,基础信息!$H$90:$H$105,$S100),$C$5:$C$34,1),1),),INDEX(基础信息!$I$90:$M$105,IFERROR(MATCH($S100,基础信息!$F$90:$F$105,1),1),))+IFERROR(SUMPRODUCT(INDEX(门客进修!$AE$85:$AI$100,MATCH($S100,基础信息!$F$90:$F$105,1),),INDEX(基础信息!$N$90:$R$105,MATCH($S100,基础信息!$F$90:$F$105,1),),INDEX(基础信息!$I$90:$M$105,MATCH($S100,基础信息!$F$90:$F$105,1),))*求节点(基础信息!$F$90:$F$105,基础信息!$G$90:$G$105,$S100),0)</f>
        <v>369481.24508153391</v>
      </c>
    </row>
    <row r="101" spans="19:24" x14ac:dyDescent="0.15">
      <c r="S101" s="111">
        <v>97</v>
      </c>
      <c r="T101" s="111">
        <f>IFERROR(求节点(基础信息!$F$10:$F$25,基础信息!$G$10:$G$25,$S101),0)*SUMPRODUCT(INDEX($D$5:$H$34,IFERROR(MATCH(求节点(基础信息!$F$10:$F$25,基础信息!$H$10:$H$25,$S101),$C$5:$C$34,1),1),),INDEX(基础信息!$I$10:$M$25,IFERROR(MATCH($S101,基础信息!$F$10:$F$25,1),1),))+IFERROR(SUMPRODUCT(INDEX(门客进修!$AE$5:$AI$20,MATCH($S101,基础信息!$F$10:$F$25,1),),INDEX(基础信息!$N$10:$R$25,MATCH($S101,基础信息!$F$10:$F$25,1),),INDEX(基础信息!$I$10:$M$25,MATCH($S101,基础信息!$F$10:$F$25,1),))*求节点(基础信息!$F$10:$F$25,基础信息!$G$10:$G$25,$S101),0)</f>
        <v>196350.29221587797</v>
      </c>
      <c r="U101" s="111">
        <f>IFERROR(求节点(基础信息!$F$30:$F$45,基础信息!$G$30:$G$45,$S101),0)*SUMPRODUCT(INDEX($D$5:$H$34,IFERROR(MATCH(求节点(基础信息!$F$30:$F$45,基础信息!$H$30:$H$45,$S101),$C$5:$C$34,1),1),),INDEX(基础信息!$I$30:$M$45,IFERROR(MATCH($S101,基础信息!$F$30:$F$45,1),1),))+IFERROR(SUMPRODUCT(INDEX(门客进修!$AE$25:$AI$40,MATCH($S101,基础信息!$F$30:$F$45,1),),INDEX(基础信息!$N$30:$R$45,MATCH($S101,基础信息!$F$30:$F$45,1),),INDEX(基础信息!$I$30:$M$45,MATCH($S101,基础信息!$F$30:$F$45,1),))*求节点(基础信息!$F$30:$F$45,基础信息!$G$30:$G$45,$S101),0)</f>
        <v>249894.86003563728</v>
      </c>
      <c r="V101" s="111">
        <f>IFERROR(求节点(基础信息!$F$50:$F$65,基础信息!$G$50:$G$65,$S101),0)*SUMPRODUCT(INDEX($D$5:$H$34,IFERROR(MATCH(求节点(基础信息!$F$50:$F$65,基础信息!$H$50:$H$65,$S101),$C$5:$C$34,1),1),),INDEX(基础信息!$I$50:$M$65,IFERROR(MATCH($S101,基础信息!$F$50:$F$65,1),1),))+IFERROR(SUMPRODUCT(INDEX(门客进修!$AE$45:$AI$60,MATCH($S101,基础信息!$F$50:$F$65,1),),INDEX(基础信息!$N$50:$R$65,MATCH($S101,基础信息!$F$50:$F$65,1),),INDEX(基础信息!$I$50:$M$65,MATCH($S101,基础信息!$F$50:$F$65,1),))*求节点(基础信息!$F$50:$F$65,基础信息!$G$50:$G$65,$S101),0)</f>
        <v>298370.15420098451</v>
      </c>
      <c r="W101" s="111">
        <f>IFERROR(求节点(基础信息!$F$70:$F$85,基础信息!$G$70:$G$85,$S101),0)*SUMPRODUCT(INDEX($D$5:$H$34,IFERROR(MATCH(求节点(基础信息!$F$70:$F$85,基础信息!$H$70:$H$85,$S101),$C$5:$C$34,1),1),),INDEX(基础信息!$I$70:$M$85,IFERROR(MATCH($S101,基础信息!$F$70:$F$85,1),1),))+IFERROR(SUMPRODUCT(INDEX(门客进修!$AE$65:$AI$80,MATCH($S101,基础信息!$F$70:$F$85,1),),INDEX(基础信息!$N$70:$R$85,MATCH($S101,基础信息!$F$70:$F$85,1),),INDEX(基础信息!$I$70:$M$85,MATCH($S101,基础信息!$F$70:$F$85,1),))*求节点(基础信息!$F$70:$F$85,基础信息!$G$70:$G$85,$S101),0)</f>
        <v>347948.53957676748</v>
      </c>
      <c r="X101" s="111">
        <f>IFERROR(求节点(基础信息!$F$90:$F$105,基础信息!$G$90:$G$105,$S101),0)*SUMPRODUCT(INDEX($D$5:$H$34,IFERROR(MATCH(求节点(基础信息!$F$90:$F$105,基础信息!$H$90:$H$105,$S101),$C$5:$C$34,1),1),),INDEX(基础信息!$I$90:$M$105,IFERROR(MATCH($S101,基础信息!$F$90:$F$105,1),1),))+IFERROR(SUMPRODUCT(INDEX(门客进修!$AE$85:$AI$100,MATCH($S101,基础信息!$F$90:$F$105,1),),INDEX(基础信息!$N$90:$R$105,MATCH($S101,基础信息!$F$90:$F$105,1),),INDEX(基础信息!$I$90:$M$105,MATCH($S101,基础信息!$F$90:$F$105,1),))*求节点(基础信息!$F$90:$F$105,基础信息!$G$90:$G$105,$S101),0)</f>
        <v>372814.37422182073</v>
      </c>
    </row>
    <row r="102" spans="19:24" x14ac:dyDescent="0.15">
      <c r="S102" s="111">
        <v>98</v>
      </c>
      <c r="T102" s="111">
        <f>IFERROR(求节点(基础信息!$F$10:$F$25,基础信息!$G$10:$G$25,$S102),0)*SUMPRODUCT(INDEX($D$5:$H$34,IFERROR(MATCH(求节点(基础信息!$F$10:$F$25,基础信息!$H$10:$H$25,$S102),$C$5:$C$34,1),1),),INDEX(基础信息!$I$10:$M$25,IFERROR(MATCH($S102,基础信息!$F$10:$F$25,1),1),))+IFERROR(SUMPRODUCT(INDEX(门客进修!$AE$5:$AI$20,MATCH($S102,基础信息!$F$10:$F$25,1),),INDEX(基础信息!$N$10:$R$25,MATCH($S102,基础信息!$F$10:$F$25,1),),INDEX(基础信息!$I$10:$M$25,MATCH($S102,基础信息!$F$10:$F$25,1),))*求节点(基础信息!$F$10:$F$25,基础信息!$G$10:$G$25,$S102),0)</f>
        <v>198189.47980800064</v>
      </c>
      <c r="U102" s="111">
        <f>IFERROR(求节点(基础信息!$F$30:$F$45,基础信息!$G$30:$G$45,$S102),0)*SUMPRODUCT(INDEX($D$5:$H$34,IFERROR(MATCH(求节点(基础信息!$F$30:$F$45,基础信息!$H$30:$H$45,$S102),$C$5:$C$34,1),1),),INDEX(基础信息!$I$30:$M$45,IFERROR(MATCH($S102,基础信息!$F$30:$F$45,1),1),))+IFERROR(SUMPRODUCT(INDEX(门客进修!$AE$25:$AI$40,MATCH($S102,基础信息!$F$30:$F$45,1),),INDEX(基础信息!$N$30:$R$45,MATCH($S102,基础信息!$F$30:$F$45,1),),INDEX(基础信息!$I$30:$M$45,MATCH($S102,基础信息!$F$30:$F$45,1),))*求节点(基础信息!$F$30:$F$45,基础信息!$G$30:$G$45,$S102),0)</f>
        <v>252213.30702846445</v>
      </c>
      <c r="V102" s="111">
        <f>IFERROR(求节点(基础信息!$F$50:$F$65,基础信息!$G$50:$G$65,$S102),0)*SUMPRODUCT(INDEX($D$5:$H$34,IFERROR(MATCH(求节点(基础信息!$F$50:$F$65,基础信息!$H$50:$H$65,$S102),$C$5:$C$34,1),1),),INDEX(基础信息!$I$50:$M$65,IFERROR(MATCH($S102,基础信息!$F$50:$F$65,1),1),))+IFERROR(SUMPRODUCT(INDEX(门客进修!$AE$45:$AI$60,MATCH($S102,基础信息!$F$50:$F$65,1),),INDEX(基础信息!$N$50:$R$65,MATCH($S102,基础信息!$F$50:$F$65,1),),INDEX(基础信息!$I$50:$M$65,MATCH($S102,基础信息!$F$50:$F$65,1),))*求节点(基础信息!$F$50:$F$65,基础信息!$G$50:$G$65,$S102),0)</f>
        <v>301109.05376097473</v>
      </c>
      <c r="W102" s="111">
        <f>IFERROR(求节点(基础信息!$F$70:$F$85,基础信息!$G$70:$G$85,$S102),0)*SUMPRODUCT(INDEX($D$5:$H$34,IFERROR(MATCH(求节点(基础信息!$F$70:$F$85,基础信息!$H$70:$H$85,$S102),$C$5:$C$34,1),1),),INDEX(基础信息!$I$70:$M$85,IFERROR(MATCH($S102,基础信息!$F$70:$F$85,1),1),))+IFERROR(SUMPRODUCT(INDEX(门客进修!$AE$65:$AI$80,MATCH($S102,基础信息!$F$70:$F$85,1),),INDEX(基础信息!$N$70:$R$85,MATCH($S102,基础信息!$F$70:$F$85,1),),INDEX(基础信息!$I$70:$M$85,MATCH($S102,基础信息!$F$70:$F$85,1),))*求节点(基础信息!$F$70:$F$85,基础信息!$G$70:$G$85,$S102),0)</f>
        <v>351099.89479085384</v>
      </c>
      <c r="X102" s="111">
        <f>IFERROR(求节点(基础信息!$F$90:$F$105,基础信息!$G$90:$G$105,$S102),0)*SUMPRODUCT(INDEX($D$5:$H$34,IFERROR(MATCH(求节点(基础信息!$F$90:$F$105,基础信息!$H$90:$H$105,$S102),$C$5:$C$34,1),1),),INDEX(基础信息!$I$90:$M$105,IFERROR(MATCH($S102,基础信息!$F$90:$F$105,1),1),))+IFERROR(SUMPRODUCT(INDEX(门客进修!$AE$85:$AI$100,MATCH($S102,基础信息!$F$90:$F$105,1),),INDEX(基础信息!$N$90:$R$105,MATCH($S102,基础信息!$F$90:$F$105,1),),INDEX(基础信息!$I$90:$M$105,MATCH($S102,基础信息!$F$90:$F$105,1),))*求节点(基础信息!$F$90:$F$105,基础信息!$G$90:$G$105,$S102),0)</f>
        <v>376147.50336210767</v>
      </c>
    </row>
    <row r="103" spans="19:24" x14ac:dyDescent="0.15">
      <c r="S103" s="111">
        <v>99</v>
      </c>
      <c r="T103" s="111">
        <f>IFERROR(求节点(基础信息!$F$10:$F$25,基础信息!$G$10:$G$25,$S103),0)*SUMPRODUCT(INDEX($D$5:$H$34,IFERROR(MATCH(求节点(基础信息!$F$10:$F$25,基础信息!$H$10:$H$25,$S103),$C$5:$C$34,1),1),),INDEX(基础信息!$I$10:$M$25,IFERROR(MATCH($S103,基础信息!$F$10:$F$25,1),1),))+IFERROR(SUMPRODUCT(INDEX(门客进修!$AE$5:$AI$20,MATCH($S103,基础信息!$F$10:$F$25,1),),INDEX(基础信息!$N$10:$R$25,MATCH($S103,基础信息!$F$10:$F$25,1),),INDEX(基础信息!$I$10:$M$25,MATCH($S103,基础信息!$F$10:$F$25,1),))*求节点(基础信息!$F$10:$F$25,基础信息!$G$10:$G$25,$S103),0)</f>
        <v>200028.66740012329</v>
      </c>
      <c r="U103" s="111">
        <f>IFERROR(求节点(基础信息!$F$30:$F$45,基础信息!$G$30:$G$45,$S103),0)*SUMPRODUCT(INDEX($D$5:$H$34,IFERROR(MATCH(求节点(基础信息!$F$30:$F$45,基础信息!$H$30:$H$45,$S103),$C$5:$C$34,1),1),),INDEX(基础信息!$I$30:$M$45,IFERROR(MATCH($S103,基础信息!$F$30:$F$45,1),1),))+IFERROR(SUMPRODUCT(INDEX(门客进修!$AE$25:$AI$40,MATCH($S103,基础信息!$F$30:$F$45,1),),INDEX(基础信息!$N$30:$R$45,MATCH($S103,基础信息!$F$30:$F$45,1),),INDEX(基础信息!$I$30:$M$45,MATCH($S103,基础信息!$F$30:$F$45,1),))*求节点(基础信息!$F$30:$F$45,基础信息!$G$30:$G$45,$S103),0)</f>
        <v>254531.75402129159</v>
      </c>
      <c r="V103" s="111">
        <f>IFERROR(求节点(基础信息!$F$50:$F$65,基础信息!$G$50:$G$65,$S103),0)*SUMPRODUCT(INDEX($D$5:$H$34,IFERROR(MATCH(求节点(基础信息!$F$50:$F$65,基础信息!$H$50:$H$65,$S103),$C$5:$C$34,1),1),),INDEX(基础信息!$I$50:$M$65,IFERROR(MATCH($S103,基础信息!$F$50:$F$65,1),1),))+IFERROR(SUMPRODUCT(INDEX(门客进修!$AE$45:$AI$60,MATCH($S103,基础信息!$F$50:$F$65,1),),INDEX(基础信息!$N$50:$R$65,MATCH($S103,基础信息!$F$50:$F$65,1),),INDEX(基础信息!$I$50:$M$65,MATCH($S103,基础信息!$F$50:$F$65,1),))*求节点(基础信息!$F$50:$F$65,基础信息!$G$50:$G$65,$S103),0)</f>
        <v>303847.95332096494</v>
      </c>
      <c r="W103" s="111">
        <f>IFERROR(求节点(基础信息!$F$70:$F$85,基础信息!$G$70:$G$85,$S103),0)*SUMPRODUCT(INDEX($D$5:$H$34,IFERROR(MATCH(求节点(基础信息!$F$70:$F$85,基础信息!$H$70:$H$85,$S103),$C$5:$C$34,1),1),),INDEX(基础信息!$I$70:$M$85,IFERROR(MATCH($S103,基础信息!$F$70:$F$85,1),1),))+IFERROR(SUMPRODUCT(INDEX(门客进修!$AE$65:$AI$80,MATCH($S103,基础信息!$F$70:$F$85,1),),INDEX(基础信息!$N$70:$R$85,MATCH($S103,基础信息!$F$70:$F$85,1),),INDEX(基础信息!$I$70:$M$85,MATCH($S103,基础信息!$F$70:$F$85,1),))*求节点(基础信息!$F$70:$F$85,基础信息!$G$70:$G$85,$S103),0)</f>
        <v>354251.25000494014</v>
      </c>
      <c r="X103" s="111">
        <f>IFERROR(求节点(基础信息!$F$90:$F$105,基础信息!$G$90:$G$105,$S103),0)*SUMPRODUCT(INDEX($D$5:$H$34,IFERROR(MATCH(求节点(基础信息!$F$90:$F$105,基础信息!$H$90:$H$105,$S103),$C$5:$C$34,1),1),),INDEX(基础信息!$I$90:$M$105,IFERROR(MATCH($S103,基础信息!$F$90:$F$105,1),1),))+IFERROR(SUMPRODUCT(INDEX(门客进修!$AE$85:$AI$100,MATCH($S103,基础信息!$F$90:$F$105,1),),INDEX(基础信息!$N$90:$R$105,MATCH($S103,基础信息!$F$90:$F$105,1),),INDEX(基础信息!$I$90:$M$105,MATCH($S103,基础信息!$F$90:$F$105,1),))*求节点(基础信息!$F$90:$F$105,基础信息!$G$90:$G$105,$S103),0)</f>
        <v>379480.6325023945</v>
      </c>
    </row>
    <row r="104" spans="19:24" x14ac:dyDescent="0.15">
      <c r="S104" s="111">
        <v>100</v>
      </c>
      <c r="T104" s="111">
        <f>IFERROR(求节点(基础信息!$F$10:$F$25,基础信息!$G$10:$G$25,$S104),0)*SUMPRODUCT(INDEX($D$5:$H$34,IFERROR(MATCH(求节点(基础信息!$F$10:$F$25,基础信息!$H$10:$H$25,$S104),$C$5:$C$34,1),1),),INDEX(基础信息!$I$10:$M$25,IFERROR(MATCH($S104,基础信息!$F$10:$F$25,1),1),))+IFERROR(SUMPRODUCT(INDEX(门客进修!$AE$5:$AI$20,MATCH($S104,基础信息!$F$10:$F$25,1),),INDEX(基础信息!$N$10:$R$25,MATCH($S104,基础信息!$F$10:$F$25,1),),INDEX(基础信息!$I$10:$M$25,MATCH($S104,基础信息!$F$10:$F$25,1),))*求节点(基础信息!$F$10:$F$25,基础信息!$G$10:$G$25,$S104),0)</f>
        <v>201867.85499224594</v>
      </c>
      <c r="U104" s="111">
        <f>IFERROR(求节点(基础信息!$F$30:$F$45,基础信息!$G$30:$G$45,$S104),0)*SUMPRODUCT(INDEX($D$5:$H$34,IFERROR(MATCH(求节点(基础信息!$F$30:$F$45,基础信息!$H$30:$H$45,$S104),$C$5:$C$34,1),1),),INDEX(基础信息!$I$30:$M$45,IFERROR(MATCH($S104,基础信息!$F$30:$F$45,1),1),))+IFERROR(SUMPRODUCT(INDEX(门客进修!$AE$25:$AI$40,MATCH($S104,基础信息!$F$30:$F$45,1),),INDEX(基础信息!$N$30:$R$45,MATCH($S104,基础信息!$F$30:$F$45,1),),INDEX(基础信息!$I$30:$M$45,MATCH($S104,基础信息!$F$30:$F$45,1),))*求节点(基础信息!$F$30:$F$45,基础信息!$G$30:$G$45,$S104),0)</f>
        <v>256850.20101411876</v>
      </c>
      <c r="V104" s="111">
        <f>IFERROR(求节点(基础信息!$F$50:$F$65,基础信息!$G$50:$G$65,$S104),0)*SUMPRODUCT(INDEX($D$5:$H$34,IFERROR(MATCH(求节点(基础信息!$F$50:$F$65,基础信息!$H$50:$H$65,$S104),$C$5:$C$34,1),1),),INDEX(基础信息!$I$50:$M$65,IFERROR(MATCH($S104,基础信息!$F$50:$F$65,1),1),))+IFERROR(SUMPRODUCT(INDEX(门客进修!$AE$45:$AI$60,MATCH($S104,基础信息!$F$50:$F$65,1),),INDEX(基础信息!$N$50:$R$65,MATCH($S104,基础信息!$F$50:$F$65,1),),INDEX(基础信息!$I$50:$M$65,MATCH($S104,基础信息!$F$50:$F$65,1),))*求节点(基础信息!$F$50:$F$65,基础信息!$G$50:$G$65,$S104),0)</f>
        <v>306586.85288095509</v>
      </c>
      <c r="W104" s="111">
        <f>IFERROR(求节点(基础信息!$F$70:$F$85,基础信息!$G$70:$G$85,$S104),0)*SUMPRODUCT(INDEX($D$5:$H$34,IFERROR(MATCH(求节点(基础信息!$F$70:$F$85,基础信息!$H$70:$H$85,$S104),$C$5:$C$34,1),1),),INDEX(基础信息!$I$70:$M$85,IFERROR(MATCH($S104,基础信息!$F$70:$F$85,1),1),))+IFERROR(SUMPRODUCT(INDEX(门客进修!$AE$65:$AI$80,MATCH($S104,基础信息!$F$70:$F$85,1),),INDEX(基础信息!$N$70:$R$85,MATCH($S104,基础信息!$F$70:$F$85,1),),INDEX(基础信息!$I$70:$M$85,MATCH($S104,基础信息!$F$70:$F$85,1),))*求节点(基础信息!$F$70:$F$85,基础信息!$G$70:$G$85,$S104),0)</f>
        <v>357402.60521902645</v>
      </c>
      <c r="X104" s="111">
        <f>IFERROR(求节点(基础信息!$F$90:$F$105,基础信息!$G$90:$G$105,$S104),0)*SUMPRODUCT(INDEX($D$5:$H$34,IFERROR(MATCH(求节点(基础信息!$F$90:$F$105,基础信息!$H$90:$H$105,$S104),$C$5:$C$34,1),1),),INDEX(基础信息!$I$90:$M$105,IFERROR(MATCH($S104,基础信息!$F$90:$F$105,1),1),))+IFERROR(SUMPRODUCT(INDEX(门客进修!$AE$85:$AI$100,MATCH($S104,基础信息!$F$90:$F$105,1),),INDEX(基础信息!$N$90:$R$105,MATCH($S104,基础信息!$F$90:$F$105,1),),INDEX(基础信息!$I$90:$M$105,MATCH($S104,基础信息!$F$90:$F$105,1),))*求节点(基础信息!$F$90:$F$105,基础信息!$G$90:$G$105,$S104),0)</f>
        <v>382813.76164268138</v>
      </c>
    </row>
    <row r="105" spans="19:24" x14ac:dyDescent="0.15">
      <c r="S105" s="111">
        <v>101</v>
      </c>
      <c r="T105" s="111">
        <f>IFERROR(求节点(基础信息!$F$10:$F$25,基础信息!$G$10:$G$25,$S105),0)*SUMPRODUCT(INDEX($D$5:$H$34,IFERROR(MATCH(求节点(基础信息!$F$10:$F$25,基础信息!$H$10:$H$25,$S105),$C$5:$C$34,1),1),),INDEX(基础信息!$I$10:$M$25,IFERROR(MATCH($S105,基础信息!$F$10:$F$25,1),1),))+IFERROR(SUMPRODUCT(INDEX(门客进修!$AE$5:$AI$20,MATCH($S105,基础信息!$F$10:$F$25,1),),INDEX(基础信息!$N$10:$R$25,MATCH($S105,基础信息!$F$10:$F$25,1),),INDEX(基础信息!$I$10:$M$25,MATCH($S105,基础信息!$F$10:$F$25,1),))*求节点(基础信息!$F$10:$F$25,基础信息!$G$10:$G$25,$S105),0)</f>
        <v>203707.04258436858</v>
      </c>
      <c r="U105" s="111">
        <f>IFERROR(求节点(基础信息!$F$30:$F$45,基础信息!$G$30:$G$45,$S105),0)*SUMPRODUCT(INDEX($D$5:$H$34,IFERROR(MATCH(求节点(基础信息!$F$30:$F$45,基础信息!$H$30:$H$45,$S105),$C$5:$C$34,1),1),),INDEX(基础信息!$I$30:$M$45,IFERROR(MATCH($S105,基础信息!$F$30:$F$45,1),1),))+IFERROR(SUMPRODUCT(INDEX(门客进修!$AE$25:$AI$40,MATCH($S105,基础信息!$F$30:$F$45,1),),INDEX(基础信息!$N$30:$R$45,MATCH($S105,基础信息!$F$30:$F$45,1),),INDEX(基础信息!$I$30:$M$45,MATCH($S105,基础信息!$F$30:$F$45,1),))*求节点(基础信息!$F$30:$F$45,基础信息!$G$30:$G$45,$S105),0)</f>
        <v>259168.64800694591</v>
      </c>
      <c r="V105" s="111">
        <f>IFERROR(求节点(基础信息!$F$50:$F$65,基础信息!$G$50:$G$65,$S105),0)*SUMPRODUCT(INDEX($D$5:$H$34,IFERROR(MATCH(求节点(基础信息!$F$50:$F$65,基础信息!$H$50:$H$65,$S105),$C$5:$C$34,1),1),),INDEX(基础信息!$I$50:$M$65,IFERROR(MATCH($S105,基础信息!$F$50:$F$65,1),1),))+IFERROR(SUMPRODUCT(INDEX(门客进修!$AE$45:$AI$60,MATCH($S105,基础信息!$F$50:$F$65,1),),INDEX(基础信息!$N$50:$R$65,MATCH($S105,基础信息!$F$50:$F$65,1),),INDEX(基础信息!$I$50:$M$65,MATCH($S105,基础信息!$F$50:$F$65,1),))*求节点(基础信息!$F$50:$F$65,基础信息!$G$50:$G$65,$S105),0)</f>
        <v>309325.75244094536</v>
      </c>
      <c r="W105" s="111">
        <f>IFERROR(求节点(基础信息!$F$70:$F$85,基础信息!$G$70:$G$85,$S105),0)*SUMPRODUCT(INDEX($D$5:$H$34,IFERROR(MATCH(求节点(基础信息!$F$70:$F$85,基础信息!$H$70:$H$85,$S105),$C$5:$C$34,1),1),),INDEX(基础信息!$I$70:$M$85,IFERROR(MATCH($S105,基础信息!$F$70:$F$85,1),1),))+IFERROR(SUMPRODUCT(INDEX(门客进修!$AE$65:$AI$80,MATCH($S105,基础信息!$F$70:$F$85,1),),INDEX(基础信息!$N$70:$R$85,MATCH($S105,基础信息!$F$70:$F$85,1),),INDEX(基础信息!$I$70:$M$85,MATCH($S105,基础信息!$F$70:$F$85,1),))*求节点(基础信息!$F$70:$F$85,基础信息!$G$70:$G$85,$S105),0)</f>
        <v>360553.96043311275</v>
      </c>
      <c r="X105" s="111">
        <f>IFERROR(求节点(基础信息!$F$90:$F$105,基础信息!$G$90:$G$105,$S105),0)*SUMPRODUCT(INDEX($D$5:$H$34,IFERROR(MATCH(求节点(基础信息!$F$90:$F$105,基础信息!$H$90:$H$105,$S105),$C$5:$C$34,1),1),),INDEX(基础信息!$I$90:$M$105,IFERROR(MATCH($S105,基础信息!$F$90:$F$105,1),1),))+IFERROR(SUMPRODUCT(INDEX(门客进修!$AE$85:$AI$100,MATCH($S105,基础信息!$F$90:$F$105,1),),INDEX(基础信息!$N$90:$R$105,MATCH($S105,基础信息!$F$90:$F$105,1),),INDEX(基础信息!$I$90:$M$105,MATCH($S105,基础信息!$F$90:$F$105,1),))*求节点(基础信息!$F$90:$F$105,基础信息!$G$90:$G$105,$S105),0)</f>
        <v>386146.8907829682</v>
      </c>
    </row>
    <row r="106" spans="19:24" x14ac:dyDescent="0.15">
      <c r="S106" s="111">
        <v>102</v>
      </c>
      <c r="T106" s="111">
        <f>IFERROR(求节点(基础信息!$F$10:$F$25,基础信息!$G$10:$G$25,$S106),0)*SUMPRODUCT(INDEX($D$5:$H$34,IFERROR(MATCH(求节点(基础信息!$F$10:$F$25,基础信息!$H$10:$H$25,$S106),$C$5:$C$34,1),1),),INDEX(基础信息!$I$10:$M$25,IFERROR(MATCH($S106,基础信息!$F$10:$F$25,1),1),))+IFERROR(SUMPRODUCT(INDEX(门客进修!$AE$5:$AI$20,MATCH($S106,基础信息!$F$10:$F$25,1),),INDEX(基础信息!$N$10:$R$25,MATCH($S106,基础信息!$F$10:$F$25,1),),INDEX(基础信息!$I$10:$M$25,MATCH($S106,基础信息!$F$10:$F$25,1),))*求节点(基础信息!$F$10:$F$25,基础信息!$G$10:$G$25,$S106),0)</f>
        <v>205546.23017649123</v>
      </c>
      <c r="U106" s="111">
        <f>IFERROR(求节点(基础信息!$F$30:$F$45,基础信息!$G$30:$G$45,$S106),0)*SUMPRODUCT(INDEX($D$5:$H$34,IFERROR(MATCH(求节点(基础信息!$F$30:$F$45,基础信息!$H$30:$H$45,$S106),$C$5:$C$34,1),1),),INDEX(基础信息!$I$30:$M$45,IFERROR(MATCH($S106,基础信息!$F$30:$F$45,1),1),))+IFERROR(SUMPRODUCT(INDEX(门客进修!$AE$25:$AI$40,MATCH($S106,基础信息!$F$30:$F$45,1),),INDEX(基础信息!$N$30:$R$45,MATCH($S106,基础信息!$F$30:$F$45,1),),INDEX(基础信息!$I$30:$M$45,MATCH($S106,基础信息!$F$30:$F$45,1),))*求节点(基础信息!$F$30:$F$45,基础信息!$G$30:$G$45,$S106),0)</f>
        <v>261487.09499977308</v>
      </c>
      <c r="V106" s="111">
        <f>IFERROR(求节点(基础信息!$F$50:$F$65,基础信息!$G$50:$G$65,$S106),0)*SUMPRODUCT(INDEX($D$5:$H$34,IFERROR(MATCH(求节点(基础信息!$F$50:$F$65,基础信息!$H$50:$H$65,$S106),$C$5:$C$34,1),1),),INDEX(基础信息!$I$50:$M$65,IFERROR(MATCH($S106,基础信息!$F$50:$F$65,1),1),))+IFERROR(SUMPRODUCT(INDEX(门客进修!$AE$45:$AI$60,MATCH($S106,基础信息!$F$50:$F$65,1),),INDEX(基础信息!$N$50:$R$65,MATCH($S106,基础信息!$F$50:$F$65,1),),INDEX(基础信息!$I$50:$M$65,MATCH($S106,基础信息!$F$50:$F$65,1),))*求节点(基础信息!$F$50:$F$65,基础信息!$G$50:$G$65,$S106),0)</f>
        <v>312064.65200093557</v>
      </c>
      <c r="W106" s="111">
        <f>IFERROR(求节点(基础信息!$F$70:$F$85,基础信息!$G$70:$G$85,$S106),0)*SUMPRODUCT(INDEX($D$5:$H$34,IFERROR(MATCH(求节点(基础信息!$F$70:$F$85,基础信息!$H$70:$H$85,$S106),$C$5:$C$34,1),1),),INDEX(基础信息!$I$70:$M$85,IFERROR(MATCH($S106,基础信息!$F$70:$F$85,1),1),))+IFERROR(SUMPRODUCT(INDEX(门客进修!$AE$65:$AI$80,MATCH($S106,基础信息!$F$70:$F$85,1),),INDEX(基础信息!$N$70:$R$85,MATCH($S106,基础信息!$F$70:$F$85,1),),INDEX(基础信息!$I$70:$M$85,MATCH($S106,基础信息!$F$70:$F$85,1),))*求节点(基础信息!$F$70:$F$85,基础信息!$G$70:$G$85,$S106),0)</f>
        <v>363705.31564719905</v>
      </c>
      <c r="X106" s="111">
        <f>IFERROR(求节点(基础信息!$F$90:$F$105,基础信息!$G$90:$G$105,$S106),0)*SUMPRODUCT(INDEX($D$5:$H$34,IFERROR(MATCH(求节点(基础信息!$F$90:$F$105,基础信息!$H$90:$H$105,$S106),$C$5:$C$34,1),1),),INDEX(基础信息!$I$90:$M$105,IFERROR(MATCH($S106,基础信息!$F$90:$F$105,1),1),))+IFERROR(SUMPRODUCT(INDEX(门客进修!$AE$85:$AI$100,MATCH($S106,基础信息!$F$90:$F$105,1),),INDEX(基础信息!$N$90:$R$105,MATCH($S106,基础信息!$F$90:$F$105,1),),INDEX(基础信息!$I$90:$M$105,MATCH($S106,基础信息!$F$90:$F$105,1),))*求节点(基础信息!$F$90:$F$105,基础信息!$G$90:$G$105,$S106),0)</f>
        <v>389480.01992325508</v>
      </c>
    </row>
    <row r="107" spans="19:24" x14ac:dyDescent="0.15">
      <c r="S107" s="111">
        <v>103</v>
      </c>
      <c r="T107" s="111">
        <f>IFERROR(求节点(基础信息!$F$10:$F$25,基础信息!$G$10:$G$25,$S107),0)*SUMPRODUCT(INDEX($D$5:$H$34,IFERROR(MATCH(求节点(基础信息!$F$10:$F$25,基础信息!$H$10:$H$25,$S107),$C$5:$C$34,1),1),),INDEX(基础信息!$I$10:$M$25,IFERROR(MATCH($S107,基础信息!$F$10:$F$25,1),1),))+IFERROR(SUMPRODUCT(INDEX(门客进修!$AE$5:$AI$20,MATCH($S107,基础信息!$F$10:$F$25,1),),INDEX(基础信息!$N$10:$R$25,MATCH($S107,基础信息!$F$10:$F$25,1),),INDEX(基础信息!$I$10:$M$25,MATCH($S107,基础信息!$F$10:$F$25,1),))*求节点(基础信息!$F$10:$F$25,基础信息!$G$10:$G$25,$S107),0)</f>
        <v>207385.41776861387</v>
      </c>
      <c r="U107" s="111">
        <f>IFERROR(求节点(基础信息!$F$30:$F$45,基础信息!$G$30:$G$45,$S107),0)*SUMPRODUCT(INDEX($D$5:$H$34,IFERROR(MATCH(求节点(基础信息!$F$30:$F$45,基础信息!$H$30:$H$45,$S107),$C$5:$C$34,1),1),),INDEX(基础信息!$I$30:$M$45,IFERROR(MATCH($S107,基础信息!$F$30:$F$45,1),1),))+IFERROR(SUMPRODUCT(INDEX(门客进修!$AE$25:$AI$40,MATCH($S107,基础信息!$F$30:$F$45,1),),INDEX(基础信息!$N$30:$R$45,MATCH($S107,基础信息!$F$30:$F$45,1),),INDEX(基础信息!$I$30:$M$45,MATCH($S107,基础信息!$F$30:$F$45,1),))*求节点(基础信息!$F$30:$F$45,基础信息!$G$30:$G$45,$S107),0)</f>
        <v>263805.54199260019</v>
      </c>
      <c r="V107" s="111">
        <f>IFERROR(求节点(基础信息!$F$50:$F$65,基础信息!$G$50:$G$65,$S107),0)*SUMPRODUCT(INDEX($D$5:$H$34,IFERROR(MATCH(求节点(基础信息!$F$50:$F$65,基础信息!$H$50:$H$65,$S107),$C$5:$C$34,1),1),),INDEX(基础信息!$I$50:$M$65,IFERROR(MATCH($S107,基础信息!$F$50:$F$65,1),1),))+IFERROR(SUMPRODUCT(INDEX(门客进修!$AE$45:$AI$60,MATCH($S107,基础信息!$F$50:$F$65,1),),INDEX(基础信息!$N$50:$R$65,MATCH($S107,基础信息!$F$50:$F$65,1),),INDEX(基础信息!$I$50:$M$65,MATCH($S107,基础信息!$F$50:$F$65,1),))*求节点(基础信息!$F$50:$F$65,基础信息!$G$50:$G$65,$S107),0)</f>
        <v>314803.55156092584</v>
      </c>
      <c r="W107" s="111">
        <f>IFERROR(求节点(基础信息!$F$70:$F$85,基础信息!$G$70:$G$85,$S107),0)*SUMPRODUCT(INDEX($D$5:$H$34,IFERROR(MATCH(求节点(基础信息!$F$70:$F$85,基础信息!$H$70:$H$85,$S107),$C$5:$C$34,1),1),),INDEX(基础信息!$I$70:$M$85,IFERROR(MATCH($S107,基础信息!$F$70:$F$85,1),1),))+IFERROR(SUMPRODUCT(INDEX(门客进修!$AE$65:$AI$80,MATCH($S107,基础信息!$F$70:$F$85,1),),INDEX(基础信息!$N$70:$R$85,MATCH($S107,基础信息!$F$70:$F$85,1),),INDEX(基础信息!$I$70:$M$85,MATCH($S107,基础信息!$F$70:$F$85,1),))*求节点(基础信息!$F$70:$F$85,基础信息!$G$70:$G$85,$S107),0)</f>
        <v>366856.67086128541</v>
      </c>
      <c r="X107" s="111">
        <f>IFERROR(求节点(基础信息!$F$90:$F$105,基础信息!$G$90:$G$105,$S107),0)*SUMPRODUCT(INDEX($D$5:$H$34,IFERROR(MATCH(求节点(基础信息!$F$90:$F$105,基础信息!$H$90:$H$105,$S107),$C$5:$C$34,1),1),),INDEX(基础信息!$I$90:$M$105,IFERROR(MATCH($S107,基础信息!$F$90:$F$105,1),1),))+IFERROR(SUMPRODUCT(INDEX(门客进修!$AE$85:$AI$100,MATCH($S107,基础信息!$F$90:$F$105,1),),INDEX(基础信息!$N$90:$R$105,MATCH($S107,基础信息!$F$90:$F$105,1),),INDEX(基础信息!$I$90:$M$105,MATCH($S107,基础信息!$F$90:$F$105,1),))*求节点(基础信息!$F$90:$F$105,基础信息!$G$90:$G$105,$S107),0)</f>
        <v>430022.41136554495</v>
      </c>
    </row>
    <row r="108" spans="19:24" x14ac:dyDescent="0.15">
      <c r="S108" s="111">
        <v>104</v>
      </c>
      <c r="T108" s="111">
        <f>IFERROR(求节点(基础信息!$F$10:$F$25,基础信息!$G$10:$G$25,$S108),0)*SUMPRODUCT(INDEX($D$5:$H$34,IFERROR(MATCH(求节点(基础信息!$F$10:$F$25,基础信息!$H$10:$H$25,$S108),$C$5:$C$34,1),1),),INDEX(基础信息!$I$10:$M$25,IFERROR(MATCH($S108,基础信息!$F$10:$F$25,1),1),))+IFERROR(SUMPRODUCT(INDEX(门客进修!$AE$5:$AI$20,MATCH($S108,基础信息!$F$10:$F$25,1),),INDEX(基础信息!$N$10:$R$25,MATCH($S108,基础信息!$F$10:$F$25,1),),INDEX(基础信息!$I$10:$M$25,MATCH($S108,基础信息!$F$10:$F$25,1),))*求节点(基础信息!$F$10:$F$25,基础信息!$G$10:$G$25,$S108),0)</f>
        <v>209224.60536073655</v>
      </c>
      <c r="U108" s="111">
        <f>IFERROR(求节点(基础信息!$F$30:$F$45,基础信息!$G$30:$G$45,$S108),0)*SUMPRODUCT(INDEX($D$5:$H$34,IFERROR(MATCH(求节点(基础信息!$F$30:$F$45,基础信息!$H$30:$H$45,$S108),$C$5:$C$34,1),1),),INDEX(基础信息!$I$30:$M$45,IFERROR(MATCH($S108,基础信息!$F$30:$F$45,1),1),))+IFERROR(SUMPRODUCT(INDEX(门客进修!$AE$25:$AI$40,MATCH($S108,基础信息!$F$30:$F$45,1),),INDEX(基础信息!$N$30:$R$45,MATCH($S108,基础信息!$F$30:$F$45,1),),INDEX(基础信息!$I$30:$M$45,MATCH($S108,基础信息!$F$30:$F$45,1),))*求节点(基础信息!$F$30:$F$45,基础信息!$G$30:$G$45,$S108),0)</f>
        <v>266123.98898542736</v>
      </c>
      <c r="V108" s="111">
        <f>IFERROR(求节点(基础信息!$F$50:$F$65,基础信息!$G$50:$G$65,$S108),0)*SUMPRODUCT(INDEX($D$5:$H$34,IFERROR(MATCH(求节点(基础信息!$F$50:$F$65,基础信息!$H$50:$H$65,$S108),$C$5:$C$34,1),1),),INDEX(基础信息!$I$50:$M$65,IFERROR(MATCH($S108,基础信息!$F$50:$F$65,1),1),))+IFERROR(SUMPRODUCT(INDEX(门客进修!$AE$45:$AI$60,MATCH($S108,基础信息!$F$50:$F$65,1),),INDEX(基础信息!$N$50:$R$65,MATCH($S108,基础信息!$F$50:$F$65,1),),INDEX(基础信息!$I$50:$M$65,MATCH($S108,基础信息!$F$50:$F$65,1),))*求节点(基础信息!$F$50:$F$65,基础信息!$G$50:$G$65,$S108),0)</f>
        <v>317542.451120916</v>
      </c>
      <c r="W108" s="111">
        <f>IFERROR(求节点(基础信息!$F$70:$F$85,基础信息!$G$70:$G$85,$S108),0)*SUMPRODUCT(INDEX($D$5:$H$34,IFERROR(MATCH(求节点(基础信息!$F$70:$F$85,基础信息!$H$70:$H$85,$S108),$C$5:$C$34,1),1),),INDEX(基础信息!$I$70:$M$85,IFERROR(MATCH($S108,基础信息!$F$70:$F$85,1),1),))+IFERROR(SUMPRODUCT(INDEX(门客进修!$AE$65:$AI$80,MATCH($S108,基础信息!$F$70:$F$85,1),),INDEX(基础信息!$N$70:$R$85,MATCH($S108,基础信息!$F$70:$F$85,1),),INDEX(基础信息!$I$70:$M$85,MATCH($S108,基础信息!$F$70:$F$85,1),))*求节点(基础信息!$F$70:$F$85,基础信息!$G$70:$G$85,$S108),0)</f>
        <v>399737.79738540342</v>
      </c>
      <c r="X108" s="111">
        <f>IFERROR(求节点(基础信息!$F$90:$F$105,基础信息!$G$90:$G$105,$S108),0)*SUMPRODUCT(INDEX($D$5:$H$34,IFERROR(MATCH(求节点(基础信息!$F$90:$F$105,基础信息!$H$90:$H$105,$S108),$C$5:$C$34,1),1),),INDEX(基础信息!$I$90:$M$105,IFERROR(MATCH($S108,基础信息!$F$90:$F$105,1),1),))+IFERROR(SUMPRODUCT(INDEX(门客进修!$AE$85:$AI$100,MATCH($S108,基础信息!$F$90:$F$105,1),),INDEX(基础信息!$N$90:$R$105,MATCH($S108,基础信息!$F$90:$F$105,1),),INDEX(基础信息!$I$90:$M$105,MATCH($S108,基础信息!$F$90:$F$105,1),))*求节点(基础信息!$F$90:$F$105,基础信息!$G$90:$G$105,$S108),0)</f>
        <v>433654.9141823065</v>
      </c>
    </row>
    <row r="109" spans="19:24" x14ac:dyDescent="0.15">
      <c r="S109" s="111">
        <v>105</v>
      </c>
      <c r="T109" s="111">
        <f>IFERROR(求节点(基础信息!$F$10:$F$25,基础信息!$G$10:$G$25,$S109),0)*SUMPRODUCT(INDEX($D$5:$H$34,IFERROR(MATCH(求节点(基础信息!$F$10:$F$25,基础信息!$H$10:$H$25,$S109),$C$5:$C$34,1),1),),INDEX(基础信息!$I$10:$M$25,IFERROR(MATCH($S109,基础信息!$F$10:$F$25,1),1),))+IFERROR(SUMPRODUCT(INDEX(门客进修!$AE$5:$AI$20,MATCH($S109,基础信息!$F$10:$F$25,1),),INDEX(基础信息!$N$10:$R$25,MATCH($S109,基础信息!$F$10:$F$25,1),),INDEX(基础信息!$I$10:$M$25,MATCH($S109,基础信息!$F$10:$F$25,1),))*求节点(基础信息!$F$10:$F$25,基础信息!$G$10:$G$25,$S109),0)</f>
        <v>211063.79295285922</v>
      </c>
      <c r="U109" s="111">
        <f>IFERROR(求节点(基础信息!$F$30:$F$45,基础信息!$G$30:$G$45,$S109),0)*SUMPRODUCT(INDEX($D$5:$H$34,IFERROR(MATCH(求节点(基础信息!$F$30:$F$45,基础信息!$H$30:$H$45,$S109),$C$5:$C$34,1),1),),INDEX(基础信息!$I$30:$M$45,IFERROR(MATCH($S109,基础信息!$F$30:$F$45,1),1),))+IFERROR(SUMPRODUCT(INDEX(门客进修!$AE$25:$AI$40,MATCH($S109,基础信息!$F$30:$F$45,1),),INDEX(基础信息!$N$30:$R$45,MATCH($S109,基础信息!$F$30:$F$45,1),),INDEX(基础信息!$I$30:$M$45,MATCH($S109,基础信息!$F$30:$F$45,1),))*求节点(基础信息!$F$30:$F$45,基础信息!$G$30:$G$45,$S109),0)</f>
        <v>268442.43597825454</v>
      </c>
      <c r="V109" s="111">
        <f>IFERROR(求节点(基础信息!$F$50:$F$65,基础信息!$G$50:$G$65,$S109),0)*SUMPRODUCT(INDEX($D$5:$H$34,IFERROR(MATCH(求节点(基础信息!$F$50:$F$65,基础信息!$H$50:$H$65,$S109),$C$5:$C$34,1),1),),INDEX(基础信息!$I$50:$M$65,IFERROR(MATCH($S109,基础信息!$F$50:$F$65,1),1),))+IFERROR(SUMPRODUCT(INDEX(门客进修!$AE$45:$AI$60,MATCH($S109,基础信息!$F$50:$F$65,1),),INDEX(基础信息!$N$50:$R$65,MATCH($S109,基础信息!$F$50:$F$65,1),),INDEX(基础信息!$I$50:$M$65,MATCH($S109,基础信息!$F$50:$F$65,1),))*求节点(基础信息!$F$50:$F$65,基础信息!$G$50:$G$65,$S109),0)</f>
        <v>363204.10208559909</v>
      </c>
      <c r="W109" s="111">
        <f>IFERROR(求节点(基础信息!$F$70:$F$85,基础信息!$G$70:$G$85,$S109),0)*SUMPRODUCT(INDEX($D$5:$H$34,IFERROR(MATCH(求节点(基础信息!$F$70:$F$85,基础信息!$H$70:$H$85,$S109),$C$5:$C$34,1),1),),INDEX(基础信息!$I$70:$M$85,IFERROR(MATCH($S109,基础信息!$F$70:$F$85,1),1),))+IFERROR(SUMPRODUCT(INDEX(门客进修!$AE$65:$AI$80,MATCH($S109,基础信息!$F$70:$F$85,1),),INDEX(基础信息!$N$70:$R$85,MATCH($S109,基础信息!$F$70:$F$85,1),),INDEX(基础信息!$I$70:$M$85,MATCH($S109,基础信息!$F$70:$F$85,1),))*求节点(基础信息!$F$70:$F$85,基础信息!$G$70:$G$85,$S109),0)</f>
        <v>403119.08881867235</v>
      </c>
      <c r="X109" s="111">
        <f>IFERROR(求节点(基础信息!$F$90:$F$105,基础信息!$G$90:$G$105,$S109),0)*SUMPRODUCT(INDEX($D$5:$H$34,IFERROR(MATCH(求节点(基础信息!$F$90:$F$105,基础信息!$H$90:$H$105,$S109),$C$5:$C$34,1),1),),INDEX(基础信息!$I$90:$M$105,IFERROR(MATCH($S109,基础信息!$F$90:$F$105,1),1),))+IFERROR(SUMPRODUCT(INDEX(门客进修!$AE$85:$AI$100,MATCH($S109,基础信息!$F$90:$F$105,1),),INDEX(基础信息!$N$90:$R$105,MATCH($S109,基础信息!$F$90:$F$105,1),),INDEX(基础信息!$I$90:$M$105,MATCH($S109,基础信息!$F$90:$F$105,1),))*求节点(基础信息!$F$90:$F$105,基础信息!$G$90:$G$105,$S109),0)</f>
        <v>437287.41699906805</v>
      </c>
    </row>
    <row r="110" spans="19:24" x14ac:dyDescent="0.15">
      <c r="S110" s="111">
        <v>106</v>
      </c>
      <c r="T110" s="111">
        <f>IFERROR(求节点(基础信息!$F$10:$F$25,基础信息!$G$10:$G$25,$S110),0)*SUMPRODUCT(INDEX($D$5:$H$34,IFERROR(MATCH(求节点(基础信息!$F$10:$F$25,基础信息!$H$10:$H$25,$S110),$C$5:$C$34,1),1),),INDEX(基础信息!$I$10:$M$25,IFERROR(MATCH($S110,基础信息!$F$10:$F$25,1),1),))+IFERROR(SUMPRODUCT(INDEX(门客进修!$AE$5:$AI$20,MATCH($S110,基础信息!$F$10:$F$25,1),),INDEX(基础信息!$N$10:$R$25,MATCH($S110,基础信息!$F$10:$F$25,1),),INDEX(基础信息!$I$10:$M$25,MATCH($S110,基础信息!$F$10:$F$25,1),))*求节点(基础信息!$F$10:$F$25,基础信息!$G$10:$G$25,$S110),0)</f>
        <v>212902.98054498187</v>
      </c>
      <c r="U110" s="111">
        <f>IFERROR(求节点(基础信息!$F$30:$F$45,基础信息!$G$30:$G$45,$S110),0)*SUMPRODUCT(INDEX($D$5:$H$34,IFERROR(MATCH(求节点(基础信息!$F$30:$F$45,基础信息!$H$30:$H$45,$S110),$C$5:$C$34,1),1),),INDEX(基础信息!$I$30:$M$45,IFERROR(MATCH($S110,基础信息!$F$30:$F$45,1),1),))+IFERROR(SUMPRODUCT(INDEX(门客进修!$AE$25:$AI$40,MATCH($S110,基础信息!$F$30:$F$45,1),),INDEX(基础信息!$N$30:$R$45,MATCH($S110,基础信息!$F$30:$F$45,1),),INDEX(基础信息!$I$30:$M$45,MATCH($S110,基础信息!$F$30:$F$45,1),))*求节点(基础信息!$F$30:$F$45,基础信息!$G$30:$G$45,$S110),0)</f>
        <v>320289.79532229662</v>
      </c>
      <c r="V110" s="111">
        <f>IFERROR(求节点(基础信息!$F$50:$F$65,基础信息!$G$50:$G$65,$S110),0)*SUMPRODUCT(INDEX($D$5:$H$34,IFERROR(MATCH(求节点(基础信息!$F$50:$F$65,基础信息!$H$50:$H$65,$S110),$C$5:$C$34,1),1),),INDEX(基础信息!$I$50:$M$65,IFERROR(MATCH($S110,基础信息!$F$50:$F$65,1),1),))+IFERROR(SUMPRODUCT(INDEX(门客进修!$AE$45:$AI$60,MATCH($S110,基础信息!$F$50:$F$65,1),),INDEX(基础信息!$N$50:$R$65,MATCH($S110,基础信息!$F$50:$F$65,1),),INDEX(基础信息!$I$50:$M$65,MATCH($S110,基础信息!$F$50:$F$65,1),))*求节点(基础信息!$F$50:$F$65,基础信息!$G$50:$G$65,$S110),0)</f>
        <v>366286.61112083937</v>
      </c>
      <c r="W110" s="111">
        <f>IFERROR(求节点(基础信息!$F$70:$F$85,基础信息!$G$70:$G$85,$S110),0)*SUMPRODUCT(INDEX($D$5:$H$34,IFERROR(MATCH(求节点(基础信息!$F$70:$F$85,基础信息!$H$70:$H$85,$S110),$C$5:$C$34,1),1),),INDEX(基础信息!$I$70:$M$85,IFERROR(MATCH($S110,基础信息!$F$70:$F$85,1),1),))+IFERROR(SUMPRODUCT(INDEX(门客进修!$AE$65:$AI$80,MATCH($S110,基础信息!$F$70:$F$85,1),),INDEX(基础信息!$N$70:$R$85,MATCH($S110,基础信息!$F$70:$F$85,1),),INDEX(基础信息!$I$70:$M$85,MATCH($S110,基础信息!$F$70:$F$85,1),))*求节点(基础信息!$F$70:$F$85,基础信息!$G$70:$G$85,$S110),0)</f>
        <v>406500.38025194115</v>
      </c>
      <c r="X110" s="111">
        <f>IFERROR(求节点(基础信息!$F$90:$F$105,基础信息!$G$90:$G$105,$S110),0)*SUMPRODUCT(INDEX($D$5:$H$34,IFERROR(MATCH(求节点(基础信息!$F$90:$F$105,基础信息!$H$90:$H$105,$S110),$C$5:$C$34,1),1),),INDEX(基础信息!$I$90:$M$105,IFERROR(MATCH($S110,基础信息!$F$90:$F$105,1),1),))+IFERROR(SUMPRODUCT(INDEX(门客进修!$AE$85:$AI$100,MATCH($S110,基础信息!$F$90:$F$105,1),),INDEX(基础信息!$N$90:$R$105,MATCH($S110,基础信息!$F$90:$F$105,1),),INDEX(基础信息!$I$90:$M$105,MATCH($S110,基础信息!$F$90:$F$105,1),))*求节点(基础信息!$F$90:$F$105,基础信息!$G$90:$G$105,$S110),0)</f>
        <v>440919.91981582961</v>
      </c>
    </row>
    <row r="111" spans="19:24" x14ac:dyDescent="0.15">
      <c r="S111" s="111">
        <v>107</v>
      </c>
      <c r="T111" s="111">
        <f>IFERROR(求节点(基础信息!$F$10:$F$25,基础信息!$G$10:$G$25,$S111),0)*SUMPRODUCT(INDEX($D$5:$H$34,IFERROR(MATCH(求节点(基础信息!$F$10:$F$25,基础信息!$H$10:$H$25,$S111),$C$5:$C$34,1),1),),INDEX(基础信息!$I$10:$M$25,IFERROR(MATCH($S111,基础信息!$F$10:$F$25,1),1),))+IFERROR(SUMPRODUCT(INDEX(门客进修!$AE$5:$AI$20,MATCH($S111,基础信息!$F$10:$F$25,1),),INDEX(基础信息!$N$10:$R$25,MATCH($S111,基础信息!$F$10:$F$25,1),),INDEX(基础信息!$I$10:$M$25,MATCH($S111,基础信息!$F$10:$F$25,1),))*求节点(基础信息!$F$10:$F$25,基础信息!$G$10:$G$25,$S111),0)</f>
        <v>270906.35922396882</v>
      </c>
      <c r="U111" s="111">
        <f>IFERROR(求节点(基础信息!$F$30:$F$45,基础信息!$G$30:$G$45,$S111),0)*SUMPRODUCT(INDEX($D$5:$H$34,IFERROR(MATCH(求节点(基础信息!$F$30:$F$45,基础信息!$H$30:$H$45,$S111),$C$5:$C$34,1),1),),INDEX(基础信息!$I$30:$M$45,IFERROR(MATCH($S111,基础信息!$F$30:$F$45,1),1),))+IFERROR(SUMPRODUCT(INDEX(门客进修!$AE$25:$AI$40,MATCH($S111,基础信息!$F$30:$F$45,1),),INDEX(基础信息!$N$30:$R$45,MATCH($S111,基础信息!$F$30:$F$45,1),),INDEX(基础信息!$I$30:$M$45,MATCH($S111,基础信息!$F$30:$F$45,1),))*求节点(基础信息!$F$30:$F$45,基础信息!$G$30:$G$45,$S111),0)</f>
        <v>323024.89146872325</v>
      </c>
      <c r="V111" s="111">
        <f>IFERROR(求节点(基础信息!$F$50:$F$65,基础信息!$G$50:$G$65,$S111),0)*SUMPRODUCT(INDEX($D$5:$H$34,IFERROR(MATCH(求节点(基础信息!$F$50:$F$65,基础信息!$H$50:$H$65,$S111),$C$5:$C$34,1),1),),INDEX(基础信息!$I$50:$M$65,IFERROR(MATCH($S111,基础信息!$F$50:$F$65,1),1),))+IFERROR(SUMPRODUCT(INDEX(门客进修!$AE$45:$AI$60,MATCH($S111,基础信息!$F$50:$F$65,1),),INDEX(基础信息!$N$50:$R$65,MATCH($S111,基础信息!$F$50:$F$65,1),),INDEX(基础信息!$I$50:$M$65,MATCH($S111,基础信息!$F$50:$F$65,1),))*求节点(基础信息!$F$50:$F$65,基础信息!$G$50:$G$65,$S111),0)</f>
        <v>369369.12015607953</v>
      </c>
      <c r="W111" s="111">
        <f>IFERROR(求节点(基础信息!$F$70:$F$85,基础信息!$G$70:$G$85,$S111),0)*SUMPRODUCT(INDEX($D$5:$H$34,IFERROR(MATCH(求节点(基础信息!$F$70:$F$85,基础信息!$H$70:$H$85,$S111),$C$5:$C$34,1),1),),INDEX(基础信息!$I$70:$M$85,IFERROR(MATCH($S111,基础信息!$F$70:$F$85,1),1),))+IFERROR(SUMPRODUCT(INDEX(门客进修!$AE$65:$AI$80,MATCH($S111,基础信息!$F$70:$F$85,1),),INDEX(基础信息!$N$70:$R$85,MATCH($S111,基础信息!$F$70:$F$85,1),),INDEX(基础信息!$I$70:$M$85,MATCH($S111,基础信息!$F$70:$F$85,1),))*求节点(基础信息!$F$70:$F$85,基础信息!$G$70:$G$85,$S111),0)</f>
        <v>409881.67168521008</v>
      </c>
      <c r="X111" s="111">
        <f>IFERROR(求节点(基础信息!$F$90:$F$105,基础信息!$G$90:$G$105,$S111),0)*SUMPRODUCT(INDEX($D$5:$H$34,IFERROR(MATCH(求节点(基础信息!$F$90:$F$105,基础信息!$H$90:$H$105,$S111),$C$5:$C$34,1),1),),INDEX(基础信息!$I$90:$M$105,IFERROR(MATCH($S111,基础信息!$F$90:$F$105,1),1),))+IFERROR(SUMPRODUCT(INDEX(门客进修!$AE$85:$AI$100,MATCH($S111,基础信息!$F$90:$F$105,1),),INDEX(基础信息!$N$90:$R$105,MATCH($S111,基础信息!$F$90:$F$105,1),),INDEX(基础信息!$I$90:$M$105,MATCH($S111,基础信息!$F$90:$F$105,1),))*求节点(基础信息!$F$90:$F$105,基础信息!$G$90:$G$105,$S111),0)</f>
        <v>444552.42263259122</v>
      </c>
    </row>
    <row r="112" spans="19:24" x14ac:dyDescent="0.15">
      <c r="S112" s="111">
        <v>108</v>
      </c>
      <c r="T112" s="111">
        <f>IFERROR(求节点(基础信息!$F$10:$F$25,基础信息!$G$10:$G$25,$S112),0)*SUMPRODUCT(INDEX($D$5:$H$34,IFERROR(MATCH(求节点(基础信息!$F$10:$F$25,基础信息!$H$10:$H$25,$S112),$C$5:$C$34,1),1),),INDEX(基础信息!$I$10:$M$25,IFERROR(MATCH($S112,基础信息!$F$10:$F$25,1),1),))+IFERROR(SUMPRODUCT(INDEX(门客进修!$AE$5:$AI$20,MATCH($S112,基础信息!$F$10:$F$25,1),),INDEX(基础信息!$N$10:$R$25,MATCH($S112,基础信息!$F$10:$F$25,1),),INDEX(基础信息!$I$10:$M$25,MATCH($S112,基础信息!$F$10:$F$25,1),))*求节点(基础信息!$F$10:$F$25,基础信息!$G$10:$G$25,$S112),0)</f>
        <v>273233.05707197107</v>
      </c>
      <c r="U112" s="111">
        <f>IFERROR(求节点(基础信息!$F$30:$F$45,基础信息!$G$30:$G$45,$S112),0)*SUMPRODUCT(INDEX($D$5:$H$34,IFERROR(MATCH(求节点(基础信息!$F$30:$F$45,基础信息!$H$30:$H$45,$S112),$C$5:$C$34,1),1),),INDEX(基础信息!$I$30:$M$45,IFERROR(MATCH($S112,基础信息!$F$30:$F$45,1),1),))+IFERROR(SUMPRODUCT(INDEX(门客进修!$AE$25:$AI$40,MATCH($S112,基础信息!$F$30:$F$45,1),),INDEX(基础信息!$N$30:$R$45,MATCH($S112,基础信息!$F$30:$F$45,1),),INDEX(基础信息!$I$30:$M$45,MATCH($S112,基础信息!$F$30:$F$45,1),))*求节点(基础信息!$F$30:$F$45,基础信息!$G$30:$G$45,$S112),0)</f>
        <v>325759.98761514988</v>
      </c>
      <c r="V112" s="111">
        <f>IFERROR(求节点(基础信息!$F$50:$F$65,基础信息!$G$50:$G$65,$S112),0)*SUMPRODUCT(INDEX($D$5:$H$34,IFERROR(MATCH(求节点(基础信息!$F$50:$F$65,基础信息!$H$50:$H$65,$S112),$C$5:$C$34,1),1),),INDEX(基础信息!$I$50:$M$65,IFERROR(MATCH($S112,基础信息!$F$50:$F$65,1),1),))+IFERROR(SUMPRODUCT(INDEX(门客进修!$AE$45:$AI$60,MATCH($S112,基础信息!$F$50:$F$65,1),),INDEX(基础信息!$N$50:$R$65,MATCH($S112,基础信息!$F$50:$F$65,1),),INDEX(基础信息!$I$50:$M$65,MATCH($S112,基础信息!$F$50:$F$65,1),))*求节点(基础信息!$F$50:$F$65,基础信息!$G$50:$G$65,$S112),0)</f>
        <v>372451.62919131981</v>
      </c>
      <c r="W112" s="111">
        <f>IFERROR(求节点(基础信息!$F$70:$F$85,基础信息!$G$70:$G$85,$S112),0)*SUMPRODUCT(INDEX($D$5:$H$34,IFERROR(MATCH(求节点(基础信息!$F$70:$F$85,基础信息!$H$70:$H$85,$S112),$C$5:$C$34,1),1),),INDEX(基础信息!$I$70:$M$85,IFERROR(MATCH($S112,基础信息!$F$70:$F$85,1),1),))+IFERROR(SUMPRODUCT(INDEX(门客进修!$AE$65:$AI$80,MATCH($S112,基础信息!$F$70:$F$85,1),),INDEX(基础信息!$N$70:$R$85,MATCH($S112,基础信息!$F$70:$F$85,1),),INDEX(基础信息!$I$70:$M$85,MATCH($S112,基础信息!$F$70:$F$85,1),))*求节点(基础信息!$F$70:$F$85,基础信息!$G$70:$G$85,$S112),0)</f>
        <v>413262.96311847889</v>
      </c>
      <c r="X112" s="111">
        <f>IFERROR(求节点(基础信息!$F$90:$F$105,基础信息!$G$90:$G$105,$S112),0)*SUMPRODUCT(INDEX($D$5:$H$34,IFERROR(MATCH(求节点(基础信息!$F$90:$F$105,基础信息!$H$90:$H$105,$S112),$C$5:$C$34,1),1),),INDEX(基础信息!$I$90:$M$105,IFERROR(MATCH($S112,基础信息!$F$90:$F$105,1),1),))+IFERROR(SUMPRODUCT(INDEX(门客进修!$AE$85:$AI$100,MATCH($S112,基础信息!$F$90:$F$105,1),),INDEX(基础信息!$N$90:$R$105,MATCH($S112,基础信息!$F$90:$F$105,1),),INDEX(基础信息!$I$90:$M$105,MATCH($S112,基础信息!$F$90:$F$105,1),))*求节点(基础信息!$F$90:$F$105,基础信息!$G$90:$G$105,$S112),0)</f>
        <v>448184.92544935277</v>
      </c>
    </row>
    <row r="113" spans="19:24" x14ac:dyDescent="0.15">
      <c r="S113" s="111">
        <v>109</v>
      </c>
      <c r="T113" s="111">
        <f>IFERROR(求节点(基础信息!$F$10:$F$25,基础信息!$G$10:$G$25,$S113),0)*SUMPRODUCT(INDEX($D$5:$H$34,IFERROR(MATCH(求节点(基础信息!$F$10:$F$25,基础信息!$H$10:$H$25,$S113),$C$5:$C$34,1),1),),INDEX(基础信息!$I$10:$M$25,IFERROR(MATCH($S113,基础信息!$F$10:$F$25,1),1),))+IFERROR(SUMPRODUCT(INDEX(门客进修!$AE$5:$AI$20,MATCH($S113,基础信息!$F$10:$F$25,1),),INDEX(基础信息!$N$10:$R$25,MATCH($S113,基础信息!$F$10:$F$25,1),),INDEX(基础信息!$I$10:$M$25,MATCH($S113,基础信息!$F$10:$F$25,1),))*求节点(基础信息!$F$10:$F$25,基础信息!$G$10:$G$25,$S113),0)</f>
        <v>275559.75491997332</v>
      </c>
      <c r="U113" s="111">
        <f>IFERROR(求节点(基础信息!$F$30:$F$45,基础信息!$G$30:$G$45,$S113),0)*SUMPRODUCT(INDEX($D$5:$H$34,IFERROR(MATCH(求节点(基础信息!$F$30:$F$45,基础信息!$H$30:$H$45,$S113),$C$5:$C$34,1),1),),INDEX(基础信息!$I$30:$M$45,IFERROR(MATCH($S113,基础信息!$F$30:$F$45,1),1),))+IFERROR(SUMPRODUCT(INDEX(门客进修!$AE$25:$AI$40,MATCH($S113,基础信息!$F$30:$F$45,1),),INDEX(基础信息!$N$30:$R$45,MATCH($S113,基础信息!$F$30:$F$45,1),),INDEX(基础信息!$I$30:$M$45,MATCH($S113,基础信息!$F$30:$F$45,1),))*求节点(基础信息!$F$30:$F$45,基础信息!$G$30:$G$45,$S113),0)</f>
        <v>328495.0837615765</v>
      </c>
      <c r="V113" s="111">
        <f>IFERROR(求节点(基础信息!$F$50:$F$65,基础信息!$G$50:$G$65,$S113),0)*SUMPRODUCT(INDEX($D$5:$H$34,IFERROR(MATCH(求节点(基础信息!$F$50:$F$65,基础信息!$H$50:$H$65,$S113),$C$5:$C$34,1),1),),INDEX(基础信息!$I$50:$M$65,IFERROR(MATCH($S113,基础信息!$F$50:$F$65,1),1),))+IFERROR(SUMPRODUCT(INDEX(门客进修!$AE$45:$AI$60,MATCH($S113,基础信息!$F$50:$F$65,1),),INDEX(基础信息!$N$50:$R$65,MATCH($S113,基础信息!$F$50:$F$65,1),),INDEX(基础信息!$I$50:$M$65,MATCH($S113,基础信息!$F$50:$F$65,1),))*求节点(基础信息!$F$50:$F$65,基础信息!$G$50:$G$65,$S113),0)</f>
        <v>375534.13822655997</v>
      </c>
      <c r="W113" s="111">
        <f>IFERROR(求节点(基础信息!$F$70:$F$85,基础信息!$G$70:$G$85,$S113),0)*SUMPRODUCT(INDEX($D$5:$H$34,IFERROR(MATCH(求节点(基础信息!$F$70:$F$85,基础信息!$H$70:$H$85,$S113),$C$5:$C$34,1),1),),INDEX(基础信息!$I$70:$M$85,IFERROR(MATCH($S113,基础信息!$F$70:$F$85,1),1),))+IFERROR(SUMPRODUCT(INDEX(门客进修!$AE$65:$AI$80,MATCH($S113,基础信息!$F$70:$F$85,1),),INDEX(基础信息!$N$70:$R$85,MATCH($S113,基础信息!$F$70:$F$85,1),),INDEX(基础信息!$I$70:$M$85,MATCH($S113,基础信息!$F$70:$F$85,1),))*求节点(基础信息!$F$70:$F$85,基础信息!$G$70:$G$85,$S113),0)</f>
        <v>416644.25455174776</v>
      </c>
      <c r="X113" s="111">
        <f>IFERROR(求节点(基础信息!$F$90:$F$105,基础信息!$G$90:$G$105,$S113),0)*SUMPRODUCT(INDEX($D$5:$H$34,IFERROR(MATCH(求节点(基础信息!$F$90:$F$105,基础信息!$H$90:$H$105,$S113),$C$5:$C$34,1),1),),INDEX(基础信息!$I$90:$M$105,IFERROR(MATCH($S113,基础信息!$F$90:$F$105,1),1),))+IFERROR(SUMPRODUCT(INDEX(门客进修!$AE$85:$AI$100,MATCH($S113,基础信息!$F$90:$F$105,1),),INDEX(基础信息!$N$90:$R$105,MATCH($S113,基础信息!$F$90:$F$105,1),),INDEX(基础信息!$I$90:$M$105,MATCH($S113,基础信息!$F$90:$F$105,1),))*求节点(基础信息!$F$90:$F$105,基础信息!$G$90:$G$105,$S113),0)</f>
        <v>451817.42826611432</v>
      </c>
    </row>
    <row r="114" spans="19:24" x14ac:dyDescent="0.15">
      <c r="S114" s="111">
        <v>110</v>
      </c>
      <c r="T114" s="111">
        <f>IFERROR(求节点(基础信息!$F$10:$F$25,基础信息!$G$10:$G$25,$S114),0)*SUMPRODUCT(INDEX($D$5:$H$34,IFERROR(MATCH(求节点(基础信息!$F$10:$F$25,基础信息!$H$10:$H$25,$S114),$C$5:$C$34,1),1),),INDEX(基础信息!$I$10:$M$25,IFERROR(MATCH($S114,基础信息!$F$10:$F$25,1),1),))+IFERROR(SUMPRODUCT(INDEX(门客进修!$AE$5:$AI$20,MATCH($S114,基础信息!$F$10:$F$25,1),),INDEX(基础信息!$N$10:$R$25,MATCH($S114,基础信息!$F$10:$F$25,1),),INDEX(基础信息!$I$10:$M$25,MATCH($S114,基础信息!$F$10:$F$25,1),))*求节点(基础信息!$F$10:$F$25,基础信息!$G$10:$G$25,$S114),0)</f>
        <v>277886.45276797557</v>
      </c>
      <c r="U114" s="111">
        <f>IFERROR(求节点(基础信息!$F$30:$F$45,基础信息!$G$30:$G$45,$S114),0)*SUMPRODUCT(INDEX($D$5:$H$34,IFERROR(MATCH(求节点(基础信息!$F$30:$F$45,基础信息!$H$30:$H$45,$S114),$C$5:$C$34,1),1),),INDEX(基础信息!$I$30:$M$45,IFERROR(MATCH($S114,基础信息!$F$30:$F$45,1),1),))+IFERROR(SUMPRODUCT(INDEX(门客进修!$AE$25:$AI$40,MATCH($S114,基础信息!$F$30:$F$45,1),),INDEX(基础信息!$N$30:$R$45,MATCH($S114,基础信息!$F$30:$F$45,1),),INDEX(基础信息!$I$30:$M$45,MATCH($S114,基础信息!$F$30:$F$45,1),))*求节点(基础信息!$F$30:$F$45,基础信息!$G$30:$G$45,$S114),0)</f>
        <v>331230.17990800319</v>
      </c>
      <c r="V114" s="111">
        <f>IFERROR(求节点(基础信息!$F$50:$F$65,基础信息!$G$50:$G$65,$S114),0)*SUMPRODUCT(INDEX($D$5:$H$34,IFERROR(MATCH(求节点(基础信息!$F$50:$F$65,基础信息!$H$50:$H$65,$S114),$C$5:$C$34,1),1),),INDEX(基础信息!$I$50:$M$65,IFERROR(MATCH($S114,基础信息!$F$50:$F$65,1),1),))+IFERROR(SUMPRODUCT(INDEX(门客进修!$AE$45:$AI$60,MATCH($S114,基础信息!$F$50:$F$65,1),),INDEX(基础信息!$N$50:$R$65,MATCH($S114,基础信息!$F$50:$F$65,1),),INDEX(基础信息!$I$50:$M$65,MATCH($S114,基础信息!$F$50:$F$65,1),))*求节点(基础信息!$F$50:$F$65,基础信息!$G$50:$G$65,$S114),0)</f>
        <v>378616.6472618003</v>
      </c>
      <c r="W114" s="111">
        <f>IFERROR(求节点(基础信息!$F$70:$F$85,基础信息!$G$70:$G$85,$S114),0)*SUMPRODUCT(INDEX($D$5:$H$34,IFERROR(MATCH(求节点(基础信息!$F$70:$F$85,基础信息!$H$70:$H$85,$S114),$C$5:$C$34,1),1),),INDEX(基础信息!$I$70:$M$85,IFERROR(MATCH($S114,基础信息!$F$70:$F$85,1),1),))+IFERROR(SUMPRODUCT(INDEX(门客进修!$AE$65:$AI$80,MATCH($S114,基础信息!$F$70:$F$85,1),),INDEX(基础信息!$N$70:$R$85,MATCH($S114,基础信息!$F$70:$F$85,1),),INDEX(基础信息!$I$70:$M$85,MATCH($S114,基础信息!$F$70:$F$85,1),))*求节点(基础信息!$F$70:$F$85,基础信息!$G$70:$G$85,$S114),0)</f>
        <v>420025.54598501662</v>
      </c>
      <c r="X114" s="111">
        <f>IFERROR(求节点(基础信息!$F$90:$F$105,基础信息!$G$90:$G$105,$S114),0)*SUMPRODUCT(INDEX($D$5:$H$34,IFERROR(MATCH(求节点(基础信息!$F$90:$F$105,基础信息!$H$90:$H$105,$S114),$C$5:$C$34,1),1),),INDEX(基础信息!$I$90:$M$105,IFERROR(MATCH($S114,基础信息!$F$90:$F$105,1),1),))+IFERROR(SUMPRODUCT(INDEX(门客进修!$AE$85:$AI$100,MATCH($S114,基础信息!$F$90:$F$105,1),),INDEX(基础信息!$N$90:$R$105,MATCH($S114,基础信息!$F$90:$F$105,1),),INDEX(基础信息!$I$90:$M$105,MATCH($S114,基础信息!$F$90:$F$105,1),))*求节点(基础信息!$F$90:$F$105,基础信息!$G$90:$G$105,$S114),0)</f>
        <v>455449.93108287588</v>
      </c>
    </row>
    <row r="115" spans="19:24" x14ac:dyDescent="0.15">
      <c r="S115" s="111">
        <v>111</v>
      </c>
      <c r="T115" s="111">
        <f>IFERROR(求节点(基础信息!$F$10:$F$25,基础信息!$G$10:$G$25,$S115),0)*SUMPRODUCT(INDEX($D$5:$H$34,IFERROR(MATCH(求节点(基础信息!$F$10:$F$25,基础信息!$H$10:$H$25,$S115),$C$5:$C$34,1),1),),INDEX(基础信息!$I$10:$M$25,IFERROR(MATCH($S115,基础信息!$F$10:$F$25,1),1),))+IFERROR(SUMPRODUCT(INDEX(门客进修!$AE$5:$AI$20,MATCH($S115,基础信息!$F$10:$F$25,1),),INDEX(基础信息!$N$10:$R$25,MATCH($S115,基础信息!$F$10:$F$25,1),),INDEX(基础信息!$I$10:$M$25,MATCH($S115,基础信息!$F$10:$F$25,1),))*求节点(基础信息!$F$10:$F$25,基础信息!$G$10:$G$25,$S115),0)</f>
        <v>280213.15061597788</v>
      </c>
      <c r="U115" s="111">
        <f>IFERROR(求节点(基础信息!$F$30:$F$45,基础信息!$G$30:$G$45,$S115),0)*SUMPRODUCT(INDEX($D$5:$H$34,IFERROR(MATCH(求节点(基础信息!$F$30:$F$45,基础信息!$H$30:$H$45,$S115),$C$5:$C$34,1),1),),INDEX(基础信息!$I$30:$M$45,IFERROR(MATCH($S115,基础信息!$F$30:$F$45,1),1),))+IFERROR(SUMPRODUCT(INDEX(门客进修!$AE$25:$AI$40,MATCH($S115,基础信息!$F$30:$F$45,1),),INDEX(基础信息!$N$30:$R$45,MATCH($S115,基础信息!$F$30:$F$45,1),),INDEX(基础信息!$I$30:$M$45,MATCH($S115,基础信息!$F$30:$F$45,1),))*求节点(基础信息!$F$30:$F$45,基础信息!$G$30:$G$45,$S115),0)</f>
        <v>333965.27605442982</v>
      </c>
      <c r="V115" s="111">
        <f>IFERROR(求节点(基础信息!$F$50:$F$65,基础信息!$G$50:$G$65,$S115),0)*SUMPRODUCT(INDEX($D$5:$H$34,IFERROR(MATCH(求节点(基础信息!$F$50:$F$65,基础信息!$H$50:$H$65,$S115),$C$5:$C$34,1),1),),INDEX(基础信息!$I$50:$M$65,IFERROR(MATCH($S115,基础信息!$F$50:$F$65,1),1),))+IFERROR(SUMPRODUCT(INDEX(门客进修!$AE$45:$AI$60,MATCH($S115,基础信息!$F$50:$F$65,1),),INDEX(基础信息!$N$50:$R$65,MATCH($S115,基础信息!$F$50:$F$65,1),),INDEX(基础信息!$I$50:$M$65,MATCH($S115,基础信息!$F$50:$F$65,1),))*求节点(基础信息!$F$50:$F$65,基础信息!$G$50:$G$65,$S115),0)</f>
        <v>381699.15629704046</v>
      </c>
      <c r="W115" s="111">
        <f>IFERROR(求节点(基础信息!$F$70:$F$85,基础信息!$G$70:$G$85,$S115),0)*SUMPRODUCT(INDEX($D$5:$H$34,IFERROR(MATCH(求节点(基础信息!$F$70:$F$85,基础信息!$H$70:$H$85,$S115),$C$5:$C$34,1),1),),INDEX(基础信息!$I$70:$M$85,IFERROR(MATCH($S115,基础信息!$F$70:$F$85,1),1),))+IFERROR(SUMPRODUCT(INDEX(门客进修!$AE$65:$AI$80,MATCH($S115,基础信息!$F$70:$F$85,1),),INDEX(基础信息!$N$70:$R$85,MATCH($S115,基础信息!$F$70:$F$85,1),),INDEX(基础信息!$I$70:$M$85,MATCH($S115,基础信息!$F$70:$F$85,1),))*求节点(基础信息!$F$70:$F$85,基础信息!$G$70:$G$85,$S115),0)</f>
        <v>423406.83741828549</v>
      </c>
      <c r="X115" s="111">
        <f>IFERROR(求节点(基础信息!$F$90:$F$105,基础信息!$G$90:$G$105,$S115),0)*SUMPRODUCT(INDEX($D$5:$H$34,IFERROR(MATCH(求节点(基础信息!$F$90:$F$105,基础信息!$H$90:$H$105,$S115),$C$5:$C$34,1),1),),INDEX(基础信息!$I$90:$M$105,IFERROR(MATCH($S115,基础信息!$F$90:$F$105,1),1),))+IFERROR(SUMPRODUCT(INDEX(门客进修!$AE$85:$AI$100,MATCH($S115,基础信息!$F$90:$F$105,1),),INDEX(基础信息!$N$90:$R$105,MATCH($S115,基础信息!$F$90:$F$105,1),),INDEX(基础信息!$I$90:$M$105,MATCH($S115,基础信息!$F$90:$F$105,1),))*求节点(基础信息!$F$90:$F$105,基础信息!$G$90:$G$105,$S115),0)</f>
        <v>459082.43389963743</v>
      </c>
    </row>
    <row r="116" spans="19:24" x14ac:dyDescent="0.15">
      <c r="S116" s="111">
        <v>112</v>
      </c>
      <c r="T116" s="111">
        <f>IFERROR(求节点(基础信息!$F$10:$F$25,基础信息!$G$10:$G$25,$S116),0)*SUMPRODUCT(INDEX($D$5:$H$34,IFERROR(MATCH(求节点(基础信息!$F$10:$F$25,基础信息!$H$10:$H$25,$S116),$C$5:$C$34,1),1),),INDEX(基础信息!$I$10:$M$25,IFERROR(MATCH($S116,基础信息!$F$10:$F$25,1),1),))+IFERROR(SUMPRODUCT(INDEX(门客进修!$AE$5:$AI$20,MATCH($S116,基础信息!$F$10:$F$25,1),),INDEX(基础信息!$N$10:$R$25,MATCH($S116,基础信息!$F$10:$F$25,1),),INDEX(基础信息!$I$10:$M$25,MATCH($S116,基础信息!$F$10:$F$25,1),))*求节点(基础信息!$F$10:$F$25,基础信息!$G$10:$G$25,$S116),0)</f>
        <v>282539.84846398002</v>
      </c>
      <c r="U116" s="111">
        <f>IFERROR(求节点(基础信息!$F$30:$F$45,基础信息!$G$30:$G$45,$S116),0)*SUMPRODUCT(INDEX($D$5:$H$34,IFERROR(MATCH(求节点(基础信息!$F$30:$F$45,基础信息!$H$30:$H$45,$S116),$C$5:$C$34,1),1),),INDEX(基础信息!$I$30:$M$45,IFERROR(MATCH($S116,基础信息!$F$30:$F$45,1),1),))+IFERROR(SUMPRODUCT(INDEX(门客进修!$AE$25:$AI$40,MATCH($S116,基础信息!$F$30:$F$45,1),),INDEX(基础信息!$N$30:$R$45,MATCH($S116,基础信息!$F$30:$F$45,1),),INDEX(基础信息!$I$30:$M$45,MATCH($S116,基础信息!$F$30:$F$45,1),))*求节点(基础信息!$F$30:$F$45,基础信息!$G$30:$G$45,$S116),0)</f>
        <v>336700.37220085639</v>
      </c>
      <c r="V116" s="111">
        <f>IFERROR(求节点(基础信息!$F$50:$F$65,基础信息!$G$50:$G$65,$S116),0)*SUMPRODUCT(INDEX($D$5:$H$34,IFERROR(MATCH(求节点(基础信息!$F$50:$F$65,基础信息!$H$50:$H$65,$S116),$C$5:$C$34,1),1),),INDEX(基础信息!$I$50:$M$65,IFERROR(MATCH($S116,基础信息!$F$50:$F$65,1),1),))+IFERROR(SUMPRODUCT(INDEX(门客进修!$AE$45:$AI$60,MATCH($S116,基础信息!$F$50:$F$65,1),),INDEX(基础信息!$N$50:$R$65,MATCH($S116,基础信息!$F$50:$F$65,1),),INDEX(基础信息!$I$50:$M$65,MATCH($S116,基础信息!$F$50:$F$65,1),))*求节点(基础信息!$F$50:$F$65,基础信息!$G$50:$G$65,$S116),0)</f>
        <v>384781.66533228074</v>
      </c>
      <c r="W116" s="111">
        <f>IFERROR(求节点(基础信息!$F$70:$F$85,基础信息!$G$70:$G$85,$S116),0)*SUMPRODUCT(INDEX($D$5:$H$34,IFERROR(MATCH(求节点(基础信息!$F$70:$F$85,基础信息!$H$70:$H$85,$S116),$C$5:$C$34,1),1),),INDEX(基础信息!$I$70:$M$85,IFERROR(MATCH($S116,基础信息!$F$70:$F$85,1),1),))+IFERROR(SUMPRODUCT(INDEX(门客进修!$AE$65:$AI$80,MATCH($S116,基础信息!$F$70:$F$85,1),),INDEX(基础信息!$N$70:$R$85,MATCH($S116,基础信息!$F$70:$F$85,1),),INDEX(基础信息!$I$70:$M$85,MATCH($S116,基础信息!$F$70:$F$85,1),))*求节点(基础信息!$F$70:$F$85,基础信息!$G$70:$G$85,$S116),0)</f>
        <v>426788.1288515543</v>
      </c>
      <c r="X116" s="111">
        <f>IFERROR(求节点(基础信息!$F$90:$F$105,基础信息!$G$90:$G$105,$S116),0)*SUMPRODUCT(INDEX($D$5:$H$34,IFERROR(MATCH(求节点(基础信息!$F$90:$F$105,基础信息!$H$90:$H$105,$S116),$C$5:$C$34,1),1),),INDEX(基础信息!$I$90:$M$105,IFERROR(MATCH($S116,基础信息!$F$90:$F$105,1),1),))+IFERROR(SUMPRODUCT(INDEX(门客进修!$AE$85:$AI$100,MATCH($S116,基础信息!$F$90:$F$105,1),),INDEX(基础信息!$N$90:$R$105,MATCH($S116,基础信息!$F$90:$F$105,1),),INDEX(基础信息!$I$90:$M$105,MATCH($S116,基础信息!$F$90:$F$105,1),))*求节点(基础信息!$F$90:$F$105,基础信息!$G$90:$G$105,$S116),0)</f>
        <v>462714.93671639898</v>
      </c>
    </row>
    <row r="117" spans="19:24" x14ac:dyDescent="0.15">
      <c r="S117" s="111">
        <v>113</v>
      </c>
      <c r="T117" s="111">
        <f>IFERROR(求节点(基础信息!$F$10:$F$25,基础信息!$G$10:$G$25,$S117),0)*SUMPRODUCT(INDEX($D$5:$H$34,IFERROR(MATCH(求节点(基础信息!$F$10:$F$25,基础信息!$H$10:$H$25,$S117),$C$5:$C$34,1),1),),INDEX(基础信息!$I$10:$M$25,IFERROR(MATCH($S117,基础信息!$F$10:$F$25,1),1),))+IFERROR(SUMPRODUCT(INDEX(门客进修!$AE$5:$AI$20,MATCH($S117,基础信息!$F$10:$F$25,1),),INDEX(基础信息!$N$10:$R$25,MATCH($S117,基础信息!$F$10:$F$25,1),),INDEX(基础信息!$I$10:$M$25,MATCH($S117,基础信息!$F$10:$F$25,1),))*求节点(基础信息!$F$10:$F$25,基础信息!$G$10:$G$25,$S117),0)</f>
        <v>284866.54631198233</v>
      </c>
      <c r="U117" s="111">
        <f>IFERROR(求节点(基础信息!$F$30:$F$45,基础信息!$G$30:$G$45,$S117),0)*SUMPRODUCT(INDEX($D$5:$H$34,IFERROR(MATCH(求节点(基础信息!$F$30:$F$45,基础信息!$H$30:$H$45,$S117),$C$5:$C$34,1),1),),INDEX(基础信息!$I$30:$M$45,IFERROR(MATCH($S117,基础信息!$F$30:$F$45,1),1),))+IFERROR(SUMPRODUCT(INDEX(门客进修!$AE$25:$AI$40,MATCH($S117,基础信息!$F$30:$F$45,1),),INDEX(基础信息!$N$30:$R$45,MATCH($S117,基础信息!$F$30:$F$45,1),),INDEX(基础信息!$I$30:$M$45,MATCH($S117,基础信息!$F$30:$F$45,1),))*求节点(基础信息!$F$30:$F$45,基础信息!$G$30:$G$45,$S117),0)</f>
        <v>339435.46834728302</v>
      </c>
      <c r="V117" s="111">
        <f>IFERROR(求节点(基础信息!$F$50:$F$65,基础信息!$G$50:$G$65,$S117),0)*SUMPRODUCT(INDEX($D$5:$H$34,IFERROR(MATCH(求节点(基础信息!$F$50:$F$65,基础信息!$H$50:$H$65,$S117),$C$5:$C$34,1),1),),INDEX(基础信息!$I$50:$M$65,IFERROR(MATCH($S117,基础信息!$F$50:$F$65,1),1),))+IFERROR(SUMPRODUCT(INDEX(门客进修!$AE$45:$AI$60,MATCH($S117,基础信息!$F$50:$F$65,1),),INDEX(基础信息!$N$50:$R$65,MATCH($S117,基础信息!$F$50:$F$65,1),),INDEX(基础信息!$I$50:$M$65,MATCH($S117,基础信息!$F$50:$F$65,1),))*求节点(基础信息!$F$50:$F$65,基础信息!$G$50:$G$65,$S117),0)</f>
        <v>387864.1743675209</v>
      </c>
      <c r="W117" s="111">
        <f>IFERROR(求节点(基础信息!$F$70:$F$85,基础信息!$G$70:$G$85,$S117),0)*SUMPRODUCT(INDEX($D$5:$H$34,IFERROR(MATCH(求节点(基础信息!$F$70:$F$85,基础信息!$H$70:$H$85,$S117),$C$5:$C$34,1),1),),INDEX(基础信息!$I$70:$M$85,IFERROR(MATCH($S117,基础信息!$F$70:$F$85,1),1),))+IFERROR(SUMPRODUCT(INDEX(门客进修!$AE$65:$AI$80,MATCH($S117,基础信息!$F$70:$F$85,1),),INDEX(基础信息!$N$70:$R$85,MATCH($S117,基础信息!$F$70:$F$85,1),),INDEX(基础信息!$I$70:$M$85,MATCH($S117,基础信息!$F$70:$F$85,1),))*求节点(基础信息!$F$70:$F$85,基础信息!$G$70:$G$85,$S117),0)</f>
        <v>430169.42028482317</v>
      </c>
      <c r="X117" s="111">
        <f>IFERROR(求节点(基础信息!$F$90:$F$105,基础信息!$G$90:$G$105,$S117),0)*SUMPRODUCT(INDEX($D$5:$H$34,IFERROR(MATCH(求节点(基础信息!$F$90:$F$105,基础信息!$H$90:$H$105,$S117),$C$5:$C$34,1),1),),INDEX(基础信息!$I$90:$M$105,IFERROR(MATCH($S117,基础信息!$F$90:$F$105,1),1),))+IFERROR(SUMPRODUCT(INDEX(门客进修!$AE$85:$AI$100,MATCH($S117,基础信息!$F$90:$F$105,1),),INDEX(基础信息!$N$90:$R$105,MATCH($S117,基础信息!$F$90:$F$105,1),),INDEX(基础信息!$I$90:$M$105,MATCH($S117,基础信息!$F$90:$F$105,1),))*求节点(基础信息!$F$90:$F$105,基础信息!$G$90:$G$105,$S117),0)</f>
        <v>466347.43953316065</v>
      </c>
    </row>
    <row r="118" spans="19:24" x14ac:dyDescent="0.15">
      <c r="S118" s="111">
        <v>114</v>
      </c>
      <c r="T118" s="111">
        <f>IFERROR(求节点(基础信息!$F$10:$F$25,基础信息!$G$10:$G$25,$S118),0)*SUMPRODUCT(INDEX($D$5:$H$34,IFERROR(MATCH(求节点(基础信息!$F$10:$F$25,基础信息!$H$10:$H$25,$S118),$C$5:$C$34,1),1),),INDEX(基础信息!$I$10:$M$25,IFERROR(MATCH($S118,基础信息!$F$10:$F$25,1),1),))+IFERROR(SUMPRODUCT(INDEX(门客进修!$AE$5:$AI$20,MATCH($S118,基础信息!$F$10:$F$25,1),),INDEX(基础信息!$N$10:$R$25,MATCH($S118,基础信息!$F$10:$F$25,1),),INDEX(基础信息!$I$10:$M$25,MATCH($S118,基础信息!$F$10:$F$25,1),))*求节点(基础信息!$F$10:$F$25,基础信息!$G$10:$G$25,$S118),0)</f>
        <v>287193.24415998458</v>
      </c>
      <c r="U118" s="111">
        <f>IFERROR(求节点(基础信息!$F$30:$F$45,基础信息!$G$30:$G$45,$S118),0)*SUMPRODUCT(INDEX($D$5:$H$34,IFERROR(MATCH(求节点(基础信息!$F$30:$F$45,基础信息!$H$30:$H$45,$S118),$C$5:$C$34,1),1),),INDEX(基础信息!$I$30:$M$45,IFERROR(MATCH($S118,基础信息!$F$30:$F$45,1),1),))+IFERROR(SUMPRODUCT(INDEX(门客进修!$AE$25:$AI$40,MATCH($S118,基础信息!$F$30:$F$45,1),),INDEX(基础信息!$N$30:$R$45,MATCH($S118,基础信息!$F$30:$F$45,1),),INDEX(基础信息!$I$30:$M$45,MATCH($S118,基础信息!$F$30:$F$45,1),))*求节点(基础信息!$F$30:$F$45,基础信息!$G$30:$G$45,$S118),0)</f>
        <v>342170.56449370965</v>
      </c>
      <c r="V118" s="111">
        <f>IFERROR(求节点(基础信息!$F$50:$F$65,基础信息!$G$50:$G$65,$S118),0)*SUMPRODUCT(INDEX($D$5:$H$34,IFERROR(MATCH(求节点(基础信息!$F$50:$F$65,基础信息!$H$50:$H$65,$S118),$C$5:$C$34,1),1),),INDEX(基础信息!$I$50:$M$65,IFERROR(MATCH($S118,基础信息!$F$50:$F$65,1),1),))+IFERROR(SUMPRODUCT(INDEX(门客进修!$AE$45:$AI$60,MATCH($S118,基础信息!$F$50:$F$65,1),),INDEX(基础信息!$N$50:$R$65,MATCH($S118,基础信息!$F$50:$F$65,1),),INDEX(基础信息!$I$50:$M$65,MATCH($S118,基础信息!$F$50:$F$65,1),))*求节点(基础信息!$F$50:$F$65,基础信息!$G$50:$G$65,$S118),0)</f>
        <v>390946.68340276118</v>
      </c>
      <c r="W118" s="111">
        <f>IFERROR(求节点(基础信息!$F$70:$F$85,基础信息!$G$70:$G$85,$S118),0)*SUMPRODUCT(INDEX($D$5:$H$34,IFERROR(MATCH(求节点(基础信息!$F$70:$F$85,基础信息!$H$70:$H$85,$S118),$C$5:$C$34,1),1),),INDEX(基础信息!$I$70:$M$85,IFERROR(MATCH($S118,基础信息!$F$70:$F$85,1),1),))+IFERROR(SUMPRODUCT(INDEX(门客进修!$AE$65:$AI$80,MATCH($S118,基础信息!$F$70:$F$85,1),),INDEX(基础信息!$N$70:$R$85,MATCH($S118,基础信息!$F$70:$F$85,1),),INDEX(基础信息!$I$70:$M$85,MATCH($S118,基础信息!$F$70:$F$85,1),))*求节点(基础信息!$F$70:$F$85,基础信息!$G$70:$G$85,$S118),0)</f>
        <v>433550.71171809197</v>
      </c>
      <c r="X118" s="111">
        <f>IFERROR(求节点(基础信息!$F$90:$F$105,基础信息!$G$90:$G$105,$S118),0)*SUMPRODUCT(INDEX($D$5:$H$34,IFERROR(MATCH(求节点(基础信息!$F$90:$F$105,基础信息!$H$90:$H$105,$S118),$C$5:$C$34,1),1),),INDEX(基础信息!$I$90:$M$105,IFERROR(MATCH($S118,基础信息!$F$90:$F$105,1),1),))+IFERROR(SUMPRODUCT(INDEX(门客进修!$AE$85:$AI$100,MATCH($S118,基础信息!$F$90:$F$105,1),),INDEX(基础信息!$N$90:$R$105,MATCH($S118,基础信息!$F$90:$F$105,1),),INDEX(基础信息!$I$90:$M$105,MATCH($S118,基础信息!$F$90:$F$105,1),))*求节点(基础信息!$F$90:$F$105,基础信息!$G$90:$G$105,$S118),0)</f>
        <v>554351.76450096071</v>
      </c>
    </row>
    <row r="119" spans="19:24" x14ac:dyDescent="0.15">
      <c r="S119" s="111">
        <v>115</v>
      </c>
      <c r="T119" s="111">
        <f>IFERROR(求节点(基础信息!$F$10:$F$25,基础信息!$G$10:$G$25,$S119),0)*SUMPRODUCT(INDEX($D$5:$H$34,IFERROR(MATCH(求节点(基础信息!$F$10:$F$25,基础信息!$H$10:$H$25,$S119),$C$5:$C$34,1),1),),INDEX(基础信息!$I$10:$M$25,IFERROR(MATCH($S119,基础信息!$F$10:$F$25,1),1),))+IFERROR(SUMPRODUCT(INDEX(门客进修!$AE$5:$AI$20,MATCH($S119,基础信息!$F$10:$F$25,1),),INDEX(基础信息!$N$10:$R$25,MATCH($S119,基础信息!$F$10:$F$25,1),),INDEX(基础信息!$I$10:$M$25,MATCH($S119,基础信息!$F$10:$F$25,1),))*求节点(基础信息!$F$10:$F$25,基础信息!$G$10:$G$25,$S119),0)</f>
        <v>289519.94200798677</v>
      </c>
      <c r="U119" s="111">
        <f>IFERROR(求节点(基础信息!$F$30:$F$45,基础信息!$G$30:$G$45,$S119),0)*SUMPRODUCT(INDEX($D$5:$H$34,IFERROR(MATCH(求节点(基础信息!$F$30:$F$45,基础信息!$H$30:$H$45,$S119),$C$5:$C$34,1),1),),INDEX(基础信息!$I$30:$M$45,IFERROR(MATCH($S119,基础信息!$F$30:$F$45,1),1),))+IFERROR(SUMPRODUCT(INDEX(门客进修!$AE$25:$AI$40,MATCH($S119,基础信息!$F$30:$F$45,1),),INDEX(基础信息!$N$30:$R$45,MATCH($S119,基础信息!$F$30:$F$45,1),),INDEX(基础信息!$I$30:$M$45,MATCH($S119,基础信息!$F$30:$F$45,1),))*求节点(基础信息!$F$30:$F$45,基础信息!$G$30:$G$45,$S119),0)</f>
        <v>344905.66064013634</v>
      </c>
      <c r="V119" s="111">
        <f>IFERROR(求节点(基础信息!$F$50:$F$65,基础信息!$G$50:$G$65,$S119),0)*SUMPRODUCT(INDEX($D$5:$H$34,IFERROR(MATCH(求节点(基础信息!$F$50:$F$65,基础信息!$H$50:$H$65,$S119),$C$5:$C$34,1),1),),INDEX(基础信息!$I$50:$M$65,IFERROR(MATCH($S119,基础信息!$F$50:$F$65,1),1),))+IFERROR(SUMPRODUCT(INDEX(门客进修!$AE$45:$AI$60,MATCH($S119,基础信息!$F$50:$F$65,1),),INDEX(基础信息!$N$50:$R$65,MATCH($S119,基础信息!$F$50:$F$65,1),),INDEX(基础信息!$I$50:$M$65,MATCH($S119,基础信息!$F$50:$F$65,1),))*求节点(基础信息!$F$50:$F$65,基础信息!$G$50:$G$65,$S119),0)</f>
        <v>394029.1924380014</v>
      </c>
      <c r="W119" s="111">
        <f>IFERROR(求节点(基础信息!$F$70:$F$85,基础信息!$G$70:$G$85,$S119),0)*SUMPRODUCT(INDEX($D$5:$H$34,IFERROR(MATCH(求节点(基础信息!$F$70:$F$85,基础信息!$H$70:$H$85,$S119),$C$5:$C$34,1),1),),INDEX(基础信息!$I$70:$M$85,IFERROR(MATCH($S119,基础信息!$F$70:$F$85,1),1),))+IFERROR(SUMPRODUCT(INDEX(门客进修!$AE$65:$AI$80,MATCH($S119,基础信息!$F$70:$F$85,1),),INDEX(基础信息!$N$70:$R$85,MATCH($S119,基础信息!$F$70:$F$85,1),),INDEX(基础信息!$I$70:$M$85,MATCH($S119,基础信息!$F$70:$F$85,1),))*求节点(基础信息!$F$70:$F$85,基础信息!$G$70:$G$85,$S119),0)</f>
        <v>469451.01420870179</v>
      </c>
      <c r="X119" s="111">
        <f>IFERROR(求节点(基础信息!$F$90:$F$105,基础信息!$G$90:$G$105,$S119),0)*SUMPRODUCT(INDEX($D$5:$H$34,IFERROR(MATCH(求节点(基础信息!$F$90:$F$105,基础信息!$H$90:$H$105,$S119),$C$5:$C$34,1),1),),INDEX(基础信息!$I$90:$M$105,IFERROR(MATCH($S119,基础信息!$F$90:$F$105,1),1),))+IFERROR(SUMPRODUCT(INDEX(门客进修!$AE$85:$AI$100,MATCH($S119,基础信息!$F$90:$F$105,1),),INDEX(基础信息!$N$90:$R$105,MATCH($S119,基础信息!$F$90:$F$105,1),),INDEX(基础信息!$I$90:$M$105,MATCH($S119,基础信息!$F$90:$F$105,1),))*求节点(基础信息!$F$90:$F$105,基础信息!$G$90:$G$105,$S119),0)</f>
        <v>558666.43112468114</v>
      </c>
    </row>
    <row r="120" spans="19:24" x14ac:dyDescent="0.15">
      <c r="S120" s="111">
        <v>116</v>
      </c>
      <c r="T120" s="111">
        <f>IFERROR(求节点(基础信息!$F$10:$F$25,基础信息!$G$10:$G$25,$S120),0)*SUMPRODUCT(INDEX($D$5:$H$34,IFERROR(MATCH(求节点(基础信息!$F$10:$F$25,基础信息!$H$10:$H$25,$S120),$C$5:$C$34,1),1),),INDEX(基础信息!$I$10:$M$25,IFERROR(MATCH($S120,基础信息!$F$10:$F$25,1),1),))+IFERROR(SUMPRODUCT(INDEX(门客进修!$AE$5:$AI$20,MATCH($S120,基础信息!$F$10:$F$25,1),),INDEX(基础信息!$N$10:$R$25,MATCH($S120,基础信息!$F$10:$F$25,1),),INDEX(基础信息!$I$10:$M$25,MATCH($S120,基础信息!$F$10:$F$25,1),))*求节点(基础信息!$F$10:$F$25,基础信息!$G$10:$G$25,$S120),0)</f>
        <v>291846.63985598908</v>
      </c>
      <c r="U120" s="111">
        <f>IFERROR(求节点(基础信息!$F$30:$F$45,基础信息!$G$30:$G$45,$S120),0)*SUMPRODUCT(INDEX($D$5:$H$34,IFERROR(MATCH(求节点(基础信息!$F$30:$F$45,基础信息!$H$30:$H$45,$S120),$C$5:$C$34,1),1),),INDEX(基础信息!$I$30:$M$45,IFERROR(MATCH($S120,基础信息!$F$30:$F$45,1),1),))+IFERROR(SUMPRODUCT(INDEX(门客进修!$AE$25:$AI$40,MATCH($S120,基础信息!$F$30:$F$45,1),),INDEX(基础信息!$N$30:$R$45,MATCH($S120,基础信息!$F$30:$F$45,1),),INDEX(基础信息!$I$30:$M$45,MATCH($S120,基础信息!$F$30:$F$45,1),))*求节点(基础信息!$F$30:$F$45,基础信息!$G$30:$G$45,$S120),0)</f>
        <v>347640.75678656297</v>
      </c>
      <c r="V120" s="111">
        <f>IFERROR(求节点(基础信息!$F$50:$F$65,基础信息!$G$50:$G$65,$S120),0)*SUMPRODUCT(INDEX($D$5:$H$34,IFERROR(MATCH(求节点(基础信息!$F$50:$F$65,基础信息!$H$50:$H$65,$S120),$C$5:$C$34,1),1),),INDEX(基础信息!$I$50:$M$65,IFERROR(MATCH($S120,基础信息!$F$50:$F$65,1),1),))+IFERROR(SUMPRODUCT(INDEX(门客进修!$AE$45:$AI$60,MATCH($S120,基础信息!$F$50:$F$65,1),),INDEX(基础信息!$N$50:$R$65,MATCH($S120,基础信息!$F$50:$F$65,1),),INDEX(基础信息!$I$50:$M$65,MATCH($S120,基础信息!$F$50:$F$65,1),))*求节点(基础信息!$F$50:$F$65,基础信息!$G$50:$G$65,$S120),0)</f>
        <v>436840.64888506645</v>
      </c>
      <c r="W120" s="111">
        <f>IFERROR(求节点(基础信息!$F$70:$F$85,基础信息!$G$70:$G$85,$S120),0)*SUMPRODUCT(INDEX($D$5:$H$34,IFERROR(MATCH(求节点(基础信息!$F$70:$F$85,基础信息!$H$70:$H$85,$S120),$C$5:$C$34,1),1),),INDEX(基础信息!$I$70:$M$85,IFERROR(MATCH($S120,基础信息!$F$70:$F$85,1),1),))+IFERROR(SUMPRODUCT(INDEX(门客进修!$AE$65:$AI$80,MATCH($S120,基础信息!$F$70:$F$85,1),),INDEX(基础信息!$N$70:$R$85,MATCH($S120,基础信息!$F$70:$F$85,1),),INDEX(基础信息!$I$70:$M$85,MATCH($S120,基础信息!$F$70:$F$85,1),))*求节点(基础信息!$F$70:$F$85,基础信息!$G$70:$G$85,$S120),0)</f>
        <v>473134.41533911362</v>
      </c>
      <c r="X120" s="111">
        <f>IFERROR(求节点(基础信息!$F$90:$F$105,基础信息!$G$90:$G$105,$S120),0)*SUMPRODUCT(INDEX($D$5:$H$34,IFERROR(MATCH(求节点(基础信息!$F$90:$F$105,基础信息!$H$90:$H$105,$S120),$C$5:$C$34,1),1),),INDEX(基础信息!$I$90:$M$105,IFERROR(MATCH($S120,基础信息!$F$90:$F$105,1),1),))+IFERROR(SUMPRODUCT(INDEX(门客进修!$AE$85:$AI$100,MATCH($S120,基础信息!$F$90:$F$105,1),),INDEX(基础信息!$N$90:$R$105,MATCH($S120,基础信息!$F$90:$F$105,1),),INDEX(基础信息!$I$90:$M$105,MATCH($S120,基础信息!$F$90:$F$105,1),))*求节点(基础信息!$F$90:$F$105,基础信息!$G$90:$G$105,$S120),0)</f>
        <v>562981.09774840157</v>
      </c>
    </row>
    <row r="121" spans="19:24" x14ac:dyDescent="0.15">
      <c r="S121" s="111">
        <v>117</v>
      </c>
      <c r="T121" s="111">
        <f>IFERROR(求节点(基础信息!$F$10:$F$25,基础信息!$G$10:$G$25,$S121),0)*SUMPRODUCT(INDEX($D$5:$H$34,IFERROR(MATCH(求节点(基础信息!$F$10:$F$25,基础信息!$H$10:$H$25,$S121),$C$5:$C$34,1),1),),INDEX(基础信息!$I$10:$M$25,IFERROR(MATCH($S121,基础信息!$F$10:$F$25,1),1),))+IFERROR(SUMPRODUCT(INDEX(门客进修!$AE$5:$AI$20,MATCH($S121,基础信息!$F$10:$F$25,1),),INDEX(基础信息!$N$10:$R$25,MATCH($S121,基础信息!$F$10:$F$25,1),),INDEX(基础信息!$I$10:$M$25,MATCH($S121,基础信息!$F$10:$F$25,1),))*求节点(基础信息!$F$10:$F$25,基础信息!$G$10:$G$25,$S121),0)</f>
        <v>294173.33770399133</v>
      </c>
      <c r="U121" s="111">
        <f>IFERROR(求节点(基础信息!$F$30:$F$45,基础信息!$G$30:$G$45,$S121),0)*SUMPRODUCT(INDEX($D$5:$H$34,IFERROR(MATCH(求节点(基础信息!$F$30:$F$45,基础信息!$H$30:$H$45,$S121),$C$5:$C$34,1),1),),INDEX(基础信息!$I$30:$M$45,IFERROR(MATCH($S121,基础信息!$F$30:$F$45,1),1),))+IFERROR(SUMPRODUCT(INDEX(门客进修!$AE$25:$AI$40,MATCH($S121,基础信息!$F$30:$F$45,1),),INDEX(基础信息!$N$30:$R$45,MATCH($S121,基础信息!$F$30:$F$45,1),),INDEX(基础信息!$I$30:$M$45,MATCH($S121,基础信息!$F$30:$F$45,1),))*求节点(基础信息!$F$30:$F$45,基础信息!$G$30:$G$45,$S121),0)</f>
        <v>397343.6935850961</v>
      </c>
      <c r="V121" s="111">
        <f>IFERROR(求节点(基础信息!$F$50:$F$65,基础信息!$G$50:$G$65,$S121),0)*SUMPRODUCT(INDEX($D$5:$H$34,IFERROR(MATCH(求节点(基础信息!$F$50:$F$65,基础信息!$H$50:$H$65,$S121),$C$5:$C$34,1),1),),INDEX(基础信息!$I$50:$M$65,IFERROR(MATCH($S121,基础信息!$F$50:$F$65,1),1),))+IFERROR(SUMPRODUCT(INDEX(门客进修!$AE$45:$AI$60,MATCH($S121,基础信息!$F$50:$F$65,1),),INDEX(基础信息!$N$50:$R$65,MATCH($S121,基础信息!$F$50:$F$65,1),),INDEX(基础信息!$I$50:$M$65,MATCH($S121,基础信息!$F$50:$F$65,1),))*求节点(基础信息!$F$50:$F$65,基础信息!$G$50:$G$65,$S121),0)</f>
        <v>440280.70135403267</v>
      </c>
      <c r="W121" s="111">
        <f>IFERROR(求节点(基础信息!$F$70:$F$85,基础信息!$G$70:$G$85,$S121),0)*SUMPRODUCT(INDEX($D$5:$H$34,IFERROR(MATCH(求节点(基础信息!$F$70:$F$85,基础信息!$H$70:$H$85,$S121),$C$5:$C$34,1),1),),INDEX(基础信息!$I$70:$M$85,IFERROR(MATCH($S121,基础信息!$F$70:$F$85,1),1),))+IFERROR(SUMPRODUCT(INDEX(门客进修!$AE$65:$AI$80,MATCH($S121,基础信息!$F$70:$F$85,1),),INDEX(基础信息!$N$70:$R$85,MATCH($S121,基础信息!$F$70:$F$85,1),),INDEX(基础信息!$I$70:$M$85,MATCH($S121,基础信息!$F$70:$F$85,1),))*求节点(基础信息!$F$70:$F$85,基础信息!$G$70:$G$85,$S121),0)</f>
        <v>476817.81646952534</v>
      </c>
      <c r="X121" s="111">
        <f>IFERROR(求节点(基础信息!$F$90:$F$105,基础信息!$G$90:$G$105,$S121),0)*SUMPRODUCT(INDEX($D$5:$H$34,IFERROR(MATCH(求节点(基础信息!$F$90:$F$105,基础信息!$H$90:$H$105,$S121),$C$5:$C$34,1),1),),INDEX(基础信息!$I$90:$M$105,IFERROR(MATCH($S121,基础信息!$F$90:$F$105,1),1),))+IFERROR(SUMPRODUCT(INDEX(门客进修!$AE$85:$AI$100,MATCH($S121,基础信息!$F$90:$F$105,1),),INDEX(基础信息!$N$90:$R$105,MATCH($S121,基础信息!$F$90:$F$105,1),),INDEX(基础信息!$I$90:$M$105,MATCH($S121,基础信息!$F$90:$F$105,1),))*求节点(基础信息!$F$90:$F$105,基础信息!$G$90:$G$105,$S121),0)</f>
        <v>567295.76437212201</v>
      </c>
    </row>
    <row r="122" spans="19:24" x14ac:dyDescent="0.15">
      <c r="S122" s="111">
        <v>118</v>
      </c>
      <c r="T122" s="111">
        <f>IFERROR(求节点(基础信息!$F$10:$F$25,基础信息!$G$10:$G$25,$S122),0)*SUMPRODUCT(INDEX($D$5:$H$34,IFERROR(MATCH(求节点(基础信息!$F$10:$F$25,基础信息!$H$10:$H$25,$S122),$C$5:$C$34,1),1),),INDEX(基础信息!$I$10:$M$25,IFERROR(MATCH($S122,基础信息!$F$10:$F$25,1),1),))+IFERROR(SUMPRODUCT(INDEX(门客进修!$AE$5:$AI$20,MATCH($S122,基础信息!$F$10:$F$25,1),),INDEX(基础信息!$N$10:$R$25,MATCH($S122,基础信息!$F$10:$F$25,1),),INDEX(基础信息!$I$10:$M$25,MATCH($S122,基础信息!$F$10:$F$25,1),))*求节点(基础信息!$F$10:$F$25,基础信息!$G$10:$G$25,$S122),0)</f>
        <v>350739.05759441992</v>
      </c>
      <c r="U122" s="111">
        <f>IFERROR(求节点(基础信息!$F$30:$F$45,基础信息!$G$30:$G$45,$S122),0)*SUMPRODUCT(INDEX($D$5:$H$34,IFERROR(MATCH(求节点(基础信息!$F$30:$F$45,基础信息!$H$30:$H$45,$S122),$C$5:$C$34,1),1),),INDEX(基础信息!$I$30:$M$45,IFERROR(MATCH($S122,基础信息!$F$30:$F$45,1),1),))+IFERROR(SUMPRODUCT(INDEX(门客进修!$AE$25:$AI$40,MATCH($S122,基础信息!$F$30:$F$45,1),),INDEX(基础信息!$N$30:$R$45,MATCH($S122,基础信息!$F$30:$F$45,1),),INDEX(基础信息!$I$30:$M$45,MATCH($S122,基础信息!$F$30:$F$45,1),))*求节点(基础信息!$F$30:$F$45,基础信息!$G$30:$G$45,$S122),0)</f>
        <v>400469.19597018661</v>
      </c>
      <c r="V122" s="111">
        <f>IFERROR(求节点(基础信息!$F$50:$F$65,基础信息!$G$50:$G$65,$S122),0)*SUMPRODUCT(INDEX($D$5:$H$34,IFERROR(MATCH(求节点(基础信息!$F$50:$F$65,基础信息!$H$50:$H$65,$S122),$C$5:$C$34,1),1),),INDEX(基础信息!$I$50:$M$65,IFERROR(MATCH($S122,基础信息!$F$50:$F$65,1),1),))+IFERROR(SUMPRODUCT(INDEX(门客进修!$AE$45:$AI$60,MATCH($S122,基础信息!$F$50:$F$65,1),),INDEX(基础信息!$N$50:$R$65,MATCH($S122,基础信息!$F$50:$F$65,1),),INDEX(基础信息!$I$50:$M$65,MATCH($S122,基础信息!$F$50:$F$65,1),))*求节点(基础信息!$F$50:$F$65,基础信息!$G$50:$G$65,$S122),0)</f>
        <v>443720.75382299878</v>
      </c>
      <c r="W122" s="111">
        <f>IFERROR(求节点(基础信息!$F$70:$F$85,基础信息!$G$70:$G$85,$S122),0)*SUMPRODUCT(INDEX($D$5:$H$34,IFERROR(MATCH(求节点(基础信息!$F$70:$F$85,基础信息!$H$70:$H$85,$S122),$C$5:$C$34,1),1),),INDEX(基础信息!$I$70:$M$85,IFERROR(MATCH($S122,基础信息!$F$70:$F$85,1),1),))+IFERROR(SUMPRODUCT(INDEX(门客进修!$AE$65:$AI$80,MATCH($S122,基础信息!$F$70:$F$85,1),),INDEX(基础信息!$N$70:$R$85,MATCH($S122,基础信息!$F$70:$F$85,1),),INDEX(基础信息!$I$70:$M$85,MATCH($S122,基础信息!$F$70:$F$85,1),))*求节点(基础信息!$F$70:$F$85,基础信息!$G$70:$G$85,$S122),0)</f>
        <v>480501.21759993711</v>
      </c>
      <c r="X122" s="111">
        <f>IFERROR(求节点(基础信息!$F$90:$F$105,基础信息!$G$90:$G$105,$S122),0)*SUMPRODUCT(INDEX($D$5:$H$34,IFERROR(MATCH(求节点(基础信息!$F$90:$F$105,基础信息!$H$90:$H$105,$S122),$C$5:$C$34,1),1),),INDEX(基础信息!$I$90:$M$105,IFERROR(MATCH($S122,基础信息!$F$90:$F$105,1),1),))+IFERROR(SUMPRODUCT(INDEX(门客进修!$AE$85:$AI$100,MATCH($S122,基础信息!$F$90:$F$105,1),),INDEX(基础信息!$N$90:$R$105,MATCH($S122,基础信息!$F$90:$F$105,1),),INDEX(基础信息!$I$90:$M$105,MATCH($S122,基础信息!$F$90:$F$105,1),))*求节点(基础信息!$F$90:$F$105,基础信息!$G$90:$G$105,$S122),0)</f>
        <v>571610.43099584244</v>
      </c>
    </row>
    <row r="123" spans="19:24" x14ac:dyDescent="0.15">
      <c r="S123" s="111">
        <v>119</v>
      </c>
      <c r="T123" s="111">
        <f>IFERROR(求节点(基础信息!$F$10:$F$25,基础信息!$G$10:$G$25,$S123),0)*SUMPRODUCT(INDEX($D$5:$H$34,IFERROR(MATCH(求节点(基础信息!$F$10:$F$25,基础信息!$H$10:$H$25,$S123),$C$5:$C$34,1),1),),INDEX(基础信息!$I$10:$M$25,IFERROR(MATCH($S123,基础信息!$F$10:$F$25,1),1),))+IFERROR(SUMPRODUCT(INDEX(门客进修!$AE$5:$AI$20,MATCH($S123,基础信息!$F$10:$F$25,1),),INDEX(基础信息!$N$10:$R$25,MATCH($S123,基础信息!$F$10:$F$25,1),),INDEX(基础信息!$I$10:$M$25,MATCH($S123,基础信息!$F$10:$F$25,1),))*求节点(基础信息!$F$10:$F$25,基础信息!$G$10:$G$25,$S123),0)</f>
        <v>353493.5376449055</v>
      </c>
      <c r="U123" s="111">
        <f>IFERROR(求节点(基础信息!$F$30:$F$45,基础信息!$G$30:$G$45,$S123),0)*SUMPRODUCT(INDEX($D$5:$H$34,IFERROR(MATCH(求节点(基础信息!$F$30:$F$45,基础信息!$H$30:$H$45,$S123),$C$5:$C$34,1),1),),INDEX(基础信息!$I$30:$M$45,IFERROR(MATCH($S123,基础信息!$F$30:$F$45,1),1),))+IFERROR(SUMPRODUCT(INDEX(门客进修!$AE$25:$AI$40,MATCH($S123,基础信息!$F$30:$F$45,1),),INDEX(基础信息!$N$30:$R$45,MATCH($S123,基础信息!$F$30:$F$45,1),),INDEX(基础信息!$I$30:$M$45,MATCH($S123,基础信息!$F$30:$F$45,1),))*求节点(基础信息!$F$30:$F$45,基础信息!$G$30:$G$45,$S123),0)</f>
        <v>403594.69835527713</v>
      </c>
      <c r="V123" s="111">
        <f>IFERROR(求节点(基础信息!$F$50:$F$65,基础信息!$G$50:$G$65,$S123),0)*SUMPRODUCT(INDEX($D$5:$H$34,IFERROR(MATCH(求节点(基础信息!$F$50:$F$65,基础信息!$H$50:$H$65,$S123),$C$5:$C$34,1),1),),INDEX(基础信息!$I$50:$M$65,IFERROR(MATCH($S123,基础信息!$F$50:$F$65,1),1),))+IFERROR(SUMPRODUCT(INDEX(门客进修!$AE$45:$AI$60,MATCH($S123,基础信息!$F$50:$F$65,1),),INDEX(基础信息!$N$50:$R$65,MATCH($S123,基础信息!$F$50:$F$65,1),),INDEX(基础信息!$I$50:$M$65,MATCH($S123,基础信息!$F$50:$F$65,1),))*求节点(基础信息!$F$50:$F$65,基础信息!$G$50:$G$65,$S123),0)</f>
        <v>447160.80629196501</v>
      </c>
      <c r="W123" s="111">
        <f>IFERROR(求节点(基础信息!$F$70:$F$85,基础信息!$G$70:$G$85,$S123),0)*SUMPRODUCT(INDEX($D$5:$H$34,IFERROR(MATCH(求节点(基础信息!$F$70:$F$85,基础信息!$H$70:$H$85,$S123),$C$5:$C$34,1),1),),INDEX(基础信息!$I$70:$M$85,IFERROR(MATCH($S123,基础信息!$F$70:$F$85,1),1),))+IFERROR(SUMPRODUCT(INDEX(门客进修!$AE$65:$AI$80,MATCH($S123,基础信息!$F$70:$F$85,1),),INDEX(基础信息!$N$70:$R$85,MATCH($S123,基础信息!$F$70:$F$85,1),),INDEX(基础信息!$I$70:$M$85,MATCH($S123,基础信息!$F$70:$F$85,1),))*求节点(基础信息!$F$70:$F$85,基础信息!$G$70:$G$85,$S123),0)</f>
        <v>484184.61873034894</v>
      </c>
      <c r="X123" s="111">
        <f>IFERROR(求节点(基础信息!$F$90:$F$105,基础信息!$G$90:$G$105,$S123),0)*SUMPRODUCT(INDEX($D$5:$H$34,IFERROR(MATCH(求节点(基础信息!$F$90:$F$105,基础信息!$H$90:$H$105,$S123),$C$5:$C$34,1),1),),INDEX(基础信息!$I$90:$M$105,IFERROR(MATCH($S123,基础信息!$F$90:$F$105,1),1),))+IFERROR(SUMPRODUCT(INDEX(门客进修!$AE$85:$AI$100,MATCH($S123,基础信息!$F$90:$F$105,1),),INDEX(基础信息!$N$90:$R$105,MATCH($S123,基础信息!$F$90:$F$105,1),),INDEX(基础信息!$I$90:$M$105,MATCH($S123,基础信息!$F$90:$F$105,1),))*求节点(基础信息!$F$90:$F$105,基础信息!$G$90:$G$105,$S123),0)</f>
        <v>575925.09761956288</v>
      </c>
    </row>
    <row r="124" spans="19:24" x14ac:dyDescent="0.15">
      <c r="S124" s="111">
        <v>120</v>
      </c>
      <c r="T124" s="111">
        <f>IFERROR(求节点(基础信息!$F$10:$F$25,基础信息!$G$10:$G$25,$S124),0)*SUMPRODUCT(INDEX($D$5:$H$34,IFERROR(MATCH(求节点(基础信息!$F$10:$F$25,基础信息!$H$10:$H$25,$S124),$C$5:$C$34,1),1),),INDEX(基础信息!$I$10:$M$25,IFERROR(MATCH($S124,基础信息!$F$10:$F$25,1),1),))+IFERROR(SUMPRODUCT(INDEX(门客进修!$AE$5:$AI$20,MATCH($S124,基础信息!$F$10:$F$25,1),),INDEX(基础信息!$N$10:$R$25,MATCH($S124,基础信息!$F$10:$F$25,1),),INDEX(基础信息!$I$10:$M$25,MATCH($S124,基础信息!$F$10:$F$25,1),))*求节点(基础信息!$F$10:$F$25,基础信息!$G$10:$G$25,$S124),0)</f>
        <v>356248.0176953912</v>
      </c>
      <c r="U124" s="111">
        <f>IFERROR(求节点(基础信息!$F$30:$F$45,基础信息!$G$30:$G$45,$S124),0)*SUMPRODUCT(INDEX($D$5:$H$34,IFERROR(MATCH(求节点(基础信息!$F$30:$F$45,基础信息!$H$30:$H$45,$S124),$C$5:$C$34,1),1),),INDEX(基础信息!$I$30:$M$45,IFERROR(MATCH($S124,基础信息!$F$30:$F$45,1),1),))+IFERROR(SUMPRODUCT(INDEX(门客进修!$AE$25:$AI$40,MATCH($S124,基础信息!$F$30:$F$45,1),),INDEX(基础信息!$N$30:$R$45,MATCH($S124,基础信息!$F$30:$F$45,1),),INDEX(基础信息!$I$30:$M$45,MATCH($S124,基础信息!$F$30:$F$45,1),))*求节点(基础信息!$F$30:$F$45,基础信息!$G$30:$G$45,$S124),0)</f>
        <v>406720.20074036764</v>
      </c>
      <c r="V124" s="111">
        <f>IFERROR(求节点(基础信息!$F$50:$F$65,基础信息!$G$50:$G$65,$S124),0)*SUMPRODUCT(INDEX($D$5:$H$34,IFERROR(MATCH(求节点(基础信息!$F$50:$F$65,基础信息!$H$50:$H$65,$S124),$C$5:$C$34,1),1),),INDEX(基础信息!$I$50:$M$65,IFERROR(MATCH($S124,基础信息!$F$50:$F$65,1),1),))+IFERROR(SUMPRODUCT(INDEX(门客进修!$AE$45:$AI$60,MATCH($S124,基础信息!$F$50:$F$65,1),),INDEX(基础信息!$N$50:$R$65,MATCH($S124,基础信息!$F$50:$F$65,1),),INDEX(基础信息!$I$50:$M$65,MATCH($S124,基础信息!$F$50:$F$65,1),))*求节点(基础信息!$F$50:$F$65,基础信息!$G$50:$G$65,$S124),0)</f>
        <v>450600.85876093112</v>
      </c>
      <c r="W124" s="111">
        <f>IFERROR(求节点(基础信息!$F$70:$F$85,基础信息!$G$70:$G$85,$S124),0)*SUMPRODUCT(INDEX($D$5:$H$34,IFERROR(MATCH(求节点(基础信息!$F$70:$F$85,基础信息!$H$70:$H$85,$S124),$C$5:$C$34,1),1),),INDEX(基础信息!$I$70:$M$85,IFERROR(MATCH($S124,基础信息!$F$70:$F$85,1),1),))+IFERROR(SUMPRODUCT(INDEX(门客进修!$AE$65:$AI$80,MATCH($S124,基础信息!$F$70:$F$85,1),),INDEX(基础信息!$N$70:$R$85,MATCH($S124,基础信息!$F$70:$F$85,1),),INDEX(基础信息!$I$70:$M$85,MATCH($S124,基础信息!$F$70:$F$85,1),))*求节点(基础信息!$F$70:$F$85,基础信息!$G$70:$G$85,$S124),0)</f>
        <v>487868.01986076072</v>
      </c>
      <c r="X124" s="111">
        <f>IFERROR(求节点(基础信息!$F$90:$F$105,基础信息!$G$90:$G$105,$S124),0)*SUMPRODUCT(INDEX($D$5:$H$34,IFERROR(MATCH(求节点(基础信息!$F$90:$F$105,基础信息!$H$90:$H$105,$S124),$C$5:$C$34,1),1),),INDEX(基础信息!$I$90:$M$105,IFERROR(MATCH($S124,基础信息!$F$90:$F$105,1),1),))+IFERROR(SUMPRODUCT(INDEX(门客进修!$AE$85:$AI$100,MATCH($S124,基础信息!$F$90:$F$105,1),),INDEX(基础信息!$N$90:$R$105,MATCH($S124,基础信息!$F$90:$F$105,1),),INDEX(基础信息!$I$90:$M$105,MATCH($S124,基础信息!$F$90:$F$105,1),))*求节点(基础信息!$F$90:$F$105,基础信息!$G$90:$G$105,$S124),0)</f>
        <v>580239.76424328319</v>
      </c>
    </row>
    <row r="125" spans="19:24" x14ac:dyDescent="0.15">
      <c r="S125" s="111">
        <v>121</v>
      </c>
      <c r="T125" s="111">
        <f>IFERROR(求节点(基础信息!$F$10:$F$25,基础信息!$G$10:$G$25,$S125),0)*SUMPRODUCT(INDEX($D$5:$H$34,IFERROR(MATCH(求节点(基础信息!$F$10:$F$25,基础信息!$H$10:$H$25,$S125),$C$5:$C$34,1),1),),INDEX(基础信息!$I$10:$M$25,IFERROR(MATCH($S125,基础信息!$F$10:$F$25,1),1),))+IFERROR(SUMPRODUCT(INDEX(门客进修!$AE$5:$AI$20,MATCH($S125,基础信息!$F$10:$F$25,1),),INDEX(基础信息!$N$10:$R$25,MATCH($S125,基础信息!$F$10:$F$25,1),),INDEX(基础信息!$I$10:$M$25,MATCH($S125,基础信息!$F$10:$F$25,1),))*求节点(基础信息!$F$10:$F$25,基础信息!$G$10:$G$25,$S125),0)</f>
        <v>359002.49774587678</v>
      </c>
      <c r="U125" s="111">
        <f>IFERROR(求节点(基础信息!$F$30:$F$45,基础信息!$G$30:$G$45,$S125),0)*SUMPRODUCT(INDEX($D$5:$H$34,IFERROR(MATCH(求节点(基础信息!$F$30:$F$45,基础信息!$H$30:$H$45,$S125),$C$5:$C$34,1),1),),INDEX(基础信息!$I$30:$M$45,IFERROR(MATCH($S125,基础信息!$F$30:$F$45,1),1),))+IFERROR(SUMPRODUCT(INDEX(门客进修!$AE$25:$AI$40,MATCH($S125,基础信息!$F$30:$F$45,1),),INDEX(基础信息!$N$30:$R$45,MATCH($S125,基础信息!$F$30:$F$45,1),),INDEX(基础信息!$I$30:$M$45,MATCH($S125,基础信息!$F$30:$F$45,1),))*求节点(基础信息!$F$30:$F$45,基础信息!$G$30:$G$45,$S125),0)</f>
        <v>409845.70312545821</v>
      </c>
      <c r="V125" s="111">
        <f>IFERROR(求节点(基础信息!$F$50:$F$65,基础信息!$G$50:$G$65,$S125),0)*SUMPRODUCT(INDEX($D$5:$H$34,IFERROR(MATCH(求节点(基础信息!$F$50:$F$65,基础信息!$H$50:$H$65,$S125),$C$5:$C$34,1),1),),INDEX(基础信息!$I$50:$M$65,IFERROR(MATCH($S125,基础信息!$F$50:$F$65,1),1),))+IFERROR(SUMPRODUCT(INDEX(门客进修!$AE$45:$AI$60,MATCH($S125,基础信息!$F$50:$F$65,1),),INDEX(基础信息!$N$50:$R$65,MATCH($S125,基础信息!$F$50:$F$65,1),),INDEX(基础信息!$I$50:$M$65,MATCH($S125,基础信息!$F$50:$F$65,1),))*求节点(基础信息!$F$50:$F$65,基础信息!$G$50:$G$65,$S125),0)</f>
        <v>454040.91122989735</v>
      </c>
      <c r="W125" s="111">
        <f>IFERROR(求节点(基础信息!$F$70:$F$85,基础信息!$G$70:$G$85,$S125),0)*SUMPRODUCT(INDEX($D$5:$H$34,IFERROR(MATCH(求节点(基础信息!$F$70:$F$85,基础信息!$H$70:$H$85,$S125),$C$5:$C$34,1),1),),INDEX(基础信息!$I$70:$M$85,IFERROR(MATCH($S125,基础信息!$F$70:$F$85,1),1),))+IFERROR(SUMPRODUCT(INDEX(门客进修!$AE$65:$AI$80,MATCH($S125,基础信息!$F$70:$F$85,1),),INDEX(基础信息!$N$70:$R$85,MATCH($S125,基础信息!$F$70:$F$85,1),),INDEX(基础信息!$I$70:$M$85,MATCH($S125,基础信息!$F$70:$F$85,1),))*求节点(基础信息!$F$70:$F$85,基础信息!$G$70:$G$85,$S125),0)</f>
        <v>491551.42099117255</v>
      </c>
      <c r="X125" s="111">
        <f>IFERROR(求节点(基础信息!$F$90:$F$105,基础信息!$G$90:$G$105,$S125),0)*SUMPRODUCT(INDEX($D$5:$H$34,IFERROR(MATCH(求节点(基础信息!$F$90:$F$105,基础信息!$H$90:$H$105,$S125),$C$5:$C$34,1),1),),INDEX(基础信息!$I$90:$M$105,IFERROR(MATCH($S125,基础信息!$F$90:$F$105,1),1),))+IFERROR(SUMPRODUCT(INDEX(门客进修!$AE$85:$AI$100,MATCH($S125,基础信息!$F$90:$F$105,1),),INDEX(基础信息!$N$90:$R$105,MATCH($S125,基础信息!$F$90:$F$105,1),),INDEX(基础信息!$I$90:$M$105,MATCH($S125,基础信息!$F$90:$F$105,1),))*求节点(基础信息!$F$90:$F$105,基础信息!$G$90:$G$105,$S125),0)</f>
        <v>584554.43086700363</v>
      </c>
    </row>
    <row r="126" spans="19:24" x14ac:dyDescent="0.15">
      <c r="S126" s="111">
        <v>122</v>
      </c>
      <c r="T126" s="111">
        <f>IFERROR(求节点(基础信息!$F$10:$F$25,基础信息!$G$10:$G$25,$S126),0)*SUMPRODUCT(INDEX($D$5:$H$34,IFERROR(MATCH(求节点(基础信息!$F$10:$F$25,基础信息!$H$10:$H$25,$S126),$C$5:$C$34,1),1),),INDEX(基础信息!$I$10:$M$25,IFERROR(MATCH($S126,基础信息!$F$10:$F$25,1),1),))+IFERROR(SUMPRODUCT(INDEX(门客进修!$AE$5:$AI$20,MATCH($S126,基础信息!$F$10:$F$25,1),),INDEX(基础信息!$N$10:$R$25,MATCH($S126,基础信息!$F$10:$F$25,1),),INDEX(基础信息!$I$10:$M$25,MATCH($S126,基础信息!$F$10:$F$25,1),))*求节点(基础信息!$F$10:$F$25,基础信息!$G$10:$G$25,$S126),0)</f>
        <v>361756.97779636242</v>
      </c>
      <c r="U126" s="111">
        <f>IFERROR(求节点(基础信息!$F$30:$F$45,基础信息!$G$30:$G$45,$S126),0)*SUMPRODUCT(INDEX($D$5:$H$34,IFERROR(MATCH(求节点(基础信息!$F$30:$F$45,基础信息!$H$30:$H$45,$S126),$C$5:$C$34,1),1),),INDEX(基础信息!$I$30:$M$45,IFERROR(MATCH($S126,基础信息!$F$30:$F$45,1),1),))+IFERROR(SUMPRODUCT(INDEX(门客进修!$AE$25:$AI$40,MATCH($S126,基础信息!$F$30:$F$45,1),),INDEX(基础信息!$N$30:$R$45,MATCH($S126,基础信息!$F$30:$F$45,1),),INDEX(基础信息!$I$30:$M$45,MATCH($S126,基础信息!$F$30:$F$45,1),))*求节点(基础信息!$F$30:$F$45,基础信息!$G$30:$G$45,$S126),0)</f>
        <v>412971.20551054867</v>
      </c>
      <c r="V126" s="111">
        <f>IFERROR(求节点(基础信息!$F$50:$F$65,基础信息!$G$50:$G$65,$S126),0)*SUMPRODUCT(INDEX($D$5:$H$34,IFERROR(MATCH(求节点(基础信息!$F$50:$F$65,基础信息!$H$50:$H$65,$S126),$C$5:$C$34,1),1),),INDEX(基础信息!$I$50:$M$65,IFERROR(MATCH($S126,基础信息!$F$50:$F$65,1),1),))+IFERROR(SUMPRODUCT(INDEX(门客进修!$AE$45:$AI$60,MATCH($S126,基础信息!$F$50:$F$65,1),),INDEX(基础信息!$N$50:$R$65,MATCH($S126,基础信息!$F$50:$F$65,1),),INDEX(基础信息!$I$50:$M$65,MATCH($S126,基础信息!$F$50:$F$65,1),))*求节点(基础信息!$F$50:$F$65,基础信息!$G$50:$G$65,$S126),0)</f>
        <v>457480.96369886346</v>
      </c>
      <c r="W126" s="111">
        <f>IFERROR(求节点(基础信息!$F$70:$F$85,基础信息!$G$70:$G$85,$S126),0)*SUMPRODUCT(INDEX($D$5:$H$34,IFERROR(MATCH(求节点(基础信息!$F$70:$F$85,基础信息!$H$70:$H$85,$S126),$C$5:$C$34,1),1),),INDEX(基础信息!$I$70:$M$85,IFERROR(MATCH($S126,基础信息!$F$70:$F$85,1),1),))+IFERROR(SUMPRODUCT(INDEX(门客进修!$AE$65:$AI$80,MATCH($S126,基础信息!$F$70:$F$85,1),),INDEX(基础信息!$N$70:$R$85,MATCH($S126,基础信息!$F$70:$F$85,1),),INDEX(基础信息!$I$70:$M$85,MATCH($S126,基础信息!$F$70:$F$85,1),))*求节点(基础信息!$F$70:$F$85,基础信息!$G$70:$G$85,$S126),0)</f>
        <v>495234.82212158426</v>
      </c>
      <c r="X126" s="111">
        <f>IFERROR(求节点(基础信息!$F$90:$F$105,基础信息!$G$90:$G$105,$S126),0)*SUMPRODUCT(INDEX($D$5:$H$34,IFERROR(MATCH(求节点(基础信息!$F$90:$F$105,基础信息!$H$90:$H$105,$S126),$C$5:$C$34,1),1),),INDEX(基础信息!$I$90:$M$105,IFERROR(MATCH($S126,基础信息!$F$90:$F$105,1),1),))+IFERROR(SUMPRODUCT(INDEX(门客进修!$AE$85:$AI$100,MATCH($S126,基础信息!$F$90:$F$105,1),),INDEX(基础信息!$N$90:$R$105,MATCH($S126,基础信息!$F$90:$F$105,1),),INDEX(基础信息!$I$90:$M$105,MATCH($S126,基础信息!$F$90:$F$105,1),))*求节点(基础信息!$F$90:$F$105,基础信息!$G$90:$G$105,$S126),0)</f>
        <v>588869.09749072406</v>
      </c>
    </row>
    <row r="127" spans="19:24" x14ac:dyDescent="0.15">
      <c r="S127" s="111">
        <v>123</v>
      </c>
      <c r="T127" s="111">
        <f>IFERROR(求节点(基础信息!$F$10:$F$25,基础信息!$G$10:$G$25,$S127),0)*SUMPRODUCT(INDEX($D$5:$H$34,IFERROR(MATCH(求节点(基础信息!$F$10:$F$25,基础信息!$H$10:$H$25,$S127),$C$5:$C$34,1),1),),INDEX(基础信息!$I$10:$M$25,IFERROR(MATCH($S127,基础信息!$F$10:$F$25,1),1),))+IFERROR(SUMPRODUCT(INDEX(门客进修!$AE$5:$AI$20,MATCH($S127,基础信息!$F$10:$F$25,1),),INDEX(基础信息!$N$10:$R$25,MATCH($S127,基础信息!$F$10:$F$25,1),),INDEX(基础信息!$I$10:$M$25,MATCH($S127,基础信息!$F$10:$F$25,1),))*求节点(基础信息!$F$10:$F$25,基础信息!$G$10:$G$25,$S127),0)</f>
        <v>364511.45784684812</v>
      </c>
      <c r="U127" s="111">
        <f>IFERROR(求节点(基础信息!$F$30:$F$45,基础信息!$G$30:$G$45,$S127),0)*SUMPRODUCT(INDEX($D$5:$H$34,IFERROR(MATCH(求节点(基础信息!$F$30:$F$45,基础信息!$H$30:$H$45,$S127),$C$5:$C$34,1),1),),INDEX(基础信息!$I$30:$M$45,IFERROR(MATCH($S127,基础信息!$F$30:$F$45,1),1),))+IFERROR(SUMPRODUCT(INDEX(门客进修!$AE$25:$AI$40,MATCH($S127,基础信息!$F$30:$F$45,1),),INDEX(基础信息!$N$30:$R$45,MATCH($S127,基础信息!$F$30:$F$45,1),),INDEX(基础信息!$I$30:$M$45,MATCH($S127,基础信息!$F$30:$F$45,1),))*求节点(基础信息!$F$30:$F$45,基础信息!$G$30:$G$45,$S127),0)</f>
        <v>416096.70789563924</v>
      </c>
      <c r="V127" s="111">
        <f>IFERROR(求节点(基础信息!$F$50:$F$65,基础信息!$G$50:$G$65,$S127),0)*SUMPRODUCT(INDEX($D$5:$H$34,IFERROR(MATCH(求节点(基础信息!$F$50:$F$65,基础信息!$H$50:$H$65,$S127),$C$5:$C$34,1),1),),INDEX(基础信息!$I$50:$M$65,IFERROR(MATCH($S127,基础信息!$F$50:$F$65,1),1),))+IFERROR(SUMPRODUCT(INDEX(门客进修!$AE$45:$AI$60,MATCH($S127,基础信息!$F$50:$F$65,1),),INDEX(基础信息!$N$50:$R$65,MATCH($S127,基础信息!$F$50:$F$65,1),),INDEX(基础信息!$I$50:$M$65,MATCH($S127,基础信息!$F$50:$F$65,1),))*求节点(基础信息!$F$50:$F$65,基础信息!$G$50:$G$65,$S127),0)</f>
        <v>460921.01616782969</v>
      </c>
      <c r="W127" s="111">
        <f>IFERROR(求节点(基础信息!$F$70:$F$85,基础信息!$G$70:$G$85,$S127),0)*SUMPRODUCT(INDEX($D$5:$H$34,IFERROR(MATCH(求节点(基础信息!$F$70:$F$85,基础信息!$H$70:$H$85,$S127),$C$5:$C$34,1),1),),INDEX(基础信息!$I$70:$M$85,IFERROR(MATCH($S127,基础信息!$F$70:$F$85,1),1),))+IFERROR(SUMPRODUCT(INDEX(门客进修!$AE$65:$AI$80,MATCH($S127,基础信息!$F$70:$F$85,1),),INDEX(基础信息!$N$70:$R$85,MATCH($S127,基础信息!$F$70:$F$85,1),),INDEX(基础信息!$I$70:$M$85,MATCH($S127,基础信息!$F$70:$F$85,1),))*求节点(基础信息!$F$70:$F$85,基础信息!$G$70:$G$85,$S127),0)</f>
        <v>498918.22325199604</v>
      </c>
      <c r="X127" s="111">
        <f>IFERROR(求节点(基础信息!$F$90:$F$105,基础信息!$G$90:$G$105,$S127),0)*SUMPRODUCT(INDEX($D$5:$H$34,IFERROR(MATCH(求节点(基础信息!$F$90:$F$105,基础信息!$H$90:$H$105,$S127),$C$5:$C$34,1),1),),INDEX(基础信息!$I$90:$M$105,IFERROR(MATCH($S127,基础信息!$F$90:$F$105,1),1),))+IFERROR(SUMPRODUCT(INDEX(门客进修!$AE$85:$AI$100,MATCH($S127,基础信息!$F$90:$F$105,1),),INDEX(基础信息!$N$90:$R$105,MATCH($S127,基础信息!$F$90:$F$105,1),),INDEX(基础信息!$I$90:$M$105,MATCH($S127,基础信息!$F$90:$F$105,1),))*求节点(基础信息!$F$90:$F$105,基础信息!$G$90:$G$105,$S127),0)</f>
        <v>593183.76411444449</v>
      </c>
    </row>
    <row r="128" spans="19:24" x14ac:dyDescent="0.15">
      <c r="S128" s="111">
        <v>124</v>
      </c>
      <c r="T128" s="111">
        <f>IFERROR(求节点(基础信息!$F$10:$F$25,基础信息!$G$10:$G$25,$S128),0)*SUMPRODUCT(INDEX($D$5:$H$34,IFERROR(MATCH(求节点(基础信息!$F$10:$F$25,基础信息!$H$10:$H$25,$S128),$C$5:$C$34,1),1),),INDEX(基础信息!$I$10:$M$25,IFERROR(MATCH($S128,基础信息!$F$10:$F$25,1),1),))+IFERROR(SUMPRODUCT(INDEX(门客进修!$AE$5:$AI$20,MATCH($S128,基础信息!$F$10:$F$25,1),),INDEX(基础信息!$N$10:$R$25,MATCH($S128,基础信息!$F$10:$F$25,1),),INDEX(基础信息!$I$10:$M$25,MATCH($S128,基础信息!$F$10:$F$25,1),))*求节点(基础信息!$F$10:$F$25,基础信息!$G$10:$G$25,$S128),0)</f>
        <v>367265.93789733364</v>
      </c>
      <c r="U128" s="111">
        <f>IFERROR(求节点(基础信息!$F$30:$F$45,基础信息!$G$30:$G$45,$S128),0)*SUMPRODUCT(INDEX($D$5:$H$34,IFERROR(MATCH(求节点(基础信息!$F$30:$F$45,基础信息!$H$30:$H$45,$S128),$C$5:$C$34,1),1),),INDEX(基础信息!$I$30:$M$45,IFERROR(MATCH($S128,基础信息!$F$30:$F$45,1),1),))+IFERROR(SUMPRODUCT(INDEX(门客进修!$AE$25:$AI$40,MATCH($S128,基础信息!$F$30:$F$45,1),),INDEX(基础信息!$N$30:$R$45,MATCH($S128,基础信息!$F$30:$F$45,1),),INDEX(基础信息!$I$30:$M$45,MATCH($S128,基础信息!$F$30:$F$45,1),))*求节点(基础信息!$F$30:$F$45,基础信息!$G$30:$G$45,$S128),0)</f>
        <v>419222.21028072975</v>
      </c>
      <c r="V128" s="111">
        <f>IFERROR(求节点(基础信息!$F$50:$F$65,基础信息!$G$50:$G$65,$S128),0)*SUMPRODUCT(INDEX($D$5:$H$34,IFERROR(MATCH(求节点(基础信息!$F$50:$F$65,基础信息!$H$50:$H$65,$S128),$C$5:$C$34,1),1),),INDEX(基础信息!$I$50:$M$65,IFERROR(MATCH($S128,基础信息!$F$50:$F$65,1),1),))+IFERROR(SUMPRODUCT(INDEX(门客进修!$AE$45:$AI$60,MATCH($S128,基础信息!$F$50:$F$65,1),),INDEX(基础信息!$N$50:$R$65,MATCH($S128,基础信息!$F$50:$F$65,1),),INDEX(基础信息!$I$50:$M$65,MATCH($S128,基础信息!$F$50:$F$65,1),))*求节点(基础信息!$F$50:$F$65,基础信息!$G$50:$G$65,$S128),0)</f>
        <v>464361.06863679586</v>
      </c>
      <c r="W128" s="111">
        <f>IFERROR(求节点(基础信息!$F$70:$F$85,基础信息!$G$70:$G$85,$S128),0)*SUMPRODUCT(INDEX($D$5:$H$34,IFERROR(MATCH(求节点(基础信息!$F$70:$F$85,基础信息!$H$70:$H$85,$S128),$C$5:$C$34,1),1),),INDEX(基础信息!$I$70:$M$85,IFERROR(MATCH($S128,基础信息!$F$70:$F$85,1),1),))+IFERROR(SUMPRODUCT(INDEX(门客进修!$AE$65:$AI$80,MATCH($S128,基础信息!$F$70:$F$85,1),),INDEX(基础信息!$N$70:$R$85,MATCH($S128,基础信息!$F$70:$F$85,1),),INDEX(基础信息!$I$70:$M$85,MATCH($S128,基础信息!$F$70:$F$85,1),))*求节点(基础信息!$F$70:$F$85,基础信息!$G$70:$G$85,$S128),0)</f>
        <v>502601.62438240787</v>
      </c>
      <c r="X128" s="111">
        <f>IFERROR(求节点(基础信息!$F$90:$F$105,基础信息!$G$90:$G$105,$S128),0)*SUMPRODUCT(INDEX($D$5:$H$34,IFERROR(MATCH(求节点(基础信息!$F$90:$F$105,基础信息!$H$90:$H$105,$S128),$C$5:$C$34,1),1),),INDEX(基础信息!$I$90:$M$105,IFERROR(MATCH($S128,基础信息!$F$90:$F$105,1),1),))+IFERROR(SUMPRODUCT(INDEX(门客进修!$AE$85:$AI$100,MATCH($S128,基础信息!$F$90:$F$105,1),),INDEX(基础信息!$N$90:$R$105,MATCH($S128,基础信息!$F$90:$F$105,1),),INDEX(基础信息!$I$90:$M$105,MATCH($S128,基础信息!$F$90:$F$105,1),))*求节点(基础信息!$F$90:$F$105,基础信息!$G$90:$G$105,$S128),0)</f>
        <v>597498.43073816493</v>
      </c>
    </row>
    <row r="129" spans="19:24" x14ac:dyDescent="0.15">
      <c r="S129" s="111">
        <v>125</v>
      </c>
      <c r="T129" s="111">
        <f>IFERROR(求节点(基础信息!$F$10:$F$25,基础信息!$G$10:$G$25,$S129),0)*SUMPRODUCT(INDEX($D$5:$H$34,IFERROR(MATCH(求节点(基础信息!$F$10:$F$25,基础信息!$H$10:$H$25,$S129),$C$5:$C$34,1),1),),INDEX(基础信息!$I$10:$M$25,IFERROR(MATCH($S129,基础信息!$F$10:$F$25,1),1),))+IFERROR(SUMPRODUCT(INDEX(门客进修!$AE$5:$AI$20,MATCH($S129,基础信息!$F$10:$F$25,1),),INDEX(基础信息!$N$10:$R$25,MATCH($S129,基础信息!$F$10:$F$25,1),),INDEX(基础信息!$I$10:$M$25,MATCH($S129,基础信息!$F$10:$F$25,1),))*求节点(基础信息!$F$10:$F$25,基础信息!$G$10:$G$25,$S129),0)</f>
        <v>370020.41794781934</v>
      </c>
      <c r="U129" s="111">
        <f>IFERROR(求节点(基础信息!$F$30:$F$45,基础信息!$G$30:$G$45,$S129),0)*SUMPRODUCT(INDEX($D$5:$H$34,IFERROR(MATCH(求节点(基础信息!$F$30:$F$45,基础信息!$H$30:$H$45,$S129),$C$5:$C$34,1),1),),INDEX(基础信息!$I$30:$M$45,IFERROR(MATCH($S129,基础信息!$F$30:$F$45,1),1),))+IFERROR(SUMPRODUCT(INDEX(门客进修!$AE$25:$AI$40,MATCH($S129,基础信息!$F$30:$F$45,1),),INDEX(基础信息!$N$30:$R$45,MATCH($S129,基础信息!$F$30:$F$45,1),),INDEX(基础信息!$I$30:$M$45,MATCH($S129,基础信息!$F$30:$F$45,1),))*求节点(基础信息!$F$30:$F$45,基础信息!$G$30:$G$45,$S129),0)</f>
        <v>422347.71266582032</v>
      </c>
      <c r="V129" s="111">
        <f>IFERROR(求节点(基础信息!$F$50:$F$65,基础信息!$G$50:$G$65,$S129),0)*SUMPRODUCT(INDEX($D$5:$H$34,IFERROR(MATCH(求节点(基础信息!$F$50:$F$65,基础信息!$H$50:$H$65,$S129),$C$5:$C$34,1),1),),INDEX(基础信息!$I$50:$M$65,IFERROR(MATCH($S129,基础信息!$F$50:$F$65,1),1),))+IFERROR(SUMPRODUCT(INDEX(门客进修!$AE$45:$AI$60,MATCH($S129,基础信息!$F$50:$F$65,1),),INDEX(基础信息!$N$50:$R$65,MATCH($S129,基础信息!$F$50:$F$65,1),),INDEX(基础信息!$I$50:$M$65,MATCH($S129,基础信息!$F$50:$F$65,1),))*求节点(基础信息!$F$50:$F$65,基础信息!$G$50:$G$65,$S129),0)</f>
        <v>467801.12110576202</v>
      </c>
      <c r="W129" s="111">
        <f>IFERROR(求节点(基础信息!$F$70:$F$85,基础信息!$G$70:$G$85,$S129),0)*SUMPRODUCT(INDEX($D$5:$H$34,IFERROR(MATCH(求节点(基础信息!$F$70:$F$85,基础信息!$H$70:$H$85,$S129),$C$5:$C$34,1),1),),INDEX(基础信息!$I$70:$M$85,IFERROR(MATCH($S129,基础信息!$F$70:$F$85,1),1),))+IFERROR(SUMPRODUCT(INDEX(门客进修!$AE$65:$AI$80,MATCH($S129,基础信息!$F$70:$F$85,1),),INDEX(基础信息!$N$70:$R$85,MATCH($S129,基础信息!$F$70:$F$85,1),),INDEX(基础信息!$I$70:$M$85,MATCH($S129,基础信息!$F$70:$F$85,1),))*求节点(基础信息!$F$70:$F$85,基础信息!$G$70:$G$85,$S129),0)</f>
        <v>506285.02551281964</v>
      </c>
      <c r="X129" s="111">
        <f>IFERROR(求节点(基础信息!$F$90:$F$105,基础信息!$G$90:$G$105,$S129),0)*SUMPRODUCT(INDEX($D$5:$H$34,IFERROR(MATCH(求节点(基础信息!$F$90:$F$105,基础信息!$H$90:$H$105,$S129),$C$5:$C$34,1),1),),INDEX(基础信息!$I$90:$M$105,IFERROR(MATCH($S129,基础信息!$F$90:$F$105,1),1),))+IFERROR(SUMPRODUCT(INDEX(门客进修!$AE$85:$AI$100,MATCH($S129,基础信息!$F$90:$F$105,1),),INDEX(基础信息!$N$90:$R$105,MATCH($S129,基础信息!$F$90:$F$105,1),),INDEX(基础信息!$I$90:$M$105,MATCH($S129,基础信息!$F$90:$F$105,1),))*求节点(基础信息!$F$90:$F$105,基础信息!$G$90:$G$105,$S129),0)</f>
        <v>693338.41240351705</v>
      </c>
    </row>
    <row r="130" spans="19:24" x14ac:dyDescent="0.15">
      <c r="S130" s="111">
        <v>126</v>
      </c>
      <c r="T130" s="111">
        <f>IFERROR(求节点(基础信息!$F$10:$F$25,基础信息!$G$10:$G$25,$S130),0)*SUMPRODUCT(INDEX($D$5:$H$34,IFERROR(MATCH(求节点(基础信息!$F$10:$F$25,基础信息!$H$10:$H$25,$S130),$C$5:$C$34,1),1),),INDEX(基础信息!$I$10:$M$25,IFERROR(MATCH($S130,基础信息!$F$10:$F$25,1),1),))+IFERROR(SUMPRODUCT(INDEX(门客进修!$AE$5:$AI$20,MATCH($S130,基础信息!$F$10:$F$25,1),),INDEX(基础信息!$N$10:$R$25,MATCH($S130,基础信息!$F$10:$F$25,1),),INDEX(基础信息!$I$10:$M$25,MATCH($S130,基础信息!$F$10:$F$25,1),))*求节点(基础信息!$F$10:$F$25,基础信息!$G$10:$G$25,$S130),0)</f>
        <v>372774.89799830498</v>
      </c>
      <c r="U130" s="111">
        <f>IFERROR(求节点(基础信息!$F$30:$F$45,基础信息!$G$30:$G$45,$S130),0)*SUMPRODUCT(INDEX($D$5:$H$34,IFERROR(MATCH(求节点(基础信息!$F$30:$F$45,基础信息!$H$30:$H$45,$S130),$C$5:$C$34,1),1),),INDEX(基础信息!$I$30:$M$45,IFERROR(MATCH($S130,基础信息!$F$30:$F$45,1),1),))+IFERROR(SUMPRODUCT(INDEX(门客进修!$AE$25:$AI$40,MATCH($S130,基础信息!$F$30:$F$45,1),),INDEX(基础信息!$N$30:$R$45,MATCH($S130,基础信息!$F$30:$F$45,1),),INDEX(基础信息!$I$30:$M$45,MATCH($S130,基础信息!$F$30:$F$45,1),))*求节点(基础信息!$F$30:$F$45,基础信息!$G$30:$G$45,$S130),0)</f>
        <v>425473.21505091077</v>
      </c>
      <c r="V130" s="111">
        <f>IFERROR(求节点(基础信息!$F$50:$F$65,基础信息!$G$50:$G$65,$S130),0)*SUMPRODUCT(INDEX($D$5:$H$34,IFERROR(MATCH(求节点(基础信息!$F$50:$F$65,基础信息!$H$50:$H$65,$S130),$C$5:$C$34,1),1),),INDEX(基础信息!$I$50:$M$65,IFERROR(MATCH($S130,基础信息!$F$50:$F$65,1),1),))+IFERROR(SUMPRODUCT(INDEX(门客进修!$AE$45:$AI$60,MATCH($S130,基础信息!$F$50:$F$65,1),),INDEX(基础信息!$N$50:$R$65,MATCH($S130,基础信息!$F$50:$F$65,1),),INDEX(基础信息!$I$50:$M$65,MATCH($S130,基础信息!$F$50:$F$65,1),))*求节点(基础信息!$F$50:$F$65,基础信息!$G$50:$G$65,$S130),0)</f>
        <v>471241.17357472819</v>
      </c>
      <c r="W130" s="111">
        <f>IFERROR(求节点(基础信息!$F$70:$F$85,基础信息!$G$70:$G$85,$S130),0)*SUMPRODUCT(INDEX($D$5:$H$34,IFERROR(MATCH(求节点(基础信息!$F$70:$F$85,基础信息!$H$70:$H$85,$S130),$C$5:$C$34,1),1),),INDEX(基础信息!$I$70:$M$85,IFERROR(MATCH($S130,基础信息!$F$70:$F$85,1),1),))+IFERROR(SUMPRODUCT(INDEX(门客进修!$AE$65:$AI$80,MATCH($S130,基础信息!$F$70:$F$85,1),),INDEX(基础信息!$N$70:$R$85,MATCH($S130,基础信息!$F$70:$F$85,1),),INDEX(基础信息!$I$70:$M$85,MATCH($S130,基础信息!$F$70:$F$85,1),))*求节点(基础信息!$F$70:$F$85,基础信息!$G$70:$G$85,$S130),0)</f>
        <v>555700.5809597834</v>
      </c>
      <c r="X130" s="111">
        <f>IFERROR(求节点(基础信息!$F$90:$F$105,基础信息!$G$90:$G$105,$S130),0)*SUMPRODUCT(INDEX($D$5:$H$34,IFERROR(MATCH(求节点(基础信息!$F$90:$F$105,基础信息!$H$90:$H$105,$S130),$C$5:$C$34,1),1),),INDEX(基础信息!$I$90:$M$105,IFERROR(MATCH($S130,基础信息!$F$90:$F$105,1),1),))+IFERROR(SUMPRODUCT(INDEX(门客进修!$AE$85:$AI$100,MATCH($S130,基础信息!$F$90:$F$105,1),),INDEX(基础信息!$N$90:$R$105,MATCH($S130,基础信息!$F$90:$F$105,1),),INDEX(基础信息!$I$90:$M$105,MATCH($S130,基础信息!$F$90:$F$105,1),))*求节点(基础信息!$F$90:$F$105,基础信息!$G$90:$G$105,$S130),0)</f>
        <v>698247.49324275739</v>
      </c>
    </row>
    <row r="131" spans="19:24" x14ac:dyDescent="0.15">
      <c r="S131" s="111">
        <v>127</v>
      </c>
      <c r="T131" s="111">
        <f>IFERROR(求节点(基础信息!$F$10:$F$25,基础信息!$G$10:$G$25,$S131),0)*SUMPRODUCT(INDEX($D$5:$H$34,IFERROR(MATCH(求节点(基础信息!$F$10:$F$25,基础信息!$H$10:$H$25,$S131),$C$5:$C$34,1),1),),INDEX(基础信息!$I$10:$M$25,IFERROR(MATCH($S131,基础信息!$F$10:$F$25,1),1),))+IFERROR(SUMPRODUCT(INDEX(门客进修!$AE$5:$AI$20,MATCH($S131,基础信息!$F$10:$F$25,1),),INDEX(基础信息!$N$10:$R$25,MATCH($S131,基础信息!$F$10:$F$25,1),),INDEX(基础信息!$I$10:$M$25,MATCH($S131,基础信息!$F$10:$F$25,1),))*求节点(基础信息!$F$10:$F$25,基础信息!$G$10:$G$25,$S131),0)</f>
        <v>375529.37804879056</v>
      </c>
      <c r="U131" s="111">
        <f>IFERROR(求节点(基础信息!$F$30:$F$45,基础信息!$G$30:$G$45,$S131),0)*SUMPRODUCT(INDEX($D$5:$H$34,IFERROR(MATCH(求节点(基础信息!$F$30:$F$45,基础信息!$H$30:$H$45,$S131),$C$5:$C$34,1),1),),INDEX(基础信息!$I$30:$M$45,IFERROR(MATCH($S131,基础信息!$F$30:$F$45,1),1),))+IFERROR(SUMPRODUCT(INDEX(门客进修!$AE$25:$AI$40,MATCH($S131,基础信息!$F$30:$F$45,1),),INDEX(基础信息!$N$30:$R$45,MATCH($S131,基础信息!$F$30:$F$45,1),),INDEX(基础信息!$I$30:$M$45,MATCH($S131,基础信息!$F$30:$F$45,1),))*求节点(基础信息!$F$30:$F$45,基础信息!$G$30:$G$45,$S131),0)</f>
        <v>428598.71743600135</v>
      </c>
      <c r="V131" s="111">
        <f>IFERROR(求节点(基础信息!$F$50:$F$65,基础信息!$G$50:$G$65,$S131),0)*SUMPRODUCT(INDEX($D$5:$H$34,IFERROR(MATCH(求节点(基础信息!$F$50:$F$65,基础信息!$H$50:$H$65,$S131),$C$5:$C$34,1),1),),INDEX(基础信息!$I$50:$M$65,IFERROR(MATCH($S131,基础信息!$F$50:$F$65,1),1),))+IFERROR(SUMPRODUCT(INDEX(门客进修!$AE$45:$AI$60,MATCH($S131,基础信息!$F$50:$F$65,1),),INDEX(基础信息!$N$50:$R$65,MATCH($S131,基础信息!$F$50:$F$65,1),),INDEX(基础信息!$I$50:$M$65,MATCH($S131,基础信息!$F$50:$F$65,1),))*求节点(基础信息!$F$50:$F$65,基础信息!$G$50:$G$65,$S131),0)</f>
        <v>509966.89621877106</v>
      </c>
      <c r="W131" s="111">
        <f>IFERROR(求节点(基础信息!$F$70:$F$85,基础信息!$G$70:$G$85,$S131),0)*SUMPRODUCT(INDEX($D$5:$H$34,IFERROR(MATCH(求节点(基础信息!$F$70:$F$85,基础信息!$H$70:$H$85,$S131),$C$5:$C$34,1),1),),INDEX(基础信息!$I$70:$M$85,IFERROR(MATCH($S131,基础信息!$F$70:$F$85,1),1),))+IFERROR(SUMPRODUCT(INDEX(门客进修!$AE$65:$AI$80,MATCH($S131,基础信息!$F$70:$F$85,1),),INDEX(基础信息!$N$70:$R$85,MATCH($S131,基础信息!$F$70:$F$85,1),),INDEX(基础信息!$I$70:$M$85,MATCH($S131,基础信息!$F$70:$F$85,1),))*求节点(基础信息!$F$70:$F$85,基础信息!$G$70:$G$85,$S131),0)</f>
        <v>559672.05303645472</v>
      </c>
      <c r="X131" s="111">
        <f>IFERROR(求节点(基础信息!$F$90:$F$105,基础信息!$G$90:$G$105,$S131),0)*SUMPRODUCT(INDEX($D$5:$H$34,IFERROR(MATCH(求节点(基础信息!$F$90:$F$105,基础信息!$H$90:$H$105,$S131),$C$5:$C$34,1),1),),INDEX(基础信息!$I$90:$M$105,IFERROR(MATCH($S131,基础信息!$F$90:$F$105,1),1),))+IFERROR(SUMPRODUCT(INDEX(门客进修!$AE$85:$AI$100,MATCH($S131,基础信息!$F$90:$F$105,1),),INDEX(基础信息!$N$90:$R$105,MATCH($S131,基础信息!$F$90:$F$105,1),),INDEX(基础信息!$I$90:$M$105,MATCH($S131,基础信息!$F$90:$F$105,1),))*求节点(基础信息!$F$90:$F$105,基础信息!$G$90:$G$105,$S131),0)</f>
        <v>703156.57408199797</v>
      </c>
    </row>
    <row r="132" spans="19:24" x14ac:dyDescent="0.15">
      <c r="S132" s="111">
        <v>128</v>
      </c>
      <c r="T132" s="111">
        <f>IFERROR(求节点(基础信息!$F$10:$F$25,基础信息!$G$10:$G$25,$S132),0)*SUMPRODUCT(INDEX($D$5:$H$34,IFERROR(MATCH(求节点(基础信息!$F$10:$F$25,基础信息!$H$10:$H$25,$S132),$C$5:$C$34,1),1),),INDEX(基础信息!$I$10:$M$25,IFERROR(MATCH($S132,基础信息!$F$10:$F$25,1),1),))+IFERROR(SUMPRODUCT(INDEX(门客进修!$AE$5:$AI$20,MATCH($S132,基础信息!$F$10:$F$25,1),),INDEX(基础信息!$N$10:$R$25,MATCH($S132,基础信息!$F$10:$F$25,1),),INDEX(基础信息!$I$10:$M$25,MATCH($S132,基础信息!$F$10:$F$25,1),))*求节点(基础信息!$F$10:$F$25,基础信息!$G$10:$G$25,$S132),0)</f>
        <v>378283.85809927626</v>
      </c>
      <c r="U132" s="111">
        <f>IFERROR(求节点(基础信息!$F$30:$F$45,基础信息!$G$30:$G$45,$S132),0)*SUMPRODUCT(INDEX($D$5:$H$34,IFERROR(MATCH(求节点(基础信息!$F$30:$F$45,基础信息!$H$30:$H$45,$S132),$C$5:$C$34,1),1),),INDEX(基础信息!$I$30:$M$45,IFERROR(MATCH($S132,基础信息!$F$30:$F$45,1),1),))+IFERROR(SUMPRODUCT(INDEX(门客进修!$AE$25:$AI$40,MATCH($S132,基础信息!$F$30:$F$45,1),),INDEX(基础信息!$N$30:$R$45,MATCH($S132,基础信息!$F$30:$F$45,1),),INDEX(基础信息!$I$30:$M$45,MATCH($S132,基础信息!$F$30:$F$45,1),))*求节点(基础信息!$F$30:$F$45,基础信息!$G$30:$G$45,$S132),0)</f>
        <v>474891.09440601803</v>
      </c>
      <c r="V132" s="111">
        <f>IFERROR(求节点(基础信息!$F$50:$F$65,基础信息!$G$50:$G$65,$S132),0)*SUMPRODUCT(INDEX($D$5:$H$34,IFERROR(MATCH(求节点(基础信息!$F$50:$F$65,基础信息!$H$50:$H$65,$S132),$C$5:$C$34,1),1),),INDEX(基础信息!$I$50:$M$65,IFERROR(MATCH($S132,基础信息!$F$50:$F$65,1),1),))+IFERROR(SUMPRODUCT(INDEX(门客进修!$AE$45:$AI$60,MATCH($S132,基础信息!$F$50:$F$65,1),),INDEX(基础信息!$N$50:$R$65,MATCH($S132,基础信息!$F$50:$F$65,1),),INDEX(基础信息!$I$50:$M$65,MATCH($S132,基础信息!$F$50:$F$65,1),))*求节点(基础信息!$F$50:$F$65,基础信息!$G$50:$G$65,$S132),0)</f>
        <v>513636.60105476953</v>
      </c>
      <c r="W132" s="111">
        <f>IFERROR(求节点(基础信息!$F$70:$F$85,基础信息!$G$70:$G$85,$S132),0)*SUMPRODUCT(INDEX($D$5:$H$34,IFERROR(MATCH(求节点(基础信息!$F$70:$F$85,基础信息!$H$70:$H$85,$S132),$C$5:$C$34,1),1),),INDEX(基础信息!$I$70:$M$85,IFERROR(MATCH($S132,基础信息!$F$70:$F$85,1),1),))+IFERROR(SUMPRODUCT(INDEX(门客进修!$AE$65:$AI$80,MATCH($S132,基础信息!$F$70:$F$85,1),),INDEX(基础信息!$N$70:$R$85,MATCH($S132,基础信息!$F$70:$F$85,1),),INDEX(基础信息!$I$70:$M$85,MATCH($S132,基础信息!$F$70:$F$85,1),))*求节点(基础信息!$F$70:$F$85,基础信息!$G$70:$G$85,$S132),0)</f>
        <v>563643.52511312591</v>
      </c>
      <c r="X132" s="111">
        <f>IFERROR(求节点(基础信息!$F$90:$F$105,基础信息!$G$90:$G$105,$S132),0)*SUMPRODUCT(INDEX($D$5:$H$34,IFERROR(MATCH(求节点(基础信息!$F$90:$F$105,基础信息!$H$90:$H$105,$S132),$C$5:$C$34,1),1),),INDEX(基础信息!$I$90:$M$105,IFERROR(MATCH($S132,基础信息!$F$90:$F$105,1),1),))+IFERROR(SUMPRODUCT(INDEX(门客进修!$AE$85:$AI$100,MATCH($S132,基础信息!$F$90:$F$105,1),),INDEX(基础信息!$N$90:$R$105,MATCH($S132,基础信息!$F$90:$F$105,1),),INDEX(基础信息!$I$90:$M$105,MATCH($S132,基础信息!$F$90:$F$105,1),))*求节点(基础信息!$F$90:$F$105,基础信息!$G$90:$G$105,$S132),0)</f>
        <v>708065.65492123831</v>
      </c>
    </row>
    <row r="133" spans="19:24" x14ac:dyDescent="0.15">
      <c r="S133" s="111">
        <v>129</v>
      </c>
      <c r="T133" s="111">
        <f>IFERROR(求节点(基础信息!$F$10:$F$25,基础信息!$G$10:$G$25,$S133),0)*SUMPRODUCT(INDEX($D$5:$H$34,IFERROR(MATCH(求节点(基础信息!$F$10:$F$25,基础信息!$H$10:$H$25,$S133),$C$5:$C$34,1),1),),INDEX(基础信息!$I$10:$M$25,IFERROR(MATCH($S133,基础信息!$F$10:$F$25,1),1),))+IFERROR(SUMPRODUCT(INDEX(门客进修!$AE$5:$AI$20,MATCH($S133,基础信息!$F$10:$F$25,1),),INDEX(基础信息!$N$10:$R$25,MATCH($S133,基础信息!$F$10:$F$25,1),),INDEX(基础信息!$I$10:$M$25,MATCH($S133,基础信息!$F$10:$F$25,1),))*求节点(基础信息!$F$10:$F$25,基础信息!$G$10:$G$25,$S133),0)</f>
        <v>432116.24944548367</v>
      </c>
      <c r="U133" s="111">
        <f>IFERROR(求节点(基础信息!$F$30:$F$45,基础信息!$G$30:$G$45,$S133),0)*SUMPRODUCT(INDEX($D$5:$H$34,IFERROR(MATCH(求节点(基础信息!$F$30:$F$45,基础信息!$H$30:$H$45,$S133),$C$5:$C$34,1),1),),INDEX(基础信息!$I$30:$M$45,IFERROR(MATCH($S133,基础信息!$F$30:$F$45,1),1),))+IFERROR(SUMPRODUCT(INDEX(门客进修!$AE$25:$AI$40,MATCH($S133,基础信息!$F$30:$F$45,1),),INDEX(基础信息!$N$30:$R$45,MATCH($S133,基础信息!$F$30:$F$45,1),),INDEX(基础信息!$I$30:$M$45,MATCH($S133,基础信息!$F$30:$F$45,1),))*求节点(基础信息!$F$30:$F$45,基础信息!$G$30:$G$45,$S133),0)</f>
        <v>478322.78249067976</v>
      </c>
      <c r="V133" s="111">
        <f>IFERROR(求节点(基础信息!$F$50:$F$65,基础信息!$G$50:$G$65,$S133),0)*SUMPRODUCT(INDEX($D$5:$H$34,IFERROR(MATCH(求节点(基础信息!$F$50:$F$65,基础信息!$H$50:$H$65,$S133),$C$5:$C$34,1),1),),INDEX(基础信息!$I$50:$M$65,IFERROR(MATCH($S133,基础信息!$F$50:$F$65,1),1),))+IFERROR(SUMPRODUCT(INDEX(门客进修!$AE$45:$AI$60,MATCH($S133,基础信息!$F$50:$F$65,1),),INDEX(基础信息!$N$50:$R$65,MATCH($S133,基础信息!$F$50:$F$65,1),),INDEX(基础信息!$I$50:$M$65,MATCH($S133,基础信息!$F$50:$F$65,1),))*求节点(基础信息!$F$50:$F$65,基础信息!$G$50:$G$65,$S133),0)</f>
        <v>517306.30589076789</v>
      </c>
      <c r="W133" s="111">
        <f>IFERROR(求节点(基础信息!$F$70:$F$85,基础信息!$G$70:$G$85,$S133),0)*SUMPRODUCT(INDEX($D$5:$H$34,IFERROR(MATCH(求节点(基础信息!$F$70:$F$85,基础信息!$H$70:$H$85,$S133),$C$5:$C$34,1),1),),INDEX(基础信息!$I$70:$M$85,IFERROR(MATCH($S133,基础信息!$F$70:$F$85,1),1),))+IFERROR(SUMPRODUCT(INDEX(门客进修!$AE$65:$AI$80,MATCH($S133,基础信息!$F$70:$F$85,1),),INDEX(基础信息!$N$70:$R$85,MATCH($S133,基础信息!$F$70:$F$85,1),),INDEX(基础信息!$I$70:$M$85,MATCH($S133,基础信息!$F$70:$F$85,1),))*求节点(基础信息!$F$70:$F$85,基础信息!$G$70:$G$85,$S133),0)</f>
        <v>567614.99718979723</v>
      </c>
      <c r="X133" s="111">
        <f>IFERROR(求节点(基础信息!$F$90:$F$105,基础信息!$G$90:$G$105,$S133),0)*SUMPRODUCT(INDEX($D$5:$H$34,IFERROR(MATCH(求节点(基础信息!$F$90:$F$105,基础信息!$H$90:$H$105,$S133),$C$5:$C$34,1),1),),INDEX(基础信息!$I$90:$M$105,IFERROR(MATCH($S133,基础信息!$F$90:$F$105,1),1),))+IFERROR(SUMPRODUCT(INDEX(门客进修!$AE$85:$AI$100,MATCH($S133,基础信息!$F$90:$F$105,1),),INDEX(基础信息!$N$90:$R$105,MATCH($S133,基础信息!$F$90:$F$105,1),),INDEX(基础信息!$I$90:$M$105,MATCH($S133,基础信息!$F$90:$F$105,1),))*求节点(基础信息!$F$90:$F$105,基础信息!$G$90:$G$105,$S133),0)</f>
        <v>712974.73576047877</v>
      </c>
    </row>
    <row r="134" spans="19:24" x14ac:dyDescent="0.15">
      <c r="S134" s="111">
        <v>130</v>
      </c>
      <c r="T134" s="111">
        <f>IFERROR(求节点(基础信息!$F$10:$F$25,基础信息!$G$10:$G$25,$S134),0)*SUMPRODUCT(INDEX($D$5:$H$34,IFERROR(MATCH(求节点(基础信息!$F$10:$F$25,基础信息!$H$10:$H$25,$S134),$C$5:$C$34,1),1),),INDEX(基础信息!$I$10:$M$25,IFERROR(MATCH($S134,基础信息!$F$10:$F$25,1),1),))+IFERROR(SUMPRODUCT(INDEX(门客进修!$AE$5:$AI$20,MATCH($S134,基础信息!$F$10:$F$25,1),),INDEX(基础信息!$N$10:$R$25,MATCH($S134,基础信息!$F$10:$F$25,1),),INDEX(基础信息!$I$10:$M$25,MATCH($S134,基础信息!$F$10:$F$25,1),))*求节点(基础信息!$F$10:$F$25,基础信息!$G$10:$G$25,$S134),0)</f>
        <v>435250.86849560658</v>
      </c>
      <c r="U134" s="111">
        <f>IFERROR(求节点(基础信息!$F$30:$F$45,基础信息!$G$30:$G$45,$S134),0)*SUMPRODUCT(INDEX($D$5:$H$34,IFERROR(MATCH(求节点(基础信息!$F$30:$F$45,基础信息!$H$30:$H$45,$S134),$C$5:$C$34,1),1),),INDEX(基础信息!$I$30:$M$45,IFERROR(MATCH($S134,基础信息!$F$30:$F$45,1),1),))+IFERROR(SUMPRODUCT(INDEX(门客进修!$AE$25:$AI$40,MATCH($S134,基础信息!$F$30:$F$45,1),),INDEX(基础信息!$N$30:$R$45,MATCH($S134,基础信息!$F$30:$F$45,1),),INDEX(基础信息!$I$30:$M$45,MATCH($S134,基础信息!$F$30:$F$45,1),))*求节点(基础信息!$F$30:$F$45,基础信息!$G$30:$G$45,$S134),0)</f>
        <v>481754.47057534149</v>
      </c>
      <c r="V134" s="111">
        <f>IFERROR(求节点(基础信息!$F$50:$F$65,基础信息!$G$50:$G$65,$S134),0)*SUMPRODUCT(INDEX($D$5:$H$34,IFERROR(MATCH(求节点(基础信息!$F$50:$F$65,基础信息!$H$50:$H$65,$S134),$C$5:$C$34,1),1),),INDEX(基础信息!$I$50:$M$65,IFERROR(MATCH($S134,基础信息!$F$50:$F$65,1),1),))+IFERROR(SUMPRODUCT(INDEX(门客进修!$AE$45:$AI$60,MATCH($S134,基础信息!$F$50:$F$65,1),),INDEX(基础信息!$N$50:$R$65,MATCH($S134,基础信息!$F$50:$F$65,1),),INDEX(基础信息!$I$50:$M$65,MATCH($S134,基础信息!$F$50:$F$65,1),))*求节点(基础信息!$F$50:$F$65,基础信息!$G$50:$G$65,$S134),0)</f>
        <v>520976.01072676631</v>
      </c>
      <c r="W134" s="111">
        <f>IFERROR(求节点(基础信息!$F$70:$F$85,基础信息!$G$70:$G$85,$S134),0)*SUMPRODUCT(INDEX($D$5:$H$34,IFERROR(MATCH(求节点(基础信息!$F$70:$F$85,基础信息!$H$70:$H$85,$S134),$C$5:$C$34,1),1),),INDEX(基础信息!$I$70:$M$85,IFERROR(MATCH($S134,基础信息!$F$70:$F$85,1),1),))+IFERROR(SUMPRODUCT(INDEX(门客进修!$AE$65:$AI$80,MATCH($S134,基础信息!$F$70:$F$85,1),),INDEX(基础信息!$N$70:$R$85,MATCH($S134,基础信息!$F$70:$F$85,1),),INDEX(基础信息!$I$70:$M$85,MATCH($S134,基础信息!$F$70:$F$85,1),))*求节点(基础信息!$F$70:$F$85,基础信息!$G$70:$G$85,$S134),0)</f>
        <v>571586.46926646843</v>
      </c>
      <c r="X134" s="111">
        <f>IFERROR(求节点(基础信息!$F$90:$F$105,基础信息!$G$90:$G$105,$S134),0)*SUMPRODUCT(INDEX($D$5:$H$34,IFERROR(MATCH(求节点(基础信息!$F$90:$F$105,基础信息!$H$90:$H$105,$S134),$C$5:$C$34,1),1),),INDEX(基础信息!$I$90:$M$105,IFERROR(MATCH($S134,基础信息!$F$90:$F$105,1),1),))+IFERROR(SUMPRODUCT(INDEX(门客进修!$AE$85:$AI$100,MATCH($S134,基础信息!$F$90:$F$105,1),),INDEX(基础信息!$N$90:$R$105,MATCH($S134,基础信息!$F$90:$F$105,1),),INDEX(基础信息!$I$90:$M$105,MATCH($S134,基础信息!$F$90:$F$105,1),))*求节点(基础信息!$F$90:$F$105,基础信息!$G$90:$G$105,$S134),0)</f>
        <v>717883.81659971923</v>
      </c>
    </row>
    <row r="135" spans="19:24" x14ac:dyDescent="0.15">
      <c r="S135" s="111">
        <v>131</v>
      </c>
      <c r="T135" s="111">
        <f>IFERROR(求节点(基础信息!$F$10:$F$25,基础信息!$G$10:$G$25,$S135),0)*SUMPRODUCT(INDEX($D$5:$H$34,IFERROR(MATCH(求节点(基础信息!$F$10:$F$25,基础信息!$H$10:$H$25,$S135),$C$5:$C$34,1),1),),INDEX(基础信息!$I$10:$M$25,IFERROR(MATCH($S135,基础信息!$F$10:$F$25,1),1),))+IFERROR(SUMPRODUCT(INDEX(门客进修!$AE$5:$AI$20,MATCH($S135,基础信息!$F$10:$F$25,1),),INDEX(基础信息!$N$10:$R$25,MATCH($S135,基础信息!$F$10:$F$25,1),),INDEX(基础信息!$I$10:$M$25,MATCH($S135,基础信息!$F$10:$F$25,1),))*求节点(基础信息!$F$10:$F$25,基础信息!$G$10:$G$25,$S135),0)</f>
        <v>438385.4875457295</v>
      </c>
      <c r="U135" s="111">
        <f>IFERROR(求节点(基础信息!$F$30:$F$45,基础信息!$G$30:$G$45,$S135),0)*SUMPRODUCT(INDEX($D$5:$H$34,IFERROR(MATCH(求节点(基础信息!$F$30:$F$45,基础信息!$H$30:$H$45,$S135),$C$5:$C$34,1),1),),INDEX(基础信息!$I$30:$M$45,IFERROR(MATCH($S135,基础信息!$F$30:$F$45,1),1),))+IFERROR(SUMPRODUCT(INDEX(门客进修!$AE$25:$AI$40,MATCH($S135,基础信息!$F$30:$F$45,1),),INDEX(基础信息!$N$30:$R$45,MATCH($S135,基础信息!$F$30:$F$45,1),),INDEX(基础信息!$I$30:$M$45,MATCH($S135,基础信息!$F$30:$F$45,1),))*求节点(基础信息!$F$30:$F$45,基础信息!$G$30:$G$45,$S135),0)</f>
        <v>485186.15866000322</v>
      </c>
      <c r="V135" s="111">
        <f>IFERROR(求节点(基础信息!$F$50:$F$65,基础信息!$G$50:$G$65,$S135),0)*SUMPRODUCT(INDEX($D$5:$H$34,IFERROR(MATCH(求节点(基础信息!$F$50:$F$65,基础信息!$H$50:$H$65,$S135),$C$5:$C$34,1),1),),INDEX(基础信息!$I$50:$M$65,IFERROR(MATCH($S135,基础信息!$F$50:$F$65,1),1),))+IFERROR(SUMPRODUCT(INDEX(门客进修!$AE$45:$AI$60,MATCH($S135,基础信息!$F$50:$F$65,1),),INDEX(基础信息!$N$50:$R$65,MATCH($S135,基础信息!$F$50:$F$65,1),),INDEX(基础信息!$I$50:$M$65,MATCH($S135,基础信息!$F$50:$F$65,1),))*求节点(基础信息!$F$50:$F$65,基础信息!$G$50:$G$65,$S135),0)</f>
        <v>524645.71556276467</v>
      </c>
      <c r="W135" s="111">
        <f>IFERROR(求节点(基础信息!$F$70:$F$85,基础信息!$G$70:$G$85,$S135),0)*SUMPRODUCT(INDEX($D$5:$H$34,IFERROR(MATCH(求节点(基础信息!$F$70:$F$85,基础信息!$H$70:$H$85,$S135),$C$5:$C$34,1),1),),INDEX(基础信息!$I$70:$M$85,IFERROR(MATCH($S135,基础信息!$F$70:$F$85,1),1),))+IFERROR(SUMPRODUCT(INDEX(门客进修!$AE$65:$AI$80,MATCH($S135,基础信息!$F$70:$F$85,1),),INDEX(基础信息!$N$70:$R$85,MATCH($S135,基础信息!$F$70:$F$85,1),),INDEX(基础信息!$I$70:$M$85,MATCH($S135,基础信息!$F$70:$F$85,1),))*求节点(基础信息!$F$70:$F$85,基础信息!$G$70:$G$85,$S135),0)</f>
        <v>575557.94134313974</v>
      </c>
      <c r="X135" s="111">
        <f>IFERROR(求节点(基础信息!$F$90:$F$105,基础信息!$G$90:$G$105,$S135),0)*SUMPRODUCT(INDEX($D$5:$H$34,IFERROR(MATCH(求节点(基础信息!$F$90:$F$105,基础信息!$H$90:$H$105,$S135),$C$5:$C$34,1),1),),INDEX(基础信息!$I$90:$M$105,IFERROR(MATCH($S135,基础信息!$F$90:$F$105,1),1),))+IFERROR(SUMPRODUCT(INDEX(门客进修!$AE$85:$AI$100,MATCH($S135,基础信息!$F$90:$F$105,1),),INDEX(基础信息!$N$90:$R$105,MATCH($S135,基础信息!$F$90:$F$105,1),),INDEX(基础信息!$I$90:$M$105,MATCH($S135,基础信息!$F$90:$F$105,1),))*求节点(基础信息!$F$90:$F$105,基础信息!$G$90:$G$105,$S135),0)</f>
        <v>722792.89743895968</v>
      </c>
    </row>
    <row r="136" spans="19:24" x14ac:dyDescent="0.15">
      <c r="S136" s="111">
        <v>132</v>
      </c>
      <c r="T136" s="111">
        <f>IFERROR(求节点(基础信息!$F$10:$F$25,基础信息!$G$10:$G$25,$S136),0)*SUMPRODUCT(INDEX($D$5:$H$34,IFERROR(MATCH(求节点(基础信息!$F$10:$F$25,基础信息!$H$10:$H$25,$S136),$C$5:$C$34,1),1),),INDEX(基础信息!$I$10:$M$25,IFERROR(MATCH($S136,基础信息!$F$10:$F$25,1),1),))+IFERROR(SUMPRODUCT(INDEX(门客进修!$AE$5:$AI$20,MATCH($S136,基础信息!$F$10:$F$25,1),),INDEX(基础信息!$N$10:$R$25,MATCH($S136,基础信息!$F$10:$F$25,1),),INDEX(基础信息!$I$10:$M$25,MATCH($S136,基础信息!$F$10:$F$25,1),))*求节点(基础信息!$F$10:$F$25,基础信息!$G$10:$G$25,$S136),0)</f>
        <v>441520.1065958523</v>
      </c>
      <c r="U136" s="111">
        <f>IFERROR(求节点(基础信息!$F$30:$F$45,基础信息!$G$30:$G$45,$S136),0)*SUMPRODUCT(INDEX($D$5:$H$34,IFERROR(MATCH(求节点(基础信息!$F$30:$F$45,基础信息!$H$30:$H$45,$S136),$C$5:$C$34,1),1),),INDEX(基础信息!$I$30:$M$45,IFERROR(MATCH($S136,基础信息!$F$30:$F$45,1),1),))+IFERROR(SUMPRODUCT(INDEX(门客进修!$AE$25:$AI$40,MATCH($S136,基础信息!$F$30:$F$45,1),),INDEX(基础信息!$N$30:$R$45,MATCH($S136,基础信息!$F$30:$F$45,1),),INDEX(基础信息!$I$30:$M$45,MATCH($S136,基础信息!$F$30:$F$45,1),))*求节点(基础信息!$F$30:$F$45,基础信息!$G$30:$G$45,$S136),0)</f>
        <v>488617.84674466489</v>
      </c>
      <c r="V136" s="111">
        <f>IFERROR(求节点(基础信息!$F$50:$F$65,基础信息!$G$50:$G$65,$S136),0)*SUMPRODUCT(INDEX($D$5:$H$34,IFERROR(MATCH(求节点(基础信息!$F$50:$F$65,基础信息!$H$50:$H$65,$S136),$C$5:$C$34,1),1),),INDEX(基础信息!$I$50:$M$65,IFERROR(MATCH($S136,基础信息!$F$50:$F$65,1),1),))+IFERROR(SUMPRODUCT(INDEX(门客进修!$AE$45:$AI$60,MATCH($S136,基础信息!$F$50:$F$65,1),),INDEX(基础信息!$N$50:$R$65,MATCH($S136,基础信息!$F$50:$F$65,1),),INDEX(基础信息!$I$50:$M$65,MATCH($S136,基础信息!$F$50:$F$65,1),))*求节点(基础信息!$F$50:$F$65,基础信息!$G$50:$G$65,$S136),0)</f>
        <v>528315.42039876315</v>
      </c>
      <c r="W136" s="111">
        <f>IFERROR(求节点(基础信息!$F$70:$F$85,基础信息!$G$70:$G$85,$S136),0)*SUMPRODUCT(INDEX($D$5:$H$34,IFERROR(MATCH(求节点(基础信息!$F$70:$F$85,基础信息!$H$70:$H$85,$S136),$C$5:$C$34,1),1),),INDEX(基础信息!$I$70:$M$85,IFERROR(MATCH($S136,基础信息!$F$70:$F$85,1),1),))+IFERROR(SUMPRODUCT(INDEX(门客进修!$AE$65:$AI$80,MATCH($S136,基础信息!$F$70:$F$85,1),),INDEX(基础信息!$N$70:$R$85,MATCH($S136,基础信息!$F$70:$F$85,1),),INDEX(基础信息!$I$70:$M$85,MATCH($S136,基础信息!$F$70:$F$85,1),))*求节点(基础信息!$F$70:$F$85,基础信息!$G$70:$G$85,$S136),0)</f>
        <v>579529.41341981094</v>
      </c>
      <c r="X136" s="111">
        <f>IFERROR(求节点(基础信息!$F$90:$F$105,基础信息!$G$90:$G$105,$S136),0)*SUMPRODUCT(INDEX($D$5:$H$34,IFERROR(MATCH(求节点(基础信息!$F$90:$F$105,基础信息!$H$90:$H$105,$S136),$C$5:$C$34,1),1),),INDEX(基础信息!$I$90:$M$105,IFERROR(MATCH($S136,基础信息!$F$90:$F$105,1),1),))+IFERROR(SUMPRODUCT(INDEX(门客进修!$AE$85:$AI$100,MATCH($S136,基础信息!$F$90:$F$105,1),),INDEX(基础信息!$N$90:$R$105,MATCH($S136,基础信息!$F$90:$F$105,1),),INDEX(基础信息!$I$90:$M$105,MATCH($S136,基础信息!$F$90:$F$105,1),))*求节点(基础信息!$F$90:$F$105,基础信息!$G$90:$G$105,$S136),0)</f>
        <v>727701.97827820014</v>
      </c>
    </row>
    <row r="137" spans="19:24" x14ac:dyDescent="0.15">
      <c r="S137" s="111">
        <v>133</v>
      </c>
      <c r="T137" s="111">
        <f>IFERROR(求节点(基础信息!$F$10:$F$25,基础信息!$G$10:$G$25,$S137),0)*SUMPRODUCT(INDEX($D$5:$H$34,IFERROR(MATCH(求节点(基础信息!$F$10:$F$25,基础信息!$H$10:$H$25,$S137),$C$5:$C$34,1),1),),INDEX(基础信息!$I$10:$M$25,IFERROR(MATCH($S137,基础信息!$F$10:$F$25,1),1),))+IFERROR(SUMPRODUCT(INDEX(门客进修!$AE$5:$AI$20,MATCH($S137,基础信息!$F$10:$F$25,1),),INDEX(基础信息!$N$10:$R$25,MATCH($S137,基础信息!$F$10:$F$25,1),),INDEX(基础信息!$I$10:$M$25,MATCH($S137,基础信息!$F$10:$F$25,1),))*求节点(基础信息!$F$10:$F$25,基础信息!$G$10:$G$25,$S137),0)</f>
        <v>444654.72564597521</v>
      </c>
      <c r="U137" s="111">
        <f>IFERROR(求节点(基础信息!$F$30:$F$45,基础信息!$G$30:$G$45,$S137),0)*SUMPRODUCT(INDEX($D$5:$H$34,IFERROR(MATCH(求节点(基础信息!$F$30:$F$45,基础信息!$H$30:$H$45,$S137),$C$5:$C$34,1),1),),INDEX(基础信息!$I$30:$M$45,IFERROR(MATCH($S137,基础信息!$F$30:$F$45,1),1),))+IFERROR(SUMPRODUCT(INDEX(门客进修!$AE$25:$AI$40,MATCH($S137,基础信息!$F$30:$F$45,1),),INDEX(基础信息!$N$30:$R$45,MATCH($S137,基础信息!$F$30:$F$45,1),),INDEX(基础信息!$I$30:$M$45,MATCH($S137,基础信息!$F$30:$F$45,1),))*求节点(基础信息!$F$30:$F$45,基础信息!$G$30:$G$45,$S137),0)</f>
        <v>492049.53482932667</v>
      </c>
      <c r="V137" s="111">
        <f>IFERROR(求节点(基础信息!$F$50:$F$65,基础信息!$G$50:$G$65,$S137),0)*SUMPRODUCT(INDEX($D$5:$H$34,IFERROR(MATCH(求节点(基础信息!$F$50:$F$65,基础信息!$H$50:$H$65,$S137),$C$5:$C$34,1),1),),INDEX(基础信息!$I$50:$M$65,IFERROR(MATCH($S137,基础信息!$F$50:$F$65,1),1),))+IFERROR(SUMPRODUCT(INDEX(门客进修!$AE$45:$AI$60,MATCH($S137,基础信息!$F$50:$F$65,1),),INDEX(基础信息!$N$50:$R$65,MATCH($S137,基础信息!$F$50:$F$65,1),),INDEX(基础信息!$I$50:$M$65,MATCH($S137,基础信息!$F$50:$F$65,1),))*求节点(基础信息!$F$50:$F$65,基础信息!$G$50:$G$65,$S137),0)</f>
        <v>531985.12523476151</v>
      </c>
      <c r="W137" s="111">
        <f>IFERROR(求节点(基础信息!$F$70:$F$85,基础信息!$G$70:$G$85,$S137),0)*SUMPRODUCT(INDEX($D$5:$H$34,IFERROR(MATCH(求节点(基础信息!$F$70:$F$85,基础信息!$H$70:$H$85,$S137),$C$5:$C$34,1),1),),INDEX(基础信息!$I$70:$M$85,IFERROR(MATCH($S137,基础信息!$F$70:$F$85,1),1),))+IFERROR(SUMPRODUCT(INDEX(门客进修!$AE$65:$AI$80,MATCH($S137,基础信息!$F$70:$F$85,1),),INDEX(基础信息!$N$70:$R$85,MATCH($S137,基础信息!$F$70:$F$85,1),),INDEX(基础信息!$I$70:$M$85,MATCH($S137,基础信息!$F$70:$F$85,1),))*求节点(基础信息!$F$70:$F$85,基础信息!$G$70:$G$85,$S137),0)</f>
        <v>583500.88549648225</v>
      </c>
      <c r="X137" s="111">
        <f>IFERROR(求节点(基础信息!$F$90:$F$105,基础信息!$G$90:$G$105,$S137),0)*SUMPRODUCT(INDEX($D$5:$H$34,IFERROR(MATCH(求节点(基础信息!$F$90:$F$105,基础信息!$H$90:$H$105,$S137),$C$5:$C$34,1),1),),INDEX(基础信息!$I$90:$M$105,IFERROR(MATCH($S137,基础信息!$F$90:$F$105,1),1),))+IFERROR(SUMPRODUCT(INDEX(门客进修!$AE$85:$AI$100,MATCH($S137,基础信息!$F$90:$F$105,1),),INDEX(基础信息!$N$90:$R$105,MATCH($S137,基础信息!$F$90:$F$105,1),),INDEX(基础信息!$I$90:$M$105,MATCH($S137,基础信息!$F$90:$F$105,1),))*求节点(基础信息!$F$90:$F$105,基础信息!$G$90:$G$105,$S137),0)</f>
        <v>732611.0591174406</v>
      </c>
    </row>
    <row r="138" spans="19:24" x14ac:dyDescent="0.15">
      <c r="S138" s="111">
        <v>134</v>
      </c>
      <c r="T138" s="111">
        <f>IFERROR(求节点(基础信息!$F$10:$F$25,基础信息!$G$10:$G$25,$S138),0)*SUMPRODUCT(INDEX($D$5:$H$34,IFERROR(MATCH(求节点(基础信息!$F$10:$F$25,基础信息!$H$10:$H$25,$S138),$C$5:$C$34,1),1),),INDEX(基础信息!$I$10:$M$25,IFERROR(MATCH($S138,基础信息!$F$10:$F$25,1),1),))+IFERROR(SUMPRODUCT(INDEX(门客进修!$AE$5:$AI$20,MATCH($S138,基础信息!$F$10:$F$25,1),),INDEX(基础信息!$N$10:$R$25,MATCH($S138,基础信息!$F$10:$F$25,1),),INDEX(基础信息!$I$10:$M$25,MATCH($S138,基础信息!$F$10:$F$25,1),))*求节点(基础信息!$F$10:$F$25,基础信息!$G$10:$G$25,$S138),0)</f>
        <v>447789.34469609807</v>
      </c>
      <c r="U138" s="111">
        <f>IFERROR(求节点(基础信息!$F$30:$F$45,基础信息!$G$30:$G$45,$S138),0)*SUMPRODUCT(INDEX($D$5:$H$34,IFERROR(MATCH(求节点(基础信息!$F$30:$F$45,基础信息!$H$30:$H$45,$S138),$C$5:$C$34,1),1),),INDEX(基础信息!$I$30:$M$45,IFERROR(MATCH($S138,基础信息!$F$30:$F$45,1),1),))+IFERROR(SUMPRODUCT(INDEX(门客进修!$AE$25:$AI$40,MATCH($S138,基础信息!$F$30:$F$45,1),),INDEX(基础信息!$N$30:$R$45,MATCH($S138,基础信息!$F$30:$F$45,1),),INDEX(基础信息!$I$30:$M$45,MATCH($S138,基础信息!$F$30:$F$45,1),))*求节点(基础信息!$F$30:$F$45,基础信息!$G$30:$G$45,$S138),0)</f>
        <v>495481.22291398834</v>
      </c>
      <c r="V138" s="111">
        <f>IFERROR(求节点(基础信息!$F$50:$F$65,基础信息!$G$50:$G$65,$S138),0)*SUMPRODUCT(INDEX($D$5:$H$34,IFERROR(MATCH(求节点(基础信息!$F$50:$F$65,基础信息!$H$50:$H$65,$S138),$C$5:$C$34,1),1),),INDEX(基础信息!$I$50:$M$65,IFERROR(MATCH($S138,基础信息!$F$50:$F$65,1),1),))+IFERROR(SUMPRODUCT(INDEX(门客进修!$AE$45:$AI$60,MATCH($S138,基础信息!$F$50:$F$65,1),),INDEX(基础信息!$N$50:$R$65,MATCH($S138,基础信息!$F$50:$F$65,1),),INDEX(基础信息!$I$50:$M$65,MATCH($S138,基础信息!$F$50:$F$65,1),))*求节点(基础信息!$F$50:$F$65,基础信息!$G$50:$G$65,$S138),0)</f>
        <v>535654.83007075987</v>
      </c>
      <c r="W138" s="111">
        <f>IFERROR(求节点(基础信息!$F$70:$F$85,基础信息!$G$70:$G$85,$S138),0)*SUMPRODUCT(INDEX($D$5:$H$34,IFERROR(MATCH(求节点(基础信息!$F$70:$F$85,基础信息!$H$70:$H$85,$S138),$C$5:$C$34,1),1),),INDEX(基础信息!$I$70:$M$85,IFERROR(MATCH($S138,基础信息!$F$70:$F$85,1),1),))+IFERROR(SUMPRODUCT(INDEX(门客进修!$AE$65:$AI$80,MATCH($S138,基础信息!$F$70:$F$85,1),),INDEX(基础信息!$N$70:$R$85,MATCH($S138,基础信息!$F$70:$F$85,1),),INDEX(基础信息!$I$70:$M$85,MATCH($S138,基础信息!$F$70:$F$85,1),))*求节点(基础信息!$F$70:$F$85,基础信息!$G$70:$G$85,$S138),0)</f>
        <v>587472.35757315345</v>
      </c>
      <c r="X138" s="111">
        <f>IFERROR(求节点(基础信息!$F$90:$F$105,基础信息!$G$90:$G$105,$S138),0)*SUMPRODUCT(INDEX($D$5:$H$34,IFERROR(MATCH(求节点(基础信息!$F$90:$F$105,基础信息!$H$90:$H$105,$S138),$C$5:$C$34,1),1),),INDEX(基础信息!$I$90:$M$105,IFERROR(MATCH($S138,基础信息!$F$90:$F$105,1),1),))+IFERROR(SUMPRODUCT(INDEX(门客进修!$AE$85:$AI$100,MATCH($S138,基础信息!$F$90:$F$105,1),),INDEX(基础信息!$N$90:$R$105,MATCH($S138,基础信息!$F$90:$F$105,1),),INDEX(基础信息!$I$90:$M$105,MATCH($S138,基础信息!$F$90:$F$105,1),))*求节点(基础信息!$F$90:$F$105,基础信息!$G$90:$G$105,$S138),0)</f>
        <v>737520.13995668106</v>
      </c>
    </row>
    <row r="139" spans="19:24" x14ac:dyDescent="0.15">
      <c r="S139" s="111">
        <v>135</v>
      </c>
      <c r="T139" s="111">
        <f>IFERROR(求节点(基础信息!$F$10:$F$25,基础信息!$G$10:$G$25,$S139),0)*SUMPRODUCT(INDEX($D$5:$H$34,IFERROR(MATCH(求节点(基础信息!$F$10:$F$25,基础信息!$H$10:$H$25,$S139),$C$5:$C$34,1),1),),INDEX(基础信息!$I$10:$M$25,IFERROR(MATCH($S139,基础信息!$F$10:$F$25,1),1),))+IFERROR(SUMPRODUCT(INDEX(门客进修!$AE$5:$AI$20,MATCH($S139,基础信息!$F$10:$F$25,1),),INDEX(基础信息!$N$10:$R$25,MATCH($S139,基础信息!$F$10:$F$25,1),),INDEX(基础信息!$I$10:$M$25,MATCH($S139,基础信息!$F$10:$F$25,1),))*求节点(基础信息!$F$10:$F$25,基础信息!$G$10:$G$25,$S139),0)</f>
        <v>450923.96374622104</v>
      </c>
      <c r="U139" s="111">
        <f>IFERROR(求节点(基础信息!$F$30:$F$45,基础信息!$G$30:$G$45,$S139),0)*SUMPRODUCT(INDEX($D$5:$H$34,IFERROR(MATCH(求节点(基础信息!$F$30:$F$45,基础信息!$H$30:$H$45,$S139),$C$5:$C$34,1),1),),INDEX(基础信息!$I$30:$M$45,IFERROR(MATCH($S139,基础信息!$F$30:$F$45,1),1),))+IFERROR(SUMPRODUCT(INDEX(门客进修!$AE$25:$AI$40,MATCH($S139,基础信息!$F$30:$F$45,1),),INDEX(基础信息!$N$30:$R$45,MATCH($S139,基础信息!$F$30:$F$45,1),),INDEX(基础信息!$I$30:$M$45,MATCH($S139,基础信息!$F$30:$F$45,1),))*求节点(基础信息!$F$30:$F$45,基础信息!$G$30:$G$45,$S139),0)</f>
        <v>498912.91099865007</v>
      </c>
      <c r="V139" s="111">
        <f>IFERROR(求节点(基础信息!$F$50:$F$65,基础信息!$G$50:$G$65,$S139),0)*SUMPRODUCT(INDEX($D$5:$H$34,IFERROR(MATCH(求节点(基础信息!$F$50:$F$65,基础信息!$H$50:$H$65,$S139),$C$5:$C$34,1),1),),INDEX(基础信息!$I$50:$M$65,IFERROR(MATCH($S139,基础信息!$F$50:$F$65,1),1),))+IFERROR(SUMPRODUCT(INDEX(门客进修!$AE$45:$AI$60,MATCH($S139,基础信息!$F$50:$F$65,1),),INDEX(基础信息!$N$50:$R$65,MATCH($S139,基础信息!$F$50:$F$65,1),),INDEX(基础信息!$I$50:$M$65,MATCH($S139,基础信息!$F$50:$F$65,1),))*求节点(基础信息!$F$50:$F$65,基础信息!$G$50:$G$65,$S139),0)</f>
        <v>539324.53490675823</v>
      </c>
      <c r="W139" s="111">
        <f>IFERROR(求节点(基础信息!$F$70:$F$85,基础信息!$G$70:$G$85,$S139),0)*SUMPRODUCT(INDEX($D$5:$H$34,IFERROR(MATCH(求节点(基础信息!$F$70:$F$85,基础信息!$H$70:$H$85,$S139),$C$5:$C$34,1),1),),INDEX(基础信息!$I$70:$M$85,IFERROR(MATCH($S139,基础信息!$F$70:$F$85,1),1),))+IFERROR(SUMPRODUCT(INDEX(门客进修!$AE$65:$AI$80,MATCH($S139,基础信息!$F$70:$F$85,1),),INDEX(基础信息!$N$70:$R$85,MATCH($S139,基础信息!$F$70:$F$85,1),),INDEX(基础信息!$I$70:$M$85,MATCH($S139,基础信息!$F$70:$F$85,1),))*求节点(基础信息!$F$70:$F$85,基础信息!$G$70:$G$85,$S139),0)</f>
        <v>591443.82964982477</v>
      </c>
      <c r="X139" s="111">
        <f>IFERROR(求节点(基础信息!$F$90:$F$105,基础信息!$G$90:$G$105,$S139),0)*SUMPRODUCT(INDEX($D$5:$H$34,IFERROR(MATCH(求节点(基础信息!$F$90:$F$105,基础信息!$H$90:$H$105,$S139),$C$5:$C$34,1),1),),INDEX(基础信息!$I$90:$M$105,IFERROR(MATCH($S139,基础信息!$F$90:$F$105,1),1),))+IFERROR(SUMPRODUCT(INDEX(门客进修!$AE$85:$AI$100,MATCH($S139,基础信息!$F$90:$F$105,1),),INDEX(基础信息!$N$90:$R$105,MATCH($S139,基础信息!$F$90:$F$105,1),),INDEX(基础信息!$I$90:$M$105,MATCH($S139,基础信息!$F$90:$F$105,1),))*求节点(基础信息!$F$90:$F$105,基础信息!$G$90:$G$105,$S139),0)</f>
        <v>826485.64781227335</v>
      </c>
    </row>
    <row r="140" spans="19:24" x14ac:dyDescent="0.15">
      <c r="S140" s="111">
        <v>136</v>
      </c>
      <c r="T140" s="111">
        <f>IFERROR(求节点(基础信息!$F$10:$F$25,基础信息!$G$10:$G$25,$S140),0)*SUMPRODUCT(INDEX($D$5:$H$34,IFERROR(MATCH(求节点(基础信息!$F$10:$F$25,基础信息!$H$10:$H$25,$S140),$C$5:$C$34,1),1),),INDEX(基础信息!$I$10:$M$25,IFERROR(MATCH($S140,基础信息!$F$10:$F$25,1),1),))+IFERROR(SUMPRODUCT(INDEX(门客进修!$AE$5:$AI$20,MATCH($S140,基础信息!$F$10:$F$25,1),),INDEX(基础信息!$N$10:$R$25,MATCH($S140,基础信息!$F$10:$F$25,1),),INDEX(基础信息!$I$10:$M$25,MATCH($S140,基础信息!$F$10:$F$25,1),))*求节点(基础信息!$F$10:$F$25,基础信息!$G$10:$G$25,$S140),0)</f>
        <v>454058.58279634384</v>
      </c>
      <c r="U140" s="111">
        <f>IFERROR(求节点(基础信息!$F$30:$F$45,基础信息!$G$30:$G$45,$S140),0)*SUMPRODUCT(INDEX($D$5:$H$34,IFERROR(MATCH(求节点(基础信息!$F$30:$F$45,基础信息!$H$30:$H$45,$S140),$C$5:$C$34,1),1),),INDEX(基础信息!$I$30:$M$45,IFERROR(MATCH($S140,基础信息!$F$30:$F$45,1),1),))+IFERROR(SUMPRODUCT(INDEX(门客进修!$AE$25:$AI$40,MATCH($S140,基础信息!$F$30:$F$45,1),),INDEX(基础信息!$N$30:$R$45,MATCH($S140,基础信息!$F$30:$F$45,1),),INDEX(基础信息!$I$30:$M$45,MATCH($S140,基础信息!$F$30:$F$45,1),))*求节点(基础信息!$F$30:$F$45,基础信息!$G$30:$G$45,$S140),0)</f>
        <v>502344.5990833118</v>
      </c>
      <c r="V140" s="111">
        <f>IFERROR(求节点(基础信息!$F$50:$F$65,基础信息!$G$50:$G$65,$S140),0)*SUMPRODUCT(INDEX($D$5:$H$34,IFERROR(MATCH(求节点(基础信息!$F$50:$F$65,基础信息!$H$50:$H$65,$S140),$C$5:$C$34,1),1),),INDEX(基础信息!$I$50:$M$65,IFERROR(MATCH($S140,基础信息!$F$50:$F$65,1),1),))+IFERROR(SUMPRODUCT(INDEX(门客进修!$AE$45:$AI$60,MATCH($S140,基础信息!$F$50:$F$65,1),),INDEX(基础信息!$N$50:$R$65,MATCH($S140,基础信息!$F$50:$F$65,1),),INDEX(基础信息!$I$50:$M$65,MATCH($S140,基础信息!$F$50:$F$65,1),))*求节点(基础信息!$F$50:$F$65,基础信息!$G$50:$G$65,$S140),0)</f>
        <v>542994.2397427567</v>
      </c>
      <c r="W140" s="111">
        <f>IFERROR(求节点(基础信息!$F$70:$F$85,基础信息!$G$70:$G$85,$S140),0)*SUMPRODUCT(INDEX($D$5:$H$34,IFERROR(MATCH(求节点(基础信息!$F$70:$F$85,基础信息!$H$70:$H$85,$S140),$C$5:$C$34,1),1),),INDEX(基础信息!$I$70:$M$85,IFERROR(MATCH($S140,基础信息!$F$70:$F$85,1),1),))+IFERROR(SUMPRODUCT(INDEX(门客进修!$AE$65:$AI$80,MATCH($S140,基础信息!$F$70:$F$85,1),),INDEX(基础信息!$N$70:$R$85,MATCH($S140,基础信息!$F$70:$F$85,1),),INDEX(基础信息!$I$70:$M$85,MATCH($S140,基础信息!$F$70:$F$85,1),))*求节点(基础信息!$F$70:$F$85,基础信息!$G$70:$G$85,$S140),0)</f>
        <v>686480.89024231932</v>
      </c>
      <c r="X140" s="111">
        <f>IFERROR(求节点(基础信息!$F$90:$F$105,基础信息!$G$90:$G$105,$S140),0)*SUMPRODUCT(INDEX($D$5:$H$34,IFERROR(MATCH(求节点(基础信息!$F$90:$F$105,基础信息!$H$90:$H$105,$S140),$C$5:$C$34,1),1),),INDEX(基础信息!$I$90:$M$105,IFERROR(MATCH($S140,基础信息!$F$90:$F$105,1),1),))+IFERROR(SUMPRODUCT(INDEX(门客进修!$AE$85:$AI$100,MATCH($S140,基础信息!$F$90:$F$105,1),),INDEX(基础信息!$N$90:$R$105,MATCH($S140,基础信息!$F$90:$F$105,1),),INDEX(基础信息!$I$90:$M$105,MATCH($S140,基础信息!$F$90:$F$105,1),))*求节点(基础信息!$F$90:$F$105,基础信息!$G$90:$G$105,$S140),0)</f>
        <v>832040.09529595519</v>
      </c>
    </row>
    <row r="141" spans="19:24" x14ac:dyDescent="0.15">
      <c r="S141" s="111">
        <v>137</v>
      </c>
      <c r="T141" s="111">
        <f>IFERROR(求节点(基础信息!$F$10:$F$25,基础信息!$G$10:$G$25,$S141),0)*SUMPRODUCT(INDEX($D$5:$H$34,IFERROR(MATCH(求节点(基础信息!$F$10:$F$25,基础信息!$H$10:$H$25,$S141),$C$5:$C$34,1),1),),INDEX(基础信息!$I$10:$M$25,IFERROR(MATCH($S141,基础信息!$F$10:$F$25,1),1),))+IFERROR(SUMPRODUCT(INDEX(门客进修!$AE$5:$AI$20,MATCH($S141,基础信息!$F$10:$F$25,1),),INDEX(基础信息!$N$10:$R$25,MATCH($S141,基础信息!$F$10:$F$25,1),),INDEX(基础信息!$I$10:$M$25,MATCH($S141,基础信息!$F$10:$F$25,1),))*求节点(基础信息!$F$10:$F$25,基础信息!$G$10:$G$25,$S141),0)</f>
        <v>457193.20184646675</v>
      </c>
      <c r="U141" s="111">
        <f>IFERROR(求节点(基础信息!$F$30:$F$45,基础信息!$G$30:$G$45,$S141),0)*SUMPRODUCT(INDEX($D$5:$H$34,IFERROR(MATCH(求节点(基础信息!$F$30:$F$45,基础信息!$H$30:$H$45,$S141),$C$5:$C$34,1),1),),INDEX(基础信息!$I$30:$M$45,IFERROR(MATCH($S141,基础信息!$F$30:$F$45,1),1),))+IFERROR(SUMPRODUCT(INDEX(门客进修!$AE$25:$AI$40,MATCH($S141,基础信息!$F$30:$F$45,1),),INDEX(基础信息!$N$30:$R$45,MATCH($S141,基础信息!$F$30:$F$45,1),),INDEX(基础信息!$I$30:$M$45,MATCH($S141,基础信息!$F$30:$F$45,1),))*求节点(基础信息!$F$30:$F$45,基础信息!$G$30:$G$45,$S141),0)</f>
        <v>505776.28716797353</v>
      </c>
      <c r="V141" s="111">
        <f>IFERROR(求节点(基础信息!$F$50:$F$65,基础信息!$G$50:$G$65,$S141),0)*SUMPRODUCT(INDEX($D$5:$H$34,IFERROR(MATCH(求节点(基础信息!$F$50:$F$65,基础信息!$H$50:$H$65,$S141),$C$5:$C$34,1),1),),INDEX(基础信息!$I$50:$M$65,IFERROR(MATCH($S141,基础信息!$F$50:$F$65,1),1),))+IFERROR(SUMPRODUCT(INDEX(门客进修!$AE$45:$AI$60,MATCH($S141,基础信息!$F$50:$F$65,1),),INDEX(基础信息!$N$50:$R$65,MATCH($S141,基础信息!$F$50:$F$65,1),),INDEX(基础信息!$I$50:$M$65,MATCH($S141,基础信息!$F$50:$F$65,1),))*求节点(基础信息!$F$50:$F$65,基础信息!$G$50:$G$65,$S141),0)</f>
        <v>616748.81508158089</v>
      </c>
      <c r="W141" s="111">
        <f>IFERROR(求节点(基础信息!$F$70:$F$85,基础信息!$G$70:$G$85,$S141),0)*SUMPRODUCT(INDEX($D$5:$H$34,IFERROR(MATCH(求节点(基础信息!$F$70:$F$85,基础信息!$H$70:$H$85,$S141),$C$5:$C$34,1),1),),INDEX(基础信息!$I$70:$M$85,IFERROR(MATCH($S141,基础信息!$F$70:$F$85,1),1),))+IFERROR(SUMPRODUCT(INDEX(门客进修!$AE$65:$AI$80,MATCH($S141,基础信息!$F$70:$F$85,1),),INDEX(基础信息!$N$70:$R$85,MATCH($S141,基础信息!$F$70:$F$85,1),),INDEX(基础信息!$I$70:$M$85,MATCH($S141,基础信息!$F$70:$F$85,1),))*求节点(基础信息!$F$70:$F$85,基础信息!$G$70:$G$85,$S141),0)</f>
        <v>691079.57608316222</v>
      </c>
      <c r="X141" s="111">
        <f>IFERROR(求节点(基础信息!$F$90:$F$105,基础信息!$G$90:$G$105,$S141),0)*SUMPRODUCT(INDEX($D$5:$H$34,IFERROR(MATCH(求节点(基础信息!$F$90:$F$105,基础信息!$H$90:$H$105,$S141),$C$5:$C$34,1),1),),INDEX(基础信息!$I$90:$M$105,IFERROR(MATCH($S141,基础信息!$F$90:$F$105,1),1),))+IFERROR(SUMPRODUCT(INDEX(门客进修!$AE$85:$AI$100,MATCH($S141,基础信息!$F$90:$F$105,1),),INDEX(基础信息!$N$90:$R$105,MATCH($S141,基础信息!$F$90:$F$105,1),),INDEX(基础信息!$I$90:$M$105,MATCH($S141,基础信息!$F$90:$F$105,1),))*求节点(基础信息!$F$90:$F$105,基础信息!$G$90:$G$105,$S141),0)</f>
        <v>837594.54277963703</v>
      </c>
    </row>
    <row r="142" spans="19:24" x14ac:dyDescent="0.15">
      <c r="S142" s="111">
        <v>138</v>
      </c>
      <c r="T142" s="111">
        <f>IFERROR(求节点(基础信息!$F$10:$F$25,基础信息!$G$10:$G$25,$S142),0)*SUMPRODUCT(INDEX($D$5:$H$34,IFERROR(MATCH(求节点(基础信息!$F$10:$F$25,基础信息!$H$10:$H$25,$S142),$C$5:$C$34,1),1),),INDEX(基础信息!$I$10:$M$25,IFERROR(MATCH($S142,基础信息!$F$10:$F$25,1),1),))+IFERROR(SUMPRODUCT(INDEX(门客进修!$AE$5:$AI$20,MATCH($S142,基础信息!$F$10:$F$25,1),),INDEX(基础信息!$N$10:$R$25,MATCH($S142,基础信息!$F$10:$F$25,1),),INDEX(基础信息!$I$10:$M$25,MATCH($S142,基础信息!$F$10:$F$25,1),))*求节点(基础信息!$F$10:$F$25,基础信息!$G$10:$G$25,$S142),0)</f>
        <v>460327.82089658966</v>
      </c>
      <c r="U142" s="111">
        <f>IFERROR(求节点(基础信息!$F$30:$F$45,基础信息!$G$30:$G$45,$S142),0)*SUMPRODUCT(INDEX($D$5:$H$34,IFERROR(MATCH(求节点(基础信息!$F$30:$F$45,基础信息!$H$30:$H$45,$S142),$C$5:$C$34,1),1),),INDEX(基础信息!$I$30:$M$45,IFERROR(MATCH($S142,基础信息!$F$30:$F$45,1),1),))+IFERROR(SUMPRODUCT(INDEX(门客进修!$AE$25:$AI$40,MATCH($S142,基础信息!$F$30:$F$45,1),),INDEX(基础信息!$N$30:$R$45,MATCH($S142,基础信息!$F$30:$F$45,1),),INDEX(基础信息!$I$30:$M$45,MATCH($S142,基础信息!$F$30:$F$45,1),))*求节点(基础信息!$F$30:$F$45,基础信息!$G$30:$G$45,$S142),0)</f>
        <v>547084.03346991935</v>
      </c>
      <c r="V142" s="111">
        <f>IFERROR(求节点(基础信息!$F$50:$F$65,基础信息!$G$50:$G$65,$S142),0)*SUMPRODUCT(INDEX($D$5:$H$34,IFERROR(MATCH(求节点(基础信息!$F$50:$F$65,基础信息!$H$50:$H$65,$S142),$C$5:$C$34,1),1),),INDEX(基础信息!$I$50:$M$65,IFERROR(MATCH($S142,基础信息!$F$50:$F$65,1),1),))+IFERROR(SUMPRODUCT(INDEX(门客进修!$AE$45:$AI$60,MATCH($S142,基础信息!$F$50:$F$65,1),),INDEX(基础信息!$N$50:$R$65,MATCH($S142,基础信息!$F$50:$F$65,1),),INDEX(基础信息!$I$50:$M$65,MATCH($S142,基础信息!$F$50:$F$65,1),))*求节点(基础信息!$F$50:$F$65,基础信息!$G$50:$G$65,$S142),0)</f>
        <v>620887.60981547053</v>
      </c>
      <c r="W142" s="111">
        <f>IFERROR(求节点(基础信息!$F$70:$F$85,基础信息!$G$70:$G$85,$S142),0)*SUMPRODUCT(INDEX($D$5:$H$34,IFERROR(MATCH(求节点(基础信息!$F$70:$F$85,基础信息!$H$70:$H$85,$S142),$C$5:$C$34,1),1),),INDEX(基础信息!$I$70:$M$85,IFERROR(MATCH($S142,基础信息!$F$70:$F$85,1),1),))+IFERROR(SUMPRODUCT(INDEX(门客进修!$AE$65:$AI$80,MATCH($S142,基础信息!$F$70:$F$85,1),),INDEX(基础信息!$N$70:$R$85,MATCH($S142,基础信息!$F$70:$F$85,1),),INDEX(基础信息!$I$70:$M$85,MATCH($S142,基础信息!$F$70:$F$85,1),))*求节点(基础信息!$F$70:$F$85,基础信息!$G$70:$G$85,$S142),0)</f>
        <v>695678.26192400488</v>
      </c>
      <c r="X142" s="111">
        <f>IFERROR(求节点(基础信息!$F$90:$F$105,基础信息!$G$90:$G$105,$S142),0)*SUMPRODUCT(INDEX($D$5:$H$34,IFERROR(MATCH(求节点(基础信息!$F$90:$F$105,基础信息!$H$90:$H$105,$S142),$C$5:$C$34,1),1),),INDEX(基础信息!$I$90:$M$105,IFERROR(MATCH($S142,基础信息!$F$90:$F$105,1),1),))+IFERROR(SUMPRODUCT(INDEX(门客进修!$AE$85:$AI$100,MATCH($S142,基础信息!$F$90:$F$105,1),),INDEX(基础信息!$N$90:$R$105,MATCH($S142,基础信息!$F$90:$F$105,1),),INDEX(基础信息!$I$90:$M$105,MATCH($S142,基础信息!$F$90:$F$105,1),))*求节点(基础信息!$F$90:$F$105,基础信息!$G$90:$G$105,$S142),0)</f>
        <v>843148.99026331876</v>
      </c>
    </row>
    <row r="143" spans="19:24" x14ac:dyDescent="0.15">
      <c r="S143" s="111">
        <v>139</v>
      </c>
      <c r="T143" s="111">
        <f>IFERROR(求节点(基础信息!$F$10:$F$25,基础信息!$G$10:$G$25,$S143),0)*SUMPRODUCT(INDEX($D$5:$H$34,IFERROR(MATCH(求节点(基础信息!$F$10:$F$25,基础信息!$H$10:$H$25,$S143),$C$5:$C$34,1),1),),INDEX(基础信息!$I$10:$M$25,IFERROR(MATCH($S143,基础信息!$F$10:$F$25,1),1),))+IFERROR(SUMPRODUCT(INDEX(门客进修!$AE$5:$AI$20,MATCH($S143,基础信息!$F$10:$F$25,1),),INDEX(基础信息!$N$10:$R$25,MATCH($S143,基础信息!$F$10:$F$25,1),),INDEX(基础信息!$I$10:$M$25,MATCH($S143,基础信息!$F$10:$F$25,1),))*求节点(基础信息!$F$10:$F$25,基础信息!$G$10:$G$25,$S143),0)</f>
        <v>521044.74799704191</v>
      </c>
      <c r="U143" s="111">
        <f>IFERROR(求节点(基础信息!$F$30:$F$45,基础信息!$G$30:$G$45,$S143),0)*SUMPRODUCT(INDEX($D$5:$H$34,IFERROR(MATCH(求节点(基础信息!$F$30:$F$45,基础信息!$H$30:$H$45,$S143),$C$5:$C$34,1),1),),INDEX(基础信息!$I$30:$M$45,IFERROR(MATCH($S143,基础信息!$F$30:$F$45,1),1),))+IFERROR(SUMPRODUCT(INDEX(门客进修!$AE$25:$AI$40,MATCH($S143,基础信息!$F$30:$F$45,1),),INDEX(基础信息!$N$30:$R$45,MATCH($S143,基础信息!$F$30:$F$45,1),),INDEX(基础信息!$I$30:$M$45,MATCH($S143,基础信息!$F$30:$F$45,1),))*求节点(基础信息!$F$30:$F$45,基础信息!$G$30:$G$45,$S143),0)</f>
        <v>550774.66449719039</v>
      </c>
      <c r="V143" s="111">
        <f>IFERROR(求节点(基础信息!$F$50:$F$65,基础信息!$G$50:$G$65,$S143),0)*SUMPRODUCT(INDEX($D$5:$H$34,IFERROR(MATCH(求节点(基础信息!$F$50:$F$65,基础信息!$H$50:$H$65,$S143),$C$5:$C$34,1),1),),INDEX(基础信息!$I$50:$M$65,IFERROR(MATCH($S143,基础信息!$F$50:$F$65,1),1),))+IFERROR(SUMPRODUCT(INDEX(门客进修!$AE$45:$AI$60,MATCH($S143,基础信息!$F$50:$F$65,1),),INDEX(基础信息!$N$50:$R$65,MATCH($S143,基础信息!$F$50:$F$65,1),),INDEX(基础信息!$I$50:$M$65,MATCH($S143,基础信息!$F$50:$F$65,1),))*求节点(基础信息!$F$50:$F$65,基础信息!$G$50:$G$65,$S143),0)</f>
        <v>625026.40454936016</v>
      </c>
      <c r="W143" s="111">
        <f>IFERROR(求节点(基础信息!$F$70:$F$85,基础信息!$G$70:$G$85,$S143),0)*SUMPRODUCT(INDEX($D$5:$H$34,IFERROR(MATCH(求节点(基础信息!$F$70:$F$85,基础信息!$H$70:$H$85,$S143),$C$5:$C$34,1),1),),INDEX(基础信息!$I$70:$M$85,IFERROR(MATCH($S143,基础信息!$F$70:$F$85,1),1),))+IFERROR(SUMPRODUCT(INDEX(门客进修!$AE$65:$AI$80,MATCH($S143,基础信息!$F$70:$F$85,1),),INDEX(基础信息!$N$70:$R$85,MATCH($S143,基础信息!$F$70:$F$85,1),),INDEX(基础信息!$I$70:$M$85,MATCH($S143,基础信息!$F$70:$F$85,1),))*求节点(基础信息!$F$70:$F$85,基础信息!$G$70:$G$85,$S143),0)</f>
        <v>700276.94776484789</v>
      </c>
      <c r="X143" s="111">
        <f>IFERROR(求节点(基础信息!$F$90:$F$105,基础信息!$G$90:$G$105,$S143),0)*SUMPRODUCT(INDEX($D$5:$H$34,IFERROR(MATCH(求节点(基础信息!$F$90:$F$105,基础信息!$H$90:$H$105,$S143),$C$5:$C$34,1),1),),INDEX(基础信息!$I$90:$M$105,IFERROR(MATCH($S143,基础信息!$F$90:$F$105,1),1),))+IFERROR(SUMPRODUCT(INDEX(门客进修!$AE$85:$AI$100,MATCH($S143,基础信息!$F$90:$F$105,1),),INDEX(基础信息!$N$90:$R$105,MATCH($S143,基础信息!$F$90:$F$105,1),),INDEX(基础信息!$I$90:$M$105,MATCH($S143,基础信息!$F$90:$F$105,1),))*求节点(基础信息!$F$90:$F$105,基础信息!$G$90:$G$105,$S143),0)</f>
        <v>848703.43774700072</v>
      </c>
    </row>
    <row r="144" spans="19:24" x14ac:dyDescent="0.15">
      <c r="S144" s="111">
        <v>140</v>
      </c>
      <c r="T144" s="111">
        <f>IFERROR(求节点(基础信息!$F$10:$F$25,基础信息!$G$10:$G$25,$S144),0)*SUMPRODUCT(INDEX($D$5:$H$34,IFERROR(MATCH(求节点(基础信息!$F$10:$F$25,基础信息!$H$10:$H$25,$S144),$C$5:$C$34,1),1),),INDEX(基础信息!$I$10:$M$25,IFERROR(MATCH($S144,基础信息!$F$10:$F$25,1),1),))+IFERROR(SUMPRODUCT(INDEX(门客进修!$AE$5:$AI$20,MATCH($S144,基础信息!$F$10:$F$25,1),),INDEX(基础信息!$N$10:$R$25,MATCH($S144,基础信息!$F$10:$F$25,1),),INDEX(基础信息!$I$10:$M$25,MATCH($S144,基础信息!$F$10:$F$25,1),))*求节点(基础信息!$F$10:$F$25,基础信息!$G$10:$G$25,$S144),0)</f>
        <v>524570.12927219714</v>
      </c>
      <c r="U144" s="111">
        <f>IFERROR(求节点(基础信息!$F$30:$F$45,基础信息!$G$30:$G$45,$S144),0)*SUMPRODUCT(INDEX($D$5:$H$34,IFERROR(MATCH(求节点(基础信息!$F$30:$F$45,基础信息!$H$30:$H$45,$S144),$C$5:$C$34,1),1),),INDEX(基础信息!$I$30:$M$45,IFERROR(MATCH($S144,基础信息!$F$30:$F$45,1),1),))+IFERROR(SUMPRODUCT(INDEX(门客进修!$AE$25:$AI$40,MATCH($S144,基础信息!$F$30:$F$45,1),),INDEX(基础信息!$N$30:$R$45,MATCH($S144,基础信息!$F$30:$F$45,1),),INDEX(基础信息!$I$30:$M$45,MATCH($S144,基础信息!$F$30:$F$45,1),))*求节点(基础信息!$F$30:$F$45,基础信息!$G$30:$G$45,$S144),0)</f>
        <v>554465.29552446131</v>
      </c>
      <c r="V144" s="111">
        <f>IFERROR(求节点(基础信息!$F$50:$F$65,基础信息!$G$50:$G$65,$S144),0)*SUMPRODUCT(INDEX($D$5:$H$34,IFERROR(MATCH(求节点(基础信息!$F$50:$F$65,基础信息!$H$50:$H$65,$S144),$C$5:$C$34,1),1),),INDEX(基础信息!$I$50:$M$65,IFERROR(MATCH($S144,基础信息!$F$50:$F$65,1),1),))+IFERROR(SUMPRODUCT(INDEX(门客进修!$AE$45:$AI$60,MATCH($S144,基础信息!$F$50:$F$65,1),),INDEX(基础信息!$N$50:$R$65,MATCH($S144,基础信息!$F$50:$F$65,1),),INDEX(基础信息!$I$50:$M$65,MATCH($S144,基础信息!$F$50:$F$65,1),))*求节点(基础信息!$F$50:$F$65,基础信息!$G$50:$G$65,$S144),0)</f>
        <v>629165.19928324979</v>
      </c>
      <c r="W144" s="111">
        <f>IFERROR(求节点(基础信息!$F$70:$F$85,基础信息!$G$70:$G$85,$S144),0)*SUMPRODUCT(INDEX($D$5:$H$34,IFERROR(MATCH(求节点(基础信息!$F$70:$F$85,基础信息!$H$70:$H$85,$S144),$C$5:$C$34,1),1),),INDEX(基础信息!$I$70:$M$85,IFERROR(MATCH($S144,基础信息!$F$70:$F$85,1),1),))+IFERROR(SUMPRODUCT(INDEX(门客进修!$AE$65:$AI$80,MATCH($S144,基础信息!$F$70:$F$85,1),),INDEX(基础信息!$N$70:$R$85,MATCH($S144,基础信息!$F$70:$F$85,1),),INDEX(基础信息!$I$70:$M$85,MATCH($S144,基础信息!$F$70:$F$85,1),))*求节点(基础信息!$F$70:$F$85,基础信息!$G$70:$G$85,$S144),0)</f>
        <v>704875.63360569067</v>
      </c>
      <c r="X144" s="111">
        <f>IFERROR(求节点(基础信息!$F$90:$F$105,基础信息!$G$90:$G$105,$S144),0)*SUMPRODUCT(INDEX($D$5:$H$34,IFERROR(MATCH(求节点(基础信息!$F$90:$F$105,基础信息!$H$90:$H$105,$S144),$C$5:$C$34,1),1),),INDEX(基础信息!$I$90:$M$105,IFERROR(MATCH($S144,基础信息!$F$90:$F$105,1),1),))+IFERROR(SUMPRODUCT(INDEX(门客进修!$AE$85:$AI$100,MATCH($S144,基础信息!$F$90:$F$105,1),),INDEX(基础信息!$N$90:$R$105,MATCH($S144,基础信息!$F$90:$F$105,1),),INDEX(基础信息!$I$90:$M$105,MATCH($S144,基础信息!$F$90:$F$105,1),))*求节点(基础信息!$F$90:$F$105,基础信息!$G$90:$G$105,$S144),0)</f>
        <v>854257.88523068232</v>
      </c>
    </row>
    <row r="145" spans="19:24" x14ac:dyDescent="0.15">
      <c r="S145" s="111">
        <v>141</v>
      </c>
      <c r="T145" s="111">
        <f>IFERROR(求节点(基础信息!$F$10:$F$25,基础信息!$G$10:$G$25,$S145),0)*SUMPRODUCT(INDEX($D$5:$H$34,IFERROR(MATCH(求节点(基础信息!$F$10:$F$25,基础信息!$H$10:$H$25,$S145),$C$5:$C$34,1),1),),INDEX(基础信息!$I$10:$M$25,IFERROR(MATCH($S145,基础信息!$F$10:$F$25,1),1),))+IFERROR(SUMPRODUCT(INDEX(门客进修!$AE$5:$AI$20,MATCH($S145,基础信息!$F$10:$F$25,1),),INDEX(基础信息!$N$10:$R$25,MATCH($S145,基础信息!$F$10:$F$25,1),),INDEX(基础信息!$I$10:$M$25,MATCH($S145,基础信息!$F$10:$F$25,1),))*求节点(基础信息!$F$10:$F$25,基础信息!$G$10:$G$25,$S145),0)</f>
        <v>528095.51054735214</v>
      </c>
      <c r="U145" s="111">
        <f>IFERROR(求节点(基础信息!$F$30:$F$45,基础信息!$G$30:$G$45,$S145),0)*SUMPRODUCT(INDEX($D$5:$H$34,IFERROR(MATCH(求节点(基础信息!$F$30:$F$45,基础信息!$H$30:$H$45,$S145),$C$5:$C$34,1),1),),INDEX(基础信息!$I$30:$M$45,IFERROR(MATCH($S145,基础信息!$F$30:$F$45,1),1),))+IFERROR(SUMPRODUCT(INDEX(门客进修!$AE$25:$AI$40,MATCH($S145,基础信息!$F$30:$F$45,1),),INDEX(基础信息!$N$30:$R$45,MATCH($S145,基础信息!$F$30:$F$45,1),),INDEX(基础信息!$I$30:$M$45,MATCH($S145,基础信息!$F$30:$F$45,1),))*求节点(基础信息!$F$30:$F$45,基础信息!$G$30:$G$45,$S145),0)</f>
        <v>558155.92655173223</v>
      </c>
      <c r="V145" s="111">
        <f>IFERROR(求节点(基础信息!$F$50:$F$65,基础信息!$G$50:$G$65,$S145),0)*SUMPRODUCT(INDEX($D$5:$H$34,IFERROR(MATCH(求节点(基础信息!$F$50:$F$65,基础信息!$H$50:$H$65,$S145),$C$5:$C$34,1),1),),INDEX(基础信息!$I$50:$M$65,IFERROR(MATCH($S145,基础信息!$F$50:$F$65,1),1),))+IFERROR(SUMPRODUCT(INDEX(门客进修!$AE$45:$AI$60,MATCH($S145,基础信息!$F$50:$F$65,1),),INDEX(基础信息!$N$50:$R$65,MATCH($S145,基础信息!$F$50:$F$65,1),),INDEX(基础信息!$I$50:$M$65,MATCH($S145,基础信息!$F$50:$F$65,1),))*求节点(基础信息!$F$50:$F$65,基础信息!$G$50:$G$65,$S145),0)</f>
        <v>633303.99401713931</v>
      </c>
      <c r="W145" s="111">
        <f>IFERROR(求节点(基础信息!$F$70:$F$85,基础信息!$G$70:$G$85,$S145),0)*SUMPRODUCT(INDEX($D$5:$H$34,IFERROR(MATCH(求节点(基础信息!$F$70:$F$85,基础信息!$H$70:$H$85,$S145),$C$5:$C$34,1),1),),INDEX(基础信息!$I$70:$M$85,IFERROR(MATCH($S145,基础信息!$F$70:$F$85,1),1),))+IFERROR(SUMPRODUCT(INDEX(门客进修!$AE$65:$AI$80,MATCH($S145,基础信息!$F$70:$F$85,1),),INDEX(基础信息!$N$70:$R$85,MATCH($S145,基础信息!$F$70:$F$85,1),),INDEX(基础信息!$I$70:$M$85,MATCH($S145,基础信息!$F$70:$F$85,1),))*求节点(基础信息!$F$70:$F$85,基础信息!$G$70:$G$85,$S145),0)</f>
        <v>709474.31944653357</v>
      </c>
      <c r="X145" s="111">
        <f>IFERROR(求节点(基础信息!$F$90:$F$105,基础信息!$G$90:$G$105,$S145),0)*SUMPRODUCT(INDEX($D$5:$H$34,IFERROR(MATCH(求节点(基础信息!$F$90:$F$105,基础信息!$H$90:$H$105,$S145),$C$5:$C$34,1),1),),INDEX(基础信息!$I$90:$M$105,IFERROR(MATCH($S145,基础信息!$F$90:$F$105,1),1),))+IFERROR(SUMPRODUCT(INDEX(门客进修!$AE$85:$AI$100,MATCH($S145,基础信息!$F$90:$F$105,1),),INDEX(基础信息!$N$90:$R$105,MATCH($S145,基础信息!$F$90:$F$105,1),),INDEX(基础信息!$I$90:$M$105,MATCH($S145,基础信息!$F$90:$F$105,1),))*求节点(基础信息!$F$90:$F$105,基础信息!$G$90:$G$105,$S145),0)</f>
        <v>859812.33271436417</v>
      </c>
    </row>
    <row r="146" spans="19:24" x14ac:dyDescent="0.15">
      <c r="S146" s="111">
        <v>142</v>
      </c>
      <c r="T146" s="111">
        <f>IFERROR(求节点(基础信息!$F$10:$F$25,基础信息!$G$10:$G$25,$S146),0)*SUMPRODUCT(INDEX($D$5:$H$34,IFERROR(MATCH(求节点(基础信息!$F$10:$F$25,基础信息!$H$10:$H$25,$S146),$C$5:$C$34,1),1),),INDEX(基础信息!$I$10:$M$25,IFERROR(MATCH($S146,基础信息!$F$10:$F$25,1),1),))+IFERROR(SUMPRODUCT(INDEX(门客进修!$AE$5:$AI$20,MATCH($S146,基础信息!$F$10:$F$25,1),),INDEX(基础信息!$N$10:$R$25,MATCH($S146,基础信息!$F$10:$F$25,1),),INDEX(基础信息!$I$10:$M$25,MATCH($S146,基础信息!$F$10:$F$25,1),))*求节点(基础信息!$F$10:$F$25,基础信息!$G$10:$G$25,$S146),0)</f>
        <v>531620.89182250737</v>
      </c>
      <c r="U146" s="111">
        <f>IFERROR(求节点(基础信息!$F$30:$F$45,基础信息!$G$30:$G$45,$S146),0)*SUMPRODUCT(INDEX($D$5:$H$34,IFERROR(MATCH(求节点(基础信息!$F$30:$F$45,基础信息!$H$30:$H$45,$S146),$C$5:$C$34,1),1),),INDEX(基础信息!$I$30:$M$45,IFERROR(MATCH($S146,基础信息!$F$30:$F$45,1),1),))+IFERROR(SUMPRODUCT(INDEX(门客进修!$AE$25:$AI$40,MATCH($S146,基础信息!$F$30:$F$45,1),),INDEX(基础信息!$N$30:$R$45,MATCH($S146,基础信息!$F$30:$F$45,1),),INDEX(基础信息!$I$30:$M$45,MATCH($S146,基础信息!$F$30:$F$45,1),))*求节点(基础信息!$F$30:$F$45,基础信息!$G$30:$G$45,$S146),0)</f>
        <v>561846.55757900316</v>
      </c>
      <c r="V146" s="111">
        <f>IFERROR(求节点(基础信息!$F$50:$F$65,基础信息!$G$50:$G$65,$S146),0)*SUMPRODUCT(INDEX($D$5:$H$34,IFERROR(MATCH(求节点(基础信息!$F$50:$F$65,基础信息!$H$50:$H$65,$S146),$C$5:$C$34,1),1),),INDEX(基础信息!$I$50:$M$65,IFERROR(MATCH($S146,基础信息!$F$50:$F$65,1),1),))+IFERROR(SUMPRODUCT(INDEX(门客进修!$AE$45:$AI$60,MATCH($S146,基础信息!$F$50:$F$65,1),),INDEX(基础信息!$N$50:$R$65,MATCH($S146,基础信息!$F$50:$F$65,1),),INDEX(基础信息!$I$50:$M$65,MATCH($S146,基础信息!$F$50:$F$65,1),))*求节点(基础信息!$F$50:$F$65,基础信息!$G$50:$G$65,$S146),0)</f>
        <v>637442.78875102883</v>
      </c>
      <c r="W146" s="111">
        <f>IFERROR(求节点(基础信息!$F$70:$F$85,基础信息!$G$70:$G$85,$S146),0)*SUMPRODUCT(INDEX($D$5:$H$34,IFERROR(MATCH(求节点(基础信息!$F$70:$F$85,基础信息!$H$70:$H$85,$S146),$C$5:$C$34,1),1),),INDEX(基础信息!$I$70:$M$85,IFERROR(MATCH($S146,基础信息!$F$70:$F$85,1),1),))+IFERROR(SUMPRODUCT(INDEX(门客进修!$AE$65:$AI$80,MATCH($S146,基础信息!$F$70:$F$85,1),),INDEX(基础信息!$N$70:$R$85,MATCH($S146,基础信息!$F$70:$F$85,1),),INDEX(基础信息!$I$70:$M$85,MATCH($S146,基础信息!$F$70:$F$85,1),))*求节点(基础信息!$F$70:$F$85,基础信息!$G$70:$G$85,$S146),0)</f>
        <v>714073.00528737635</v>
      </c>
      <c r="X146" s="111">
        <f>IFERROR(求节点(基础信息!$F$90:$F$105,基础信息!$G$90:$G$105,$S146),0)*SUMPRODUCT(INDEX($D$5:$H$34,IFERROR(MATCH(求节点(基础信息!$F$90:$F$105,基础信息!$H$90:$H$105,$S146),$C$5:$C$34,1),1),),INDEX(基础信息!$I$90:$M$105,IFERROR(MATCH($S146,基础信息!$F$90:$F$105,1),1),))+IFERROR(SUMPRODUCT(INDEX(门客进修!$AE$85:$AI$100,MATCH($S146,基础信息!$F$90:$F$105,1),),INDEX(基础信息!$N$90:$R$105,MATCH($S146,基础信息!$F$90:$F$105,1),),INDEX(基础信息!$I$90:$M$105,MATCH($S146,基础信息!$F$90:$F$105,1),))*求节点(基础信息!$F$90:$F$105,基础信息!$G$90:$G$105,$S146),0)</f>
        <v>865366.78019804601</v>
      </c>
    </row>
    <row r="147" spans="19:24" x14ac:dyDescent="0.15">
      <c r="S147" s="111">
        <v>143</v>
      </c>
      <c r="T147" s="111">
        <f>IFERROR(求节点(基础信息!$F$10:$F$25,基础信息!$G$10:$G$25,$S147),0)*SUMPRODUCT(INDEX($D$5:$H$34,IFERROR(MATCH(求节点(基础信息!$F$10:$F$25,基础信息!$H$10:$H$25,$S147),$C$5:$C$34,1),1),),INDEX(基础信息!$I$10:$M$25,IFERROR(MATCH($S147,基础信息!$F$10:$F$25,1),1),))+IFERROR(SUMPRODUCT(INDEX(门客进修!$AE$5:$AI$20,MATCH($S147,基础信息!$F$10:$F$25,1),),INDEX(基础信息!$N$10:$R$25,MATCH($S147,基础信息!$F$10:$F$25,1),),INDEX(基础信息!$I$10:$M$25,MATCH($S147,基础信息!$F$10:$F$25,1),))*求节点(基础信息!$F$10:$F$25,基础信息!$G$10:$G$25,$S147),0)</f>
        <v>535146.27309766249</v>
      </c>
      <c r="U147" s="111">
        <f>IFERROR(求节点(基础信息!$F$30:$F$45,基础信息!$G$30:$G$45,$S147),0)*SUMPRODUCT(INDEX($D$5:$H$34,IFERROR(MATCH(求节点(基础信息!$F$30:$F$45,基础信息!$H$30:$H$45,$S147),$C$5:$C$34,1),1),),INDEX(基础信息!$I$30:$M$45,IFERROR(MATCH($S147,基础信息!$F$30:$F$45,1),1),))+IFERROR(SUMPRODUCT(INDEX(门客进修!$AE$25:$AI$40,MATCH($S147,基础信息!$F$30:$F$45,1),),INDEX(基础信息!$N$30:$R$45,MATCH($S147,基础信息!$F$30:$F$45,1),),INDEX(基础信息!$I$30:$M$45,MATCH($S147,基础信息!$F$30:$F$45,1),))*求节点(基础信息!$F$30:$F$45,基础信息!$G$30:$G$45,$S147),0)</f>
        <v>565537.1886062742</v>
      </c>
      <c r="V147" s="111">
        <f>IFERROR(求节点(基础信息!$F$50:$F$65,基础信息!$G$50:$G$65,$S147),0)*SUMPRODUCT(INDEX($D$5:$H$34,IFERROR(MATCH(求节点(基础信息!$F$50:$F$65,基础信息!$H$50:$H$65,$S147),$C$5:$C$34,1),1),),INDEX(基础信息!$I$50:$M$65,IFERROR(MATCH($S147,基础信息!$F$50:$F$65,1),1),))+IFERROR(SUMPRODUCT(INDEX(门客进修!$AE$45:$AI$60,MATCH($S147,基础信息!$F$50:$F$65,1),),INDEX(基础信息!$N$50:$R$65,MATCH($S147,基础信息!$F$50:$F$65,1),),INDEX(基础信息!$I$50:$M$65,MATCH($S147,基础信息!$F$50:$F$65,1),))*求节点(基础信息!$F$50:$F$65,基础信息!$G$50:$G$65,$S147),0)</f>
        <v>641581.58348491846</v>
      </c>
      <c r="W147" s="111">
        <f>IFERROR(求节点(基础信息!$F$70:$F$85,基础信息!$G$70:$G$85,$S147),0)*SUMPRODUCT(INDEX($D$5:$H$34,IFERROR(MATCH(求节点(基础信息!$F$70:$F$85,基础信息!$H$70:$H$85,$S147),$C$5:$C$34,1),1),),INDEX(基础信息!$I$70:$M$85,IFERROR(MATCH($S147,基础信息!$F$70:$F$85,1),1),))+IFERROR(SUMPRODUCT(INDEX(门客进修!$AE$65:$AI$80,MATCH($S147,基础信息!$F$70:$F$85,1),),INDEX(基础信息!$N$70:$R$85,MATCH($S147,基础信息!$F$70:$F$85,1),),INDEX(基础信息!$I$70:$M$85,MATCH($S147,基础信息!$F$70:$F$85,1),))*求节点(基础信息!$F$70:$F$85,基础信息!$G$70:$G$85,$S147),0)</f>
        <v>718671.69112821936</v>
      </c>
      <c r="X147" s="111">
        <f>IFERROR(求节点(基础信息!$F$90:$F$105,基础信息!$G$90:$G$105,$S147),0)*SUMPRODUCT(INDEX($D$5:$H$34,IFERROR(MATCH(求节点(基础信息!$F$90:$F$105,基础信息!$H$90:$H$105,$S147),$C$5:$C$34,1),1),),INDEX(基础信息!$I$90:$M$105,IFERROR(MATCH($S147,基础信息!$F$90:$F$105,1),1),))+IFERROR(SUMPRODUCT(INDEX(门客进修!$AE$85:$AI$100,MATCH($S147,基础信息!$F$90:$F$105,1),),INDEX(基础信息!$N$90:$R$105,MATCH($S147,基础信息!$F$90:$F$105,1),),INDEX(基础信息!$I$90:$M$105,MATCH($S147,基础信息!$F$90:$F$105,1),))*求节点(基础信息!$F$90:$F$105,基础信息!$G$90:$G$105,$S147),0)</f>
        <v>870921.22768172761</v>
      </c>
    </row>
    <row r="148" spans="19:24" x14ac:dyDescent="0.15">
      <c r="S148" s="111">
        <v>144</v>
      </c>
      <c r="T148" s="111">
        <f>IFERROR(求节点(基础信息!$F$10:$F$25,基础信息!$G$10:$G$25,$S148),0)*SUMPRODUCT(INDEX($D$5:$H$34,IFERROR(MATCH(求节点(基础信息!$F$10:$F$25,基础信息!$H$10:$H$25,$S148),$C$5:$C$34,1),1),),INDEX(基础信息!$I$10:$M$25,IFERROR(MATCH($S148,基础信息!$F$10:$F$25,1),1),))+IFERROR(SUMPRODUCT(INDEX(门客进修!$AE$5:$AI$20,MATCH($S148,基础信息!$F$10:$F$25,1),),INDEX(基础信息!$N$10:$R$25,MATCH($S148,基础信息!$F$10:$F$25,1),),INDEX(基础信息!$I$10:$M$25,MATCH($S148,基础信息!$F$10:$F$25,1),))*求节点(基础信息!$F$10:$F$25,基础信息!$G$10:$G$25,$S148),0)</f>
        <v>538671.6543728176</v>
      </c>
      <c r="U148" s="111">
        <f>IFERROR(求节点(基础信息!$F$30:$F$45,基础信息!$G$30:$G$45,$S148),0)*SUMPRODUCT(INDEX($D$5:$H$34,IFERROR(MATCH(求节点(基础信息!$F$30:$F$45,基础信息!$H$30:$H$45,$S148),$C$5:$C$34,1),1),),INDEX(基础信息!$I$30:$M$45,IFERROR(MATCH($S148,基础信息!$F$30:$F$45,1),1),))+IFERROR(SUMPRODUCT(INDEX(门客进修!$AE$25:$AI$40,MATCH($S148,基础信息!$F$30:$F$45,1),),INDEX(基础信息!$N$30:$R$45,MATCH($S148,基础信息!$F$30:$F$45,1),),INDEX(基础信息!$I$30:$M$45,MATCH($S148,基础信息!$F$30:$F$45,1),))*求节点(基础信息!$F$30:$F$45,基础信息!$G$30:$G$45,$S148),0)</f>
        <v>569227.81963354512</v>
      </c>
      <c r="V148" s="111">
        <f>IFERROR(求节点(基础信息!$F$50:$F$65,基础信息!$G$50:$G$65,$S148),0)*SUMPRODUCT(INDEX($D$5:$H$34,IFERROR(MATCH(求节点(基础信息!$F$50:$F$65,基础信息!$H$50:$H$65,$S148),$C$5:$C$34,1),1),),INDEX(基础信息!$I$50:$M$65,IFERROR(MATCH($S148,基础信息!$F$50:$F$65,1),1),))+IFERROR(SUMPRODUCT(INDEX(门客进修!$AE$45:$AI$60,MATCH($S148,基础信息!$F$50:$F$65,1),),INDEX(基础信息!$N$50:$R$65,MATCH($S148,基础信息!$F$50:$F$65,1),),INDEX(基础信息!$I$50:$M$65,MATCH($S148,基础信息!$F$50:$F$65,1),))*求节点(基础信息!$F$50:$F$65,基础信息!$G$50:$G$65,$S148),0)</f>
        <v>645720.37821880809</v>
      </c>
      <c r="W148" s="111">
        <f>IFERROR(求节点(基础信息!$F$70:$F$85,基础信息!$G$70:$G$85,$S148),0)*SUMPRODUCT(INDEX($D$5:$H$34,IFERROR(MATCH(求节点(基础信息!$F$70:$F$85,基础信息!$H$70:$H$85,$S148),$C$5:$C$34,1),1),),INDEX(基础信息!$I$70:$M$85,IFERROR(MATCH($S148,基础信息!$F$70:$F$85,1),1),))+IFERROR(SUMPRODUCT(INDEX(门客进修!$AE$65:$AI$80,MATCH($S148,基础信息!$F$70:$F$85,1),),INDEX(基础信息!$N$70:$R$85,MATCH($S148,基础信息!$F$70:$F$85,1),),INDEX(基础信息!$I$70:$M$85,MATCH($S148,基础信息!$F$70:$F$85,1),))*求节点(基础信息!$F$70:$F$85,基础信息!$G$70:$G$85,$S148),0)</f>
        <v>723270.37696906214</v>
      </c>
      <c r="X148" s="111">
        <f>IFERROR(求节点(基础信息!$F$90:$F$105,基础信息!$G$90:$G$105,$S148),0)*SUMPRODUCT(INDEX($D$5:$H$34,IFERROR(MATCH(求节点(基础信息!$F$90:$F$105,基础信息!$H$90:$H$105,$S148),$C$5:$C$34,1),1),),INDEX(基础信息!$I$90:$M$105,IFERROR(MATCH($S148,基础信息!$F$90:$F$105,1),1),))+IFERROR(SUMPRODUCT(INDEX(门客进修!$AE$85:$AI$100,MATCH($S148,基础信息!$F$90:$F$105,1),),INDEX(基础信息!$N$90:$R$105,MATCH($S148,基础信息!$F$90:$F$105,1),),INDEX(基础信息!$I$90:$M$105,MATCH($S148,基础信息!$F$90:$F$105,1),))*求节点(基础信息!$F$90:$F$105,基础信息!$G$90:$G$105,$S148),0)</f>
        <v>876475.67516540957</v>
      </c>
    </row>
    <row r="149" spans="19:24" x14ac:dyDescent="0.15">
      <c r="S149" s="111">
        <v>145</v>
      </c>
      <c r="T149" s="111">
        <f>IFERROR(求节点(基础信息!$F$10:$F$25,基础信息!$G$10:$G$25,$S149),0)*SUMPRODUCT(INDEX($D$5:$H$34,IFERROR(MATCH(求节点(基础信息!$F$10:$F$25,基础信息!$H$10:$H$25,$S149),$C$5:$C$34,1),1),),INDEX(基础信息!$I$10:$M$25,IFERROR(MATCH($S149,基础信息!$F$10:$F$25,1),1),))+IFERROR(SUMPRODUCT(INDEX(门客进修!$AE$5:$AI$20,MATCH($S149,基础信息!$F$10:$F$25,1),),INDEX(基础信息!$N$10:$R$25,MATCH($S149,基础信息!$F$10:$F$25,1),),INDEX(基础信息!$I$10:$M$25,MATCH($S149,基础信息!$F$10:$F$25,1),))*求节点(基础信息!$F$10:$F$25,基础信息!$G$10:$G$25,$S149),0)</f>
        <v>542197.03564797272</v>
      </c>
      <c r="U149" s="111">
        <f>IFERROR(求节点(基础信息!$F$30:$F$45,基础信息!$G$30:$G$45,$S149),0)*SUMPRODUCT(INDEX($D$5:$H$34,IFERROR(MATCH(求节点(基础信息!$F$30:$F$45,基础信息!$H$30:$H$45,$S149),$C$5:$C$34,1),1),),INDEX(基础信息!$I$30:$M$45,IFERROR(MATCH($S149,基础信息!$F$30:$F$45,1),1),))+IFERROR(SUMPRODUCT(INDEX(门客进修!$AE$25:$AI$40,MATCH($S149,基础信息!$F$30:$F$45,1),),INDEX(基础信息!$N$30:$R$45,MATCH($S149,基础信息!$F$30:$F$45,1),),INDEX(基础信息!$I$30:$M$45,MATCH($S149,基础信息!$F$30:$F$45,1),))*求节点(基础信息!$F$30:$F$45,基础信息!$G$30:$G$45,$S149),0)</f>
        <v>572918.45066081616</v>
      </c>
      <c r="V149" s="111">
        <f>IFERROR(求节点(基础信息!$F$50:$F$65,基础信息!$G$50:$G$65,$S149),0)*SUMPRODUCT(INDEX($D$5:$H$34,IFERROR(MATCH(求节点(基础信息!$F$50:$F$65,基础信息!$H$50:$H$65,$S149),$C$5:$C$34,1),1),),INDEX(基础信息!$I$50:$M$65,IFERROR(MATCH($S149,基础信息!$F$50:$F$65,1),1),))+IFERROR(SUMPRODUCT(INDEX(门客进修!$AE$45:$AI$60,MATCH($S149,基础信息!$F$50:$F$65,1),),INDEX(基础信息!$N$50:$R$65,MATCH($S149,基础信息!$F$50:$F$65,1),),INDEX(基础信息!$I$50:$M$65,MATCH($S149,基础信息!$F$50:$F$65,1),))*求节点(基础信息!$F$50:$F$65,基础信息!$G$50:$G$65,$S149),0)</f>
        <v>649859.17295269773</v>
      </c>
      <c r="W149" s="111">
        <f>IFERROR(求节点(基础信息!$F$70:$F$85,基础信息!$G$70:$G$85,$S149),0)*SUMPRODUCT(INDEX($D$5:$H$34,IFERROR(MATCH(求节点(基础信息!$F$70:$F$85,基础信息!$H$70:$H$85,$S149),$C$5:$C$34,1),1),),INDEX(基础信息!$I$70:$M$85,IFERROR(MATCH($S149,基础信息!$F$70:$F$85,1),1),))+IFERROR(SUMPRODUCT(INDEX(门客进修!$AE$65:$AI$80,MATCH($S149,基础信息!$F$70:$F$85,1),),INDEX(基础信息!$N$70:$R$85,MATCH($S149,基础信息!$F$70:$F$85,1),),INDEX(基础信息!$I$70:$M$85,MATCH($S149,基础信息!$F$70:$F$85,1),))*求节点(基础信息!$F$70:$F$85,基础信息!$G$70:$G$85,$S149),0)</f>
        <v>727869.06280990504</v>
      </c>
      <c r="X149" s="111">
        <f>IFERROR(求节点(基础信息!$F$90:$F$105,基础信息!$G$90:$G$105,$S149),0)*SUMPRODUCT(INDEX($D$5:$H$34,IFERROR(MATCH(求节点(基础信息!$F$90:$F$105,基础信息!$H$90:$H$105,$S149),$C$5:$C$34,1),1),),INDEX(基础信息!$I$90:$M$105,IFERROR(MATCH($S149,基础信息!$F$90:$F$105,1),1),))+IFERROR(SUMPRODUCT(INDEX(门客进修!$AE$85:$AI$100,MATCH($S149,基础信息!$F$90:$F$105,1),),INDEX(基础信息!$N$90:$R$105,MATCH($S149,基础信息!$F$90:$F$105,1),),INDEX(基础信息!$I$90:$M$105,MATCH($S149,基础信息!$F$90:$F$105,1),))*求节点(基础信息!$F$90:$F$105,基础信息!$G$90:$G$105,$S149),0)</f>
        <v>882030.12264909141</v>
      </c>
    </row>
    <row r="150" spans="19:24" x14ac:dyDescent="0.15">
      <c r="S150" s="111">
        <v>146</v>
      </c>
      <c r="T150" s="111">
        <f>IFERROR(求节点(基础信息!$F$10:$F$25,基础信息!$G$10:$G$25,$S150),0)*SUMPRODUCT(INDEX($D$5:$H$34,IFERROR(MATCH(求节点(基础信息!$F$10:$F$25,基础信息!$H$10:$H$25,$S150),$C$5:$C$34,1),1),),INDEX(基础信息!$I$10:$M$25,IFERROR(MATCH($S150,基础信息!$F$10:$F$25,1),1),))+IFERROR(SUMPRODUCT(INDEX(门客进修!$AE$5:$AI$20,MATCH($S150,基础信息!$F$10:$F$25,1),),INDEX(基础信息!$N$10:$R$25,MATCH($S150,基础信息!$F$10:$F$25,1),),INDEX(基础信息!$I$10:$M$25,MATCH($S150,基础信息!$F$10:$F$25,1),))*求节点(基础信息!$F$10:$F$25,基础信息!$G$10:$G$25,$S150),0)</f>
        <v>545722.41692312784</v>
      </c>
      <c r="U150" s="111">
        <f>IFERROR(求节点(基础信息!$F$30:$F$45,基础信息!$G$30:$G$45,$S150),0)*SUMPRODUCT(INDEX($D$5:$H$34,IFERROR(MATCH(求节点(基础信息!$F$30:$F$45,基础信息!$H$30:$H$45,$S150),$C$5:$C$34,1),1),),INDEX(基础信息!$I$30:$M$45,IFERROR(MATCH($S150,基础信息!$F$30:$F$45,1),1),))+IFERROR(SUMPRODUCT(INDEX(门客进修!$AE$25:$AI$40,MATCH($S150,基础信息!$F$30:$F$45,1),),INDEX(基础信息!$N$30:$R$45,MATCH($S150,基础信息!$F$30:$F$45,1),),INDEX(基础信息!$I$30:$M$45,MATCH($S150,基础信息!$F$30:$F$45,1),))*求节点(基础信息!$F$30:$F$45,基础信息!$G$30:$G$45,$S150),0)</f>
        <v>576609.08168808708</v>
      </c>
      <c r="V150" s="111">
        <f>IFERROR(求节点(基础信息!$F$50:$F$65,基础信息!$G$50:$G$65,$S150),0)*SUMPRODUCT(INDEX($D$5:$H$34,IFERROR(MATCH(求节点(基础信息!$F$50:$F$65,基础信息!$H$50:$H$65,$S150),$C$5:$C$34,1),1),),INDEX(基础信息!$I$50:$M$65,IFERROR(MATCH($S150,基础信息!$F$50:$F$65,1),1),))+IFERROR(SUMPRODUCT(INDEX(门客进修!$AE$45:$AI$60,MATCH($S150,基础信息!$F$50:$F$65,1),),INDEX(基础信息!$N$50:$R$65,MATCH($S150,基础信息!$F$50:$F$65,1),),INDEX(基础信息!$I$50:$M$65,MATCH($S150,基础信息!$F$50:$F$65,1),))*求节点(基础信息!$F$50:$F$65,基础信息!$G$50:$G$65,$S150),0)</f>
        <v>653997.96768658736</v>
      </c>
      <c r="W150" s="111">
        <f>IFERROR(求节点(基础信息!$F$70:$F$85,基础信息!$G$70:$G$85,$S150),0)*SUMPRODUCT(INDEX($D$5:$H$34,IFERROR(MATCH(求节点(基础信息!$F$70:$F$85,基础信息!$H$70:$H$85,$S150),$C$5:$C$34,1),1),),INDEX(基础信息!$I$70:$M$85,IFERROR(MATCH($S150,基础信息!$F$70:$F$85,1),1),))+IFERROR(SUMPRODUCT(INDEX(门客进修!$AE$65:$AI$80,MATCH($S150,基础信息!$F$70:$F$85,1),),INDEX(基础信息!$N$70:$R$85,MATCH($S150,基础信息!$F$70:$F$85,1),),INDEX(基础信息!$I$70:$M$85,MATCH($S150,基础信息!$F$70:$F$85,1),))*求节点(基础信息!$F$70:$F$85,基础信息!$G$70:$G$85,$S150),0)</f>
        <v>732467.74865074782</v>
      </c>
      <c r="X150" s="111">
        <f>IFERROR(求节点(基础信息!$F$90:$F$105,基础信息!$G$90:$G$105,$S150),0)*SUMPRODUCT(INDEX($D$5:$H$34,IFERROR(MATCH(求节点(基础信息!$F$90:$F$105,基础信息!$H$90:$H$105,$S150),$C$5:$C$34,1),1),),INDEX(基础信息!$I$90:$M$105,IFERROR(MATCH($S150,基础信息!$F$90:$F$105,1),1),))+IFERROR(SUMPRODUCT(INDEX(门客进修!$AE$85:$AI$100,MATCH($S150,基础信息!$F$90:$F$105,1),),INDEX(基础信息!$N$90:$R$105,MATCH($S150,基础信息!$F$90:$F$105,1),),INDEX(基础信息!$I$90:$M$105,MATCH($S150,基础信息!$F$90:$F$105,1),))*求节点(基础信息!$F$90:$F$105,基础信息!$G$90:$G$105,$S150),0)</f>
        <v>889949.83916944242</v>
      </c>
    </row>
    <row r="151" spans="19:24" x14ac:dyDescent="0.15">
      <c r="S151" s="111">
        <v>147</v>
      </c>
      <c r="T151" s="111">
        <f>IFERROR(求节点(基础信息!$F$10:$F$25,基础信息!$G$10:$G$25,$S151),0)*SUMPRODUCT(INDEX($D$5:$H$34,IFERROR(MATCH(求节点(基础信息!$F$10:$F$25,基础信息!$H$10:$H$25,$S151),$C$5:$C$34,1),1),),INDEX(基础信息!$I$10:$M$25,IFERROR(MATCH($S151,基础信息!$F$10:$F$25,1),1),))+IFERROR(SUMPRODUCT(INDEX(门客进修!$AE$5:$AI$20,MATCH($S151,基础信息!$F$10:$F$25,1),),INDEX(基础信息!$N$10:$R$25,MATCH($S151,基础信息!$F$10:$F$25,1),),INDEX(基础信息!$I$10:$M$25,MATCH($S151,基础信息!$F$10:$F$25,1),))*求节点(基础信息!$F$10:$F$25,基础信息!$G$10:$G$25,$S151),0)</f>
        <v>549247.79819828295</v>
      </c>
      <c r="U151" s="111">
        <f>IFERROR(求节点(基础信息!$F$30:$F$45,基础信息!$G$30:$G$45,$S151),0)*SUMPRODUCT(INDEX($D$5:$H$34,IFERROR(MATCH(求节点(基础信息!$F$30:$F$45,基础信息!$H$30:$H$45,$S151),$C$5:$C$34,1),1),),INDEX(基础信息!$I$30:$M$45,IFERROR(MATCH($S151,基础信息!$F$30:$F$45,1),1),))+IFERROR(SUMPRODUCT(INDEX(门客进修!$AE$25:$AI$40,MATCH($S151,基础信息!$F$30:$F$45,1),),INDEX(基础信息!$N$30:$R$45,MATCH($S151,基础信息!$F$30:$F$45,1),),INDEX(基础信息!$I$30:$M$45,MATCH($S151,基础信息!$F$30:$F$45,1),))*求节点(基础信息!$F$30:$F$45,基础信息!$G$30:$G$45,$S151),0)</f>
        <v>580299.71271535801</v>
      </c>
      <c r="V151" s="111">
        <f>IFERROR(求节点(基础信息!$F$50:$F$65,基础信息!$G$50:$G$65,$S151),0)*SUMPRODUCT(INDEX($D$5:$H$34,IFERROR(MATCH(求节点(基础信息!$F$50:$F$65,基础信息!$H$50:$H$65,$S151),$C$5:$C$34,1),1),),INDEX(基础信息!$I$50:$M$65,IFERROR(MATCH($S151,基础信息!$F$50:$F$65,1),1),))+IFERROR(SUMPRODUCT(INDEX(门客进修!$AE$45:$AI$60,MATCH($S151,基础信息!$F$50:$F$65,1),),INDEX(基础信息!$N$50:$R$65,MATCH($S151,基础信息!$F$50:$F$65,1),),INDEX(基础信息!$I$50:$M$65,MATCH($S151,基础信息!$F$50:$F$65,1),))*求节点(基础信息!$F$50:$F$65,基础信息!$G$50:$G$65,$S151),0)</f>
        <v>658136.76242047688</v>
      </c>
      <c r="W151" s="111">
        <f>IFERROR(求节点(基础信息!$F$70:$F$85,基础信息!$G$70:$G$85,$S151),0)*SUMPRODUCT(INDEX($D$5:$H$34,IFERROR(MATCH(求节点(基础信息!$F$70:$F$85,基础信息!$H$70:$H$85,$S151),$C$5:$C$34,1),1),),INDEX(基础信息!$I$70:$M$85,IFERROR(MATCH($S151,基础信息!$F$70:$F$85,1),1),))+IFERROR(SUMPRODUCT(INDEX(门客进修!$AE$65:$AI$80,MATCH($S151,基础信息!$F$70:$F$85,1),),INDEX(基础信息!$N$70:$R$85,MATCH($S151,基础信息!$F$70:$F$85,1),),INDEX(基础信息!$I$70:$M$85,MATCH($S151,基础信息!$F$70:$F$85,1),))*求节点(基础信息!$F$70:$F$85,基础信息!$G$70:$G$85,$S151),0)</f>
        <v>814352.16071178135</v>
      </c>
      <c r="X151" s="111">
        <f>IFERROR(求节点(基础信息!$F$90:$F$105,基础信息!$G$90:$G$105,$S151),0)*SUMPRODUCT(INDEX($D$5:$H$34,IFERROR(MATCH(求节点(基础信息!$F$90:$F$105,基础信息!$H$90:$H$105,$S151),$C$5:$C$34,1),1),),INDEX(基础信息!$I$90:$M$105,IFERROR(MATCH($S151,基础信息!$F$90:$F$105,1),1),))+IFERROR(SUMPRODUCT(INDEX(门客进修!$AE$85:$AI$100,MATCH($S151,基础信息!$F$90:$F$105,1),),INDEX(基础信息!$N$90:$R$105,MATCH($S151,基础信息!$F$90:$F$105,1),),INDEX(基础信息!$I$90:$M$105,MATCH($S151,基础信息!$F$90:$F$105,1),))*求节点(基础信息!$F$90:$F$105,基础信息!$G$90:$G$105,$S151),0)</f>
        <v>900587.43857938354</v>
      </c>
    </row>
    <row r="152" spans="19:24" x14ac:dyDescent="0.15">
      <c r="S152" s="111">
        <v>148</v>
      </c>
      <c r="T152" s="111">
        <f>IFERROR(求节点(基础信息!$F$10:$F$25,基础信息!$G$10:$G$25,$S152),0)*SUMPRODUCT(INDEX($D$5:$H$34,IFERROR(MATCH(求节点(基础信息!$F$10:$F$25,基础信息!$H$10:$H$25,$S152),$C$5:$C$34,1),1),),INDEX(基础信息!$I$10:$M$25,IFERROR(MATCH($S152,基础信息!$F$10:$F$25,1),1),))+IFERROR(SUMPRODUCT(INDEX(门客进修!$AE$5:$AI$20,MATCH($S152,基础信息!$F$10:$F$25,1),),INDEX(基础信息!$N$10:$R$25,MATCH($S152,基础信息!$F$10:$F$25,1),),INDEX(基础信息!$I$10:$M$25,MATCH($S152,基础信息!$F$10:$F$25,1),))*求节点(基础信息!$F$10:$F$25,基础信息!$G$10:$G$25,$S152),0)</f>
        <v>552773.17947343807</v>
      </c>
      <c r="U152" s="111">
        <f>IFERROR(求节点(基础信息!$F$30:$F$45,基础信息!$G$30:$G$45,$S152),0)*SUMPRODUCT(INDEX($D$5:$H$34,IFERROR(MATCH(求节点(基础信息!$F$30:$F$45,基础信息!$H$30:$H$45,$S152),$C$5:$C$34,1),1),),INDEX(基础信息!$I$30:$M$45,IFERROR(MATCH($S152,基础信息!$F$30:$F$45,1),1),))+IFERROR(SUMPRODUCT(INDEX(门客进修!$AE$25:$AI$40,MATCH($S152,基础信息!$F$30:$F$45,1),),INDEX(基础信息!$N$30:$R$45,MATCH($S152,基础信息!$F$30:$F$45,1),),INDEX(基础信息!$I$30:$M$45,MATCH($S152,基础信息!$F$30:$F$45,1),))*求节点(基础信息!$F$30:$F$45,基础信息!$G$30:$G$45,$S152),0)</f>
        <v>583990.34374262893</v>
      </c>
      <c r="V152" s="111">
        <f>IFERROR(求节点(基础信息!$F$50:$F$65,基础信息!$G$50:$G$65,$S152),0)*SUMPRODUCT(INDEX($D$5:$H$34,IFERROR(MATCH(求节点(基础信息!$F$50:$F$65,基础信息!$H$50:$H$65,$S152),$C$5:$C$34,1),1),),INDEX(基础信息!$I$50:$M$65,IFERROR(MATCH($S152,基础信息!$F$50:$F$65,1),1),))+IFERROR(SUMPRODUCT(INDEX(门客进修!$AE$45:$AI$60,MATCH($S152,基础信息!$F$50:$F$65,1),),INDEX(基础信息!$N$50:$R$65,MATCH($S152,基础信息!$F$50:$F$65,1),),INDEX(基础信息!$I$50:$M$65,MATCH($S152,基础信息!$F$50:$F$65,1),))*求节点(基础信息!$F$50:$F$65,基础信息!$G$50:$G$65,$S152),0)</f>
        <v>739727.05277080566</v>
      </c>
      <c r="W152" s="111">
        <f>IFERROR(求节点(基础信息!$F$70:$F$85,基础信息!$G$70:$G$85,$S152),0)*SUMPRODUCT(INDEX($D$5:$H$34,IFERROR(MATCH(求节点(基础信息!$F$70:$F$85,基础信息!$H$70:$H$85,$S152),$C$5:$C$34,1),1),),INDEX(基础信息!$I$70:$M$85,IFERROR(MATCH($S152,基础信息!$F$70:$F$85,1),1),))+IFERROR(SUMPRODUCT(INDEX(门客进修!$AE$65:$AI$80,MATCH($S152,基础信息!$F$70:$F$85,1),),INDEX(基础信息!$N$70:$R$85,MATCH($S152,基础信息!$F$70:$F$85,1),),INDEX(基础信息!$I$70:$M$85,MATCH($S152,基础信息!$F$70:$F$85,1),))*求节点(基础信息!$F$70:$F$85,基础信息!$G$70:$G$85,$S152),0)</f>
        <v>824037.54871889681</v>
      </c>
      <c r="X152" s="111">
        <f>IFERROR(求节点(基础信息!$F$90:$F$105,基础信息!$G$90:$G$105,$S152),0)*SUMPRODUCT(INDEX($D$5:$H$34,IFERROR(MATCH(求节点(基础信息!$F$90:$F$105,基础信息!$H$90:$H$105,$S152),$C$5:$C$34,1),1),),INDEX(基础信息!$I$90:$M$105,IFERROR(MATCH($S152,基础信息!$F$90:$F$105,1),1),))+IFERROR(SUMPRODUCT(INDEX(门客进修!$AE$85:$AI$100,MATCH($S152,基础信息!$F$90:$F$105,1),),INDEX(基础信息!$N$90:$R$105,MATCH($S152,基础信息!$F$90:$F$105,1),),INDEX(基础信息!$I$90:$M$105,MATCH($S152,基础信息!$F$90:$F$105,1),))*求节点(基础信息!$F$90:$F$105,基础信息!$G$90:$G$105,$S152),0)</f>
        <v>911225.03798932477</v>
      </c>
    </row>
    <row r="153" spans="19:24" x14ac:dyDescent="0.15">
      <c r="S153" s="111">
        <v>149</v>
      </c>
      <c r="T153" s="111">
        <f>IFERROR(求节点(基础信息!$F$10:$F$25,基础信息!$G$10:$G$25,$S153),0)*SUMPRODUCT(INDEX($D$5:$H$34,IFERROR(MATCH(求节点(基础信息!$F$10:$F$25,基础信息!$H$10:$H$25,$S153),$C$5:$C$34,1),1),),INDEX(基础信息!$I$10:$M$25,IFERROR(MATCH($S153,基础信息!$F$10:$F$25,1),1),))+IFERROR(SUMPRODUCT(INDEX(门客进修!$AE$5:$AI$20,MATCH($S153,基础信息!$F$10:$F$25,1),),INDEX(基础信息!$N$10:$R$25,MATCH($S153,基础信息!$F$10:$F$25,1),),INDEX(基础信息!$I$10:$M$25,MATCH($S153,基础信息!$F$10:$F$25,1),))*求节点(基础信息!$F$10:$F$25,基础信息!$G$10:$G$25,$S153),0)</f>
        <v>556298.56074859318</v>
      </c>
      <c r="U153" s="111">
        <f>IFERROR(求节点(基础信息!$F$30:$F$45,基础信息!$G$30:$G$45,$S153),0)*SUMPRODUCT(INDEX($D$5:$H$34,IFERROR(MATCH(求节点(基础信息!$F$30:$F$45,基础信息!$H$30:$H$45,$S153),$C$5:$C$34,1),1),),INDEX(基础信息!$I$30:$M$45,IFERROR(MATCH($S153,基础信息!$F$30:$F$45,1),1),))+IFERROR(SUMPRODUCT(INDEX(门客进修!$AE$25:$AI$40,MATCH($S153,基础信息!$F$30:$F$45,1),),INDEX(基础信息!$N$30:$R$45,MATCH($S153,基础信息!$F$30:$F$45,1),),INDEX(基础信息!$I$30:$M$45,MATCH($S153,基础信息!$F$30:$F$45,1),))*求节点(基础信息!$F$30:$F$45,基础信息!$G$30:$G$45,$S153),0)</f>
        <v>665442.24238641153</v>
      </c>
      <c r="V153" s="111">
        <f>IFERROR(求节点(基础信息!$F$50:$F$65,基础信息!$G$50:$G$65,$S153),0)*SUMPRODUCT(INDEX($D$5:$H$34,IFERROR(MATCH(求节点(基础信息!$F$50:$F$65,基础信息!$H$50:$H$65,$S153),$C$5:$C$34,1),1),),INDEX(基础信息!$I$50:$M$65,IFERROR(MATCH($S153,基础信息!$F$50:$F$65,1),1),))+IFERROR(SUMPRODUCT(INDEX(门客进修!$AE$45:$AI$60,MATCH($S153,基础信息!$F$50:$F$65,1),),INDEX(基础信息!$N$50:$R$65,MATCH($S153,基础信息!$F$50:$F$65,1),),INDEX(基础信息!$I$50:$M$65,MATCH($S153,基础信息!$F$50:$F$65,1),))*求节点(基础信息!$F$50:$F$65,基础信息!$G$50:$G$65,$S153),0)</f>
        <v>748324.63999338448</v>
      </c>
      <c r="W153" s="111">
        <f>IFERROR(求节点(基础信息!$F$70:$F$85,基础信息!$G$70:$G$85,$S153),0)*SUMPRODUCT(INDEX($D$5:$H$34,IFERROR(MATCH(求节点(基础信息!$F$70:$F$85,基础信息!$H$70:$H$85,$S153),$C$5:$C$34,1),1),),INDEX(基础信息!$I$70:$M$85,IFERROR(MATCH($S153,基础信息!$F$70:$F$85,1),1),))+IFERROR(SUMPRODUCT(INDEX(门客进修!$AE$65:$AI$80,MATCH($S153,基础信息!$F$70:$F$85,1),),INDEX(基础信息!$N$70:$R$85,MATCH($S153,基础信息!$F$70:$F$85,1),),INDEX(基础信息!$I$70:$M$85,MATCH($S153,基础信息!$F$70:$F$85,1),))*求节点(基础信息!$F$70:$F$85,基础信息!$G$70:$G$85,$S153),0)</f>
        <v>833722.93672601215</v>
      </c>
      <c r="X153" s="111">
        <f>IFERROR(求节点(基础信息!$F$90:$F$105,基础信息!$G$90:$G$105,$S153),0)*SUMPRODUCT(INDEX($D$5:$H$34,IFERROR(MATCH(求节点(基础信息!$F$90:$F$105,基础信息!$H$90:$H$105,$S153),$C$5:$C$34,1),1),),INDEX(基础信息!$I$90:$M$105,IFERROR(MATCH($S153,基础信息!$F$90:$F$105,1),1),))+IFERROR(SUMPRODUCT(INDEX(门客进修!$AE$85:$AI$100,MATCH($S153,基础信息!$F$90:$F$105,1),),INDEX(基础信息!$N$90:$R$105,MATCH($S153,基础信息!$F$90:$F$105,1),),INDEX(基础信息!$I$90:$M$105,MATCH($S153,基础信息!$F$90:$F$105,1),))*求节点(基础信息!$F$90:$F$105,基础信息!$G$90:$G$105,$S153),0)</f>
        <v>921862.63739926589</v>
      </c>
    </row>
    <row r="154" spans="19:24" x14ac:dyDescent="0.15">
      <c r="S154" s="111">
        <v>150</v>
      </c>
      <c r="T154" s="111">
        <f>IFERROR(求节点(基础信息!$F$10:$F$25,基础信息!$G$10:$G$25,$S154),0)*SUMPRODUCT(INDEX($D$5:$H$34,IFERROR(MATCH(求节点(基础信息!$F$10:$F$25,基础信息!$H$10:$H$25,$S154),$C$5:$C$34,1),1),),INDEX(基础信息!$I$10:$M$25,IFERROR(MATCH($S154,基础信息!$F$10:$F$25,1),1),))+IFERROR(SUMPRODUCT(INDEX(门客进修!$AE$5:$AI$20,MATCH($S154,基础信息!$F$10:$F$25,1),),INDEX(基础信息!$N$10:$R$25,MATCH($S154,基础信息!$F$10:$F$25,1),),INDEX(基础信息!$I$10:$M$25,MATCH($S154,基础信息!$F$10:$F$25,1),))*求节点(基础信息!$F$10:$F$25,基础信息!$G$10:$G$25,$S154),0)</f>
        <v>590840.91860653087</v>
      </c>
      <c r="U154" s="111">
        <f>IFERROR(求节点(基础信息!$F$30:$F$45,基础信息!$G$30:$G$45,$S154),0)*SUMPRODUCT(INDEX($D$5:$H$34,IFERROR(MATCH(求节点(基础信息!$F$30:$F$45,基础信息!$H$30:$H$45,$S154),$C$5:$C$34,1),1),),INDEX(基础信息!$I$30:$M$45,IFERROR(MATCH($S154,基础信息!$F$30:$F$45,1),1),))+IFERROR(SUMPRODUCT(INDEX(门客进修!$AE$25:$AI$40,MATCH($S154,基础信息!$F$30:$F$45,1),),INDEX(基础信息!$N$30:$R$45,MATCH($S154,基础信息!$F$30:$F$45,1),),INDEX(基础信息!$I$30:$M$45,MATCH($S154,基础信息!$F$30:$F$45,1),))*求节点(基础信息!$F$30:$F$45,基础信息!$G$30:$G$45,$S154),0)</f>
        <v>672934.03560831118</v>
      </c>
      <c r="V154" s="111">
        <f>IFERROR(求节点(基础信息!$F$50:$F$65,基础信息!$G$50:$G$65,$S154),0)*SUMPRODUCT(INDEX($D$5:$H$34,IFERROR(MATCH(求节点(基础信息!$F$50:$F$65,基础信息!$H$50:$H$65,$S154),$C$5:$C$34,1),1),),INDEX(基础信息!$I$50:$M$65,IFERROR(MATCH($S154,基础信息!$F$50:$F$65,1),1),))+IFERROR(SUMPRODUCT(INDEX(门客进修!$AE$45:$AI$60,MATCH($S154,基础信息!$F$50:$F$65,1),),INDEX(基础信息!$N$50:$R$65,MATCH($S154,基础信息!$F$50:$F$65,1),),INDEX(基础信息!$I$50:$M$65,MATCH($S154,基础信息!$F$50:$F$65,1),))*求节点(基础信息!$F$50:$F$65,基础信息!$G$50:$G$65,$S154),0)</f>
        <v>756922.22721596295</v>
      </c>
      <c r="W154" s="111">
        <f>IFERROR(求节点(基础信息!$F$70:$F$85,基础信息!$G$70:$G$85,$S154),0)*SUMPRODUCT(INDEX($D$5:$H$34,IFERROR(MATCH(求节点(基础信息!$F$70:$F$85,基础信息!$H$70:$H$85,$S154),$C$5:$C$34,1),1),),INDEX(基础信息!$I$70:$M$85,IFERROR(MATCH($S154,基础信息!$F$70:$F$85,1),1),))+IFERROR(SUMPRODUCT(INDEX(门客进修!$AE$65:$AI$80,MATCH($S154,基础信息!$F$70:$F$85,1),),INDEX(基础信息!$N$70:$R$85,MATCH($S154,基础信息!$F$70:$F$85,1),),INDEX(基础信息!$I$70:$M$85,MATCH($S154,基础信息!$F$70:$F$85,1),))*求节点(基础信息!$F$70:$F$85,基础信息!$G$70:$G$85,$S154),0)</f>
        <v>843408.32473312737</v>
      </c>
      <c r="X154" s="111">
        <f>IFERROR(求节点(基础信息!$F$90:$F$105,基础信息!$G$90:$G$105,$S154),0)*SUMPRODUCT(INDEX($D$5:$H$34,IFERROR(MATCH(求节点(基础信息!$F$90:$F$105,基础信息!$H$90:$H$105,$S154),$C$5:$C$34,1),1),),INDEX(基础信息!$I$90:$M$105,IFERROR(MATCH($S154,基础信息!$F$90:$F$105,1),1),))+IFERROR(SUMPRODUCT(INDEX(门客进修!$AE$85:$AI$100,MATCH($S154,基础信息!$F$90:$F$105,1),),INDEX(基础信息!$N$90:$R$105,MATCH($S154,基础信息!$F$90:$F$105,1),),INDEX(基础信息!$I$90:$M$105,MATCH($S154,基础信息!$F$90:$F$105,1),))*求节点(基础信息!$F$90:$F$105,基础信息!$G$90:$G$105,$S154),0)</f>
        <v>932500.23680920713</v>
      </c>
    </row>
    <row r="155" spans="19:24" x14ac:dyDescent="0.15">
      <c r="S155" s="111">
        <v>151</v>
      </c>
      <c r="T155" s="111">
        <f>IFERROR(求节点(基础信息!$F$10:$F$25,基础信息!$G$10:$G$25,$S155),0)*SUMPRODUCT(INDEX($D$5:$H$34,IFERROR(MATCH(求节点(基础信息!$F$10:$F$25,基础信息!$H$10:$H$25,$S155),$C$5:$C$34,1),1),),INDEX(基础信息!$I$10:$M$25,IFERROR(MATCH($S155,基础信息!$F$10:$F$25,1),1),))+IFERROR(SUMPRODUCT(INDEX(门客进修!$AE$5:$AI$20,MATCH($S155,基础信息!$F$10:$F$25,1),),INDEX(基础信息!$N$10:$R$25,MATCH($S155,基础信息!$F$10:$F$25,1),),INDEX(基础信息!$I$10:$M$25,MATCH($S155,基础信息!$F$10:$F$25,1),))*求节点(基础信息!$F$10:$F$25,基础信息!$G$10:$G$25,$S155),0)</f>
        <v>597035.81157940789</v>
      </c>
      <c r="U155" s="111">
        <f>IFERROR(求节点(基础信息!$F$30:$F$45,基础信息!$G$30:$G$45,$S155),0)*SUMPRODUCT(INDEX($D$5:$H$34,IFERROR(MATCH(求节点(基础信息!$F$30:$F$45,基础信息!$H$30:$H$45,$S155),$C$5:$C$34,1),1),),INDEX(基础信息!$I$30:$M$45,IFERROR(MATCH($S155,基础信息!$F$30:$F$45,1),1),))+IFERROR(SUMPRODUCT(INDEX(门客进修!$AE$25:$AI$40,MATCH($S155,基础信息!$F$30:$F$45,1),),INDEX(基础信息!$N$30:$R$45,MATCH($S155,基础信息!$F$30:$F$45,1),),INDEX(基础信息!$I$30:$M$45,MATCH($S155,基础信息!$F$30:$F$45,1),))*求节点(基础信息!$F$30:$F$45,基础信息!$G$30:$G$45,$S155),0)</f>
        <v>680425.82883021049</v>
      </c>
      <c r="V155" s="111">
        <f>IFERROR(求节点(基础信息!$F$50:$F$65,基础信息!$G$50:$G$65,$S155),0)*SUMPRODUCT(INDEX($D$5:$H$34,IFERROR(MATCH(求节点(基础信息!$F$50:$F$65,基础信息!$H$50:$H$65,$S155),$C$5:$C$34,1),1),),INDEX(基础信息!$I$50:$M$65,IFERROR(MATCH($S155,基础信息!$F$50:$F$65,1),1),))+IFERROR(SUMPRODUCT(INDEX(门客进修!$AE$45:$AI$60,MATCH($S155,基础信息!$F$50:$F$65,1),),INDEX(基础信息!$N$50:$R$65,MATCH($S155,基础信息!$F$50:$F$65,1),),INDEX(基础信息!$I$50:$M$65,MATCH($S155,基础信息!$F$50:$F$65,1),))*求节点(基础信息!$F$50:$F$65,基础信息!$G$50:$G$65,$S155),0)</f>
        <v>765519.81443854154</v>
      </c>
      <c r="W155" s="111">
        <f>IFERROR(求节点(基础信息!$F$70:$F$85,基础信息!$G$70:$G$85,$S155),0)*SUMPRODUCT(INDEX($D$5:$H$34,IFERROR(MATCH(求节点(基础信息!$F$70:$F$85,基础信息!$H$70:$H$85,$S155),$C$5:$C$34,1),1),),INDEX(基础信息!$I$70:$M$85,IFERROR(MATCH($S155,基础信息!$F$70:$F$85,1),1),))+IFERROR(SUMPRODUCT(INDEX(门客进修!$AE$65:$AI$80,MATCH($S155,基础信息!$F$70:$F$85,1),),INDEX(基础信息!$N$70:$R$85,MATCH($S155,基础信息!$F$70:$F$85,1),),INDEX(基础信息!$I$70:$M$85,MATCH($S155,基础信息!$F$70:$F$85,1),))*求节点(基础信息!$F$70:$F$85,基础信息!$G$70:$G$85,$S155),0)</f>
        <v>853093.71274024283</v>
      </c>
      <c r="X155" s="111">
        <f>IFERROR(求节点(基础信息!$F$90:$F$105,基础信息!$G$90:$G$105,$S155),0)*SUMPRODUCT(INDEX($D$5:$H$34,IFERROR(MATCH(求节点(基础信息!$F$90:$F$105,基础信息!$H$90:$H$105,$S155),$C$5:$C$34,1),1),),INDEX(基础信息!$I$90:$M$105,IFERROR(MATCH($S155,基础信息!$F$90:$F$105,1),1),))+IFERROR(SUMPRODUCT(INDEX(门客进修!$AE$85:$AI$100,MATCH($S155,基础信息!$F$90:$F$105,1),),INDEX(基础信息!$N$90:$R$105,MATCH($S155,基础信息!$F$90:$F$105,1),),INDEX(基础信息!$I$90:$M$105,MATCH($S155,基础信息!$F$90:$F$105,1),))*求节点(基础信息!$F$90:$F$105,基础信息!$G$90:$G$105,$S155),0)</f>
        <v>943137.83621914824</v>
      </c>
    </row>
    <row r="156" spans="19:24" x14ac:dyDescent="0.15">
      <c r="S156" s="111">
        <v>152</v>
      </c>
      <c r="T156" s="111">
        <f>IFERROR(求节点(基础信息!$F$10:$F$25,基础信息!$G$10:$G$25,$S156),0)*SUMPRODUCT(INDEX($D$5:$H$34,IFERROR(MATCH(求节点(基础信息!$F$10:$F$25,基础信息!$H$10:$H$25,$S156),$C$5:$C$34,1),1),),INDEX(基础信息!$I$10:$M$25,IFERROR(MATCH($S156,基础信息!$F$10:$F$25,1),1),))+IFERROR(SUMPRODUCT(INDEX(门客进修!$AE$5:$AI$20,MATCH($S156,基础信息!$F$10:$F$25,1),),INDEX(基础信息!$N$10:$R$25,MATCH($S156,基础信息!$F$10:$F$25,1),),INDEX(基础信息!$I$10:$M$25,MATCH($S156,基础信息!$F$10:$F$25,1),))*求节点(基础信息!$F$10:$F$25,基础信息!$G$10:$G$25,$S156),0)</f>
        <v>603230.70455228491</v>
      </c>
      <c r="U156" s="111">
        <f>IFERROR(求节点(基础信息!$F$30:$F$45,基础信息!$G$30:$G$45,$S156),0)*SUMPRODUCT(INDEX($D$5:$H$34,IFERROR(MATCH(求节点(基础信息!$F$30:$F$45,基础信息!$H$30:$H$45,$S156),$C$5:$C$34,1),1),),INDEX(基础信息!$I$30:$M$45,IFERROR(MATCH($S156,基础信息!$F$30:$F$45,1),1),))+IFERROR(SUMPRODUCT(INDEX(门客进修!$AE$25:$AI$40,MATCH($S156,基础信息!$F$30:$F$45,1),),INDEX(基础信息!$N$30:$R$45,MATCH($S156,基础信息!$F$30:$F$45,1),),INDEX(基础信息!$I$30:$M$45,MATCH($S156,基础信息!$F$30:$F$45,1),))*求节点(基础信息!$F$30:$F$45,基础信息!$G$30:$G$45,$S156),0)</f>
        <v>687917.62205211003</v>
      </c>
      <c r="V156" s="111">
        <f>IFERROR(求节点(基础信息!$F$50:$F$65,基础信息!$G$50:$G$65,$S156),0)*SUMPRODUCT(INDEX($D$5:$H$34,IFERROR(MATCH(求节点(基础信息!$F$50:$F$65,基础信息!$H$50:$H$65,$S156),$C$5:$C$34,1),1),),INDEX(基础信息!$I$50:$M$65,IFERROR(MATCH($S156,基础信息!$F$50:$F$65,1),1),))+IFERROR(SUMPRODUCT(INDEX(门客进修!$AE$45:$AI$60,MATCH($S156,基础信息!$F$50:$F$65,1),),INDEX(基础信息!$N$50:$R$65,MATCH($S156,基础信息!$F$50:$F$65,1),),INDEX(基础信息!$I$50:$M$65,MATCH($S156,基础信息!$F$50:$F$65,1),))*求节点(基础信息!$F$50:$F$65,基础信息!$G$50:$G$65,$S156),0)</f>
        <v>774117.40166112012</v>
      </c>
      <c r="W156" s="111">
        <f>IFERROR(求节点(基础信息!$F$70:$F$85,基础信息!$G$70:$G$85,$S156),0)*SUMPRODUCT(INDEX($D$5:$H$34,IFERROR(MATCH(求节点(基础信息!$F$70:$F$85,基础信息!$H$70:$H$85,$S156),$C$5:$C$34,1),1),),INDEX(基础信息!$I$70:$M$85,IFERROR(MATCH($S156,基础信息!$F$70:$F$85,1),1),))+IFERROR(SUMPRODUCT(INDEX(门客进修!$AE$65:$AI$80,MATCH($S156,基础信息!$F$70:$F$85,1),),INDEX(基础信息!$N$70:$R$85,MATCH($S156,基础信息!$F$70:$F$85,1),),INDEX(基础信息!$I$70:$M$85,MATCH($S156,基础信息!$F$70:$F$85,1),))*求节点(基础信息!$F$70:$F$85,基础信息!$G$70:$G$85,$S156),0)</f>
        <v>862779.10074735817</v>
      </c>
      <c r="X156" s="111">
        <f>IFERROR(求节点(基础信息!$F$90:$F$105,基础信息!$G$90:$G$105,$S156),0)*SUMPRODUCT(INDEX($D$5:$H$34,IFERROR(MATCH(求节点(基础信息!$F$90:$F$105,基础信息!$H$90:$H$105,$S156),$C$5:$C$34,1),1),),INDEX(基础信息!$I$90:$M$105,IFERROR(MATCH($S156,基础信息!$F$90:$F$105,1),1),))+IFERROR(SUMPRODUCT(INDEX(门客进修!$AE$85:$AI$100,MATCH($S156,基础信息!$F$90:$F$105,1),),INDEX(基础信息!$N$90:$R$105,MATCH($S156,基础信息!$F$90:$F$105,1),),INDEX(基础信息!$I$90:$M$105,MATCH($S156,基础信息!$F$90:$F$105,1),))*求节点(基础信息!$F$90:$F$105,基础信息!$G$90:$G$105,$S156),0)</f>
        <v>949741.88502669288</v>
      </c>
    </row>
    <row r="157" spans="19:24" x14ac:dyDescent="0.15">
      <c r="S157" s="111">
        <v>153</v>
      </c>
      <c r="T157" s="111">
        <f>IFERROR(求节点(基础信息!$F$10:$F$25,基础信息!$G$10:$G$25,$S157),0)*SUMPRODUCT(INDEX($D$5:$H$34,IFERROR(MATCH(求节点(基础信息!$F$10:$F$25,基础信息!$H$10:$H$25,$S157),$C$5:$C$34,1),1),),INDEX(基础信息!$I$10:$M$25,IFERROR(MATCH($S157,基础信息!$F$10:$F$25,1),1),))+IFERROR(SUMPRODUCT(INDEX(门客进修!$AE$5:$AI$20,MATCH($S157,基础信息!$F$10:$F$25,1),),INDEX(基础信息!$N$10:$R$25,MATCH($S157,基础信息!$F$10:$F$25,1),),INDEX(基础信息!$I$10:$M$25,MATCH($S157,基础信息!$F$10:$F$25,1),))*求节点(基础信息!$F$10:$F$25,基础信息!$G$10:$G$25,$S157),0)</f>
        <v>609425.59752516192</v>
      </c>
      <c r="U157" s="111">
        <f>IFERROR(求节点(基础信息!$F$30:$F$45,基础信息!$G$30:$G$45,$S157),0)*SUMPRODUCT(INDEX($D$5:$H$34,IFERROR(MATCH(求节点(基础信息!$F$30:$F$45,基础信息!$H$30:$H$45,$S157),$C$5:$C$34,1),1),),INDEX(基础信息!$I$30:$M$45,IFERROR(MATCH($S157,基础信息!$F$30:$F$45,1),1),))+IFERROR(SUMPRODUCT(INDEX(门客进修!$AE$25:$AI$40,MATCH($S157,基础信息!$F$30:$F$45,1),),INDEX(基础信息!$N$30:$R$45,MATCH($S157,基础信息!$F$30:$F$45,1),),INDEX(基础信息!$I$30:$M$45,MATCH($S157,基础信息!$F$30:$F$45,1),))*求节点(基础信息!$F$30:$F$45,基础信息!$G$30:$G$45,$S157),0)</f>
        <v>695409.41527400957</v>
      </c>
      <c r="V157" s="111">
        <f>IFERROR(求节点(基础信息!$F$50:$F$65,基础信息!$G$50:$G$65,$S157),0)*SUMPRODUCT(INDEX($D$5:$H$34,IFERROR(MATCH(求节点(基础信息!$F$50:$F$65,基础信息!$H$50:$H$65,$S157),$C$5:$C$34,1),1),),INDEX(基础信息!$I$50:$M$65,IFERROR(MATCH($S157,基础信息!$F$50:$F$65,1),1),))+IFERROR(SUMPRODUCT(INDEX(门客进修!$AE$45:$AI$60,MATCH($S157,基础信息!$F$50:$F$65,1),),INDEX(基础信息!$N$50:$R$65,MATCH($S157,基础信息!$F$50:$F$65,1),),INDEX(基础信息!$I$50:$M$65,MATCH($S157,基础信息!$F$50:$F$65,1),))*求节点(基础信息!$F$50:$F$65,基础信息!$G$50:$G$65,$S157),0)</f>
        <v>782714.98888369882</v>
      </c>
      <c r="W157" s="111">
        <f>IFERROR(求节点(基础信息!$F$70:$F$85,基础信息!$G$70:$G$85,$S157),0)*SUMPRODUCT(INDEX($D$5:$H$34,IFERROR(MATCH(求节点(基础信息!$F$70:$F$85,基础信息!$H$70:$H$85,$S157),$C$5:$C$34,1),1),),INDEX(基础信息!$I$70:$M$85,IFERROR(MATCH($S157,基础信息!$F$70:$F$85,1),1),))+IFERROR(SUMPRODUCT(INDEX(门客进修!$AE$65:$AI$80,MATCH($S157,基础信息!$F$70:$F$85,1),),INDEX(基础信息!$N$70:$R$85,MATCH($S157,基础信息!$F$70:$F$85,1),),INDEX(基础信息!$I$70:$M$85,MATCH($S157,基础信息!$F$70:$F$85,1),))*求节点(基础信息!$F$70:$F$85,基础信息!$G$70:$G$85,$S157),0)</f>
        <v>949423.15600304212</v>
      </c>
      <c r="X157" s="111">
        <f>IFERROR(求节点(基础信息!$F$90:$F$105,基础信息!$G$90:$G$105,$S157),0)*SUMPRODUCT(INDEX($D$5:$H$34,IFERROR(MATCH(求节点(基础信息!$F$90:$F$105,基础信息!$H$90:$H$105,$S157),$C$5:$C$34,1),1),),INDEX(基础信息!$I$90:$M$105,IFERROR(MATCH($S157,基础信息!$F$90:$F$105,1),1),))+IFERROR(SUMPRODUCT(INDEX(门客进修!$AE$85:$AI$100,MATCH($S157,基础信息!$F$90:$F$105,1),),INDEX(基础信息!$N$90:$R$105,MATCH($S157,基础信息!$F$90:$F$105,1),),INDEX(基础信息!$I$90:$M$105,MATCH($S157,基础信息!$F$90:$F$105,1),))*求节点(基础信息!$F$90:$F$105,基础信息!$G$90:$G$105,$S157),0)</f>
        <v>955990.18690186855</v>
      </c>
    </row>
    <row r="158" spans="19:24" x14ac:dyDescent="0.15">
      <c r="S158" s="111">
        <v>154</v>
      </c>
      <c r="T158" s="111">
        <f>IFERROR(求节点(基础信息!$F$10:$F$25,基础信息!$G$10:$G$25,$S158),0)*SUMPRODUCT(INDEX($D$5:$H$34,IFERROR(MATCH(求节点(基础信息!$F$10:$F$25,基础信息!$H$10:$H$25,$S158),$C$5:$C$34,1),1),),INDEX(基础信息!$I$10:$M$25,IFERROR(MATCH($S158,基础信息!$F$10:$F$25,1),1),))+IFERROR(SUMPRODUCT(INDEX(门客进修!$AE$5:$AI$20,MATCH($S158,基础信息!$F$10:$F$25,1),),INDEX(基础信息!$N$10:$R$25,MATCH($S158,基础信息!$F$10:$F$25,1),),INDEX(基础信息!$I$10:$M$25,MATCH($S158,基础信息!$F$10:$F$25,1),))*求节点(基础信息!$F$10:$F$25,基础信息!$G$10:$G$25,$S158),0)</f>
        <v>615620.49049803894</v>
      </c>
      <c r="U158" s="111">
        <f>IFERROR(求节点(基础信息!$F$30:$F$45,基础信息!$G$30:$G$45,$S158),0)*SUMPRODUCT(INDEX($D$5:$H$34,IFERROR(MATCH(求节点(基础信息!$F$30:$F$45,基础信息!$H$30:$H$45,$S158),$C$5:$C$34,1),1),),INDEX(基础信息!$I$30:$M$45,IFERROR(MATCH($S158,基础信息!$F$30:$F$45,1),1),))+IFERROR(SUMPRODUCT(INDEX(门客进修!$AE$25:$AI$40,MATCH($S158,基础信息!$F$30:$F$45,1),),INDEX(基础信息!$N$30:$R$45,MATCH($S158,基础信息!$F$30:$F$45,1),),INDEX(基础信息!$I$30:$M$45,MATCH($S158,基础信息!$F$30:$F$45,1),))*求节点(基础信息!$F$30:$F$45,基础信息!$G$30:$G$45,$S158),0)</f>
        <v>702901.208495909</v>
      </c>
      <c r="V158" s="111">
        <f>IFERROR(求节点(基础信息!$F$50:$F$65,基础信息!$G$50:$G$65,$S158),0)*SUMPRODUCT(INDEX($D$5:$H$34,IFERROR(MATCH(求节点(基础信息!$F$50:$F$65,基础信息!$H$50:$H$65,$S158),$C$5:$C$34,1),1),),INDEX(基础信息!$I$50:$M$65,IFERROR(MATCH($S158,基础信息!$F$50:$F$65,1),1),))+IFERROR(SUMPRODUCT(INDEX(门客进修!$AE$45:$AI$60,MATCH($S158,基础信息!$F$50:$F$65,1),),INDEX(基础信息!$N$50:$R$65,MATCH($S158,基础信息!$F$50:$F$65,1),),INDEX(基础信息!$I$50:$M$65,MATCH($S158,基础信息!$F$50:$F$65,1),))*求节点(基础信息!$F$50:$F$65,基础信息!$G$50:$G$65,$S158),0)</f>
        <v>868798.3516916075</v>
      </c>
      <c r="W158" s="111">
        <f>IFERROR(求节点(基础信息!$F$70:$F$85,基础信息!$G$70:$G$85,$S158),0)*SUMPRODUCT(INDEX($D$5:$H$34,IFERROR(MATCH(求节点(基础信息!$F$70:$F$85,基础信息!$H$70:$H$85,$S158),$C$5:$C$34,1),1),),INDEX(基础信息!$I$70:$M$85,IFERROR(MATCH($S158,基础信息!$F$70:$F$85,1),1),))+IFERROR(SUMPRODUCT(INDEX(门客进修!$AE$65:$AI$80,MATCH($S158,基础信息!$F$70:$F$85,1),),INDEX(基础信息!$N$70:$R$85,MATCH($S158,基础信息!$F$70:$F$85,1),),INDEX(基础信息!$I$70:$M$85,MATCH($S158,基础信息!$F$70:$F$85,1),))*求节点(基础信息!$F$70:$F$85,基础信息!$G$70:$G$85,$S158),0)</f>
        <v>955628.53610763699</v>
      </c>
      <c r="X158" s="111">
        <f>IFERROR(求节点(基础信息!$F$90:$F$105,基础信息!$G$90:$G$105,$S158),0)*SUMPRODUCT(INDEX($D$5:$H$34,IFERROR(MATCH(求节点(基础信息!$F$90:$F$105,基础信息!$H$90:$H$105,$S158),$C$5:$C$34,1),1),),INDEX(基础信息!$I$90:$M$105,IFERROR(MATCH($S158,基础信息!$F$90:$F$105,1),1),))+IFERROR(SUMPRODUCT(INDEX(门客进修!$AE$85:$AI$100,MATCH($S158,基础信息!$F$90:$F$105,1),),INDEX(基础信息!$N$90:$R$105,MATCH($S158,基础信息!$F$90:$F$105,1),),INDEX(基础信息!$I$90:$M$105,MATCH($S158,基础信息!$F$90:$F$105,1),))*求节点(基础信息!$F$90:$F$105,基础信息!$G$90:$G$105,$S158),0)</f>
        <v>962238.488777044</v>
      </c>
    </row>
    <row r="159" spans="19:24" x14ac:dyDescent="0.15">
      <c r="S159" s="111">
        <v>155</v>
      </c>
      <c r="T159" s="111">
        <f>IFERROR(求节点(基础信息!$F$10:$F$25,基础信息!$G$10:$G$25,$S159),0)*SUMPRODUCT(INDEX($D$5:$H$34,IFERROR(MATCH(求节点(基础信息!$F$10:$F$25,基础信息!$H$10:$H$25,$S159),$C$5:$C$34,1),1),),INDEX(基础信息!$I$10:$M$25,IFERROR(MATCH($S159,基础信息!$F$10:$F$25,1),1),))+IFERROR(SUMPRODUCT(INDEX(门客进修!$AE$5:$AI$20,MATCH($S159,基础信息!$F$10:$F$25,1),),INDEX(基础信息!$N$10:$R$25,MATCH($S159,基础信息!$F$10:$F$25,1),),INDEX(基础信息!$I$10:$M$25,MATCH($S159,基础信息!$F$10:$F$25,1),))*求节点(基础信息!$F$10:$F$25,基础信息!$G$10:$G$25,$S159),0)</f>
        <v>621815.38347091596</v>
      </c>
      <c r="U159" s="111">
        <f>IFERROR(求节点(基础信息!$F$30:$F$45,基础信息!$G$30:$G$45,$S159),0)*SUMPRODUCT(INDEX($D$5:$H$34,IFERROR(MATCH(求节点(基础信息!$F$30:$F$45,基础信息!$H$30:$H$45,$S159),$C$5:$C$34,1),1),),INDEX(基础信息!$I$30:$M$45,IFERROR(MATCH($S159,基础信息!$F$30:$F$45,1),1),))+IFERROR(SUMPRODUCT(INDEX(门客进修!$AE$25:$AI$40,MATCH($S159,基础信息!$F$30:$F$45,1),),INDEX(基础信息!$N$30:$R$45,MATCH($S159,基础信息!$F$30:$F$45,1),),INDEX(基础信息!$I$30:$M$45,MATCH($S159,基础信息!$F$30:$F$45,1),))*求节点(基础信息!$F$30:$F$45,基础信息!$G$30:$G$45,$S159),0)</f>
        <v>788340.11228777375</v>
      </c>
      <c r="V159" s="111">
        <f>IFERROR(求节点(基础信息!$F$50:$F$65,基础信息!$G$50:$G$65,$S159),0)*SUMPRODUCT(INDEX($D$5:$H$34,IFERROR(MATCH(求节点(基础信息!$F$50:$F$65,基础信息!$H$50:$H$65,$S159),$C$5:$C$34,1),1),),INDEX(基础信息!$I$50:$M$65,IFERROR(MATCH($S159,基础信息!$F$50:$F$65,1),1),))+IFERROR(SUMPRODUCT(INDEX(门客进修!$AE$45:$AI$60,MATCH($S159,基础信息!$F$50:$F$65,1),),INDEX(基础信息!$N$50:$R$65,MATCH($S159,基础信息!$F$50:$F$65,1),),INDEX(基础信息!$I$50:$M$65,MATCH($S159,基础信息!$F$50:$F$65,1),))*求节点(基础信息!$F$50:$F$65,基础信息!$G$50:$G$65,$S159),0)</f>
        <v>874439.8994298646</v>
      </c>
      <c r="W159" s="111">
        <f>IFERROR(求节点(基础信息!$F$70:$F$85,基础信息!$G$70:$G$85,$S159),0)*SUMPRODUCT(INDEX($D$5:$H$34,IFERROR(MATCH(求节点(基础信息!$F$70:$F$85,基础信息!$H$70:$H$85,$S159),$C$5:$C$34,1),1),),INDEX(基础信息!$I$70:$M$85,IFERROR(MATCH($S159,基础信息!$F$70:$F$85,1),1),))+IFERROR(SUMPRODUCT(INDEX(门客进修!$AE$65:$AI$80,MATCH($S159,基础信息!$F$70:$F$85,1),),INDEX(基础信息!$N$70:$R$85,MATCH($S159,基础信息!$F$70:$F$85,1),),INDEX(基础信息!$I$70:$M$85,MATCH($S159,基础信息!$F$70:$F$85,1),))*求节点(基础信息!$F$70:$F$85,基础信息!$G$70:$G$85,$S159),0)</f>
        <v>961833.91621223208</v>
      </c>
      <c r="X159" s="111">
        <f>IFERROR(求节点(基础信息!$F$90:$F$105,基础信息!$G$90:$G$105,$S159),0)*SUMPRODUCT(INDEX($D$5:$H$34,IFERROR(MATCH(求节点(基础信息!$F$90:$F$105,基础信息!$H$90:$H$105,$S159),$C$5:$C$34,1),1),),INDEX(基础信息!$I$90:$M$105,IFERROR(MATCH($S159,基础信息!$F$90:$F$105,1),1),))+IFERROR(SUMPRODUCT(INDEX(门客进修!$AE$85:$AI$100,MATCH($S159,基础信息!$F$90:$F$105,1),),INDEX(基础信息!$N$90:$R$105,MATCH($S159,基础信息!$F$90:$F$105,1),),INDEX(基础信息!$I$90:$M$105,MATCH($S159,基础信息!$F$90:$F$105,1),))*求节点(基础信息!$F$90:$F$105,基础信息!$G$90:$G$105,$S159),0)</f>
        <v>968486.79065221967</v>
      </c>
    </row>
    <row r="160" spans="19:24" x14ac:dyDescent="0.15">
      <c r="S160" s="111">
        <v>156</v>
      </c>
      <c r="T160" s="111">
        <f>IFERROR(求节点(基础信息!$F$10:$F$25,基础信息!$G$10:$G$25,$S160),0)*SUMPRODUCT(INDEX($D$5:$H$34,IFERROR(MATCH(求节点(基础信息!$F$10:$F$25,基础信息!$H$10:$H$25,$S160),$C$5:$C$34,1),1),),INDEX(基础信息!$I$10:$M$25,IFERROR(MATCH($S160,基础信息!$F$10:$F$25,1),1),))+IFERROR(SUMPRODUCT(INDEX(门客进修!$AE$5:$AI$20,MATCH($S160,基础信息!$F$10:$F$25,1),),INDEX(基础信息!$N$10:$R$25,MATCH($S160,基础信息!$F$10:$F$25,1),),INDEX(基础信息!$I$10:$M$25,MATCH($S160,基础信息!$F$10:$F$25,1),))*求节点(基础信息!$F$10:$F$25,基础信息!$G$10:$G$25,$S160),0)</f>
        <v>706933.55680711591</v>
      </c>
      <c r="U160" s="111">
        <f>IFERROR(求节点(基础信息!$F$30:$F$45,基础信息!$G$30:$G$45,$S160),0)*SUMPRODUCT(INDEX($D$5:$H$34,IFERROR(MATCH(求节点(基础信息!$F$30:$F$45,基础信息!$H$30:$H$45,$S160),$C$5:$C$34,1),1),),INDEX(基础信息!$I$30:$M$45,IFERROR(MATCH($S160,基础信息!$F$30:$F$45,1),1),))+IFERROR(SUMPRODUCT(INDEX(门客进修!$AE$25:$AI$40,MATCH($S160,基础信息!$F$30:$F$45,1),),INDEX(基础信息!$N$30:$R$45,MATCH($S160,基础信息!$F$30:$F$45,1),),INDEX(基础信息!$I$30:$M$45,MATCH($S160,基础信息!$F$30:$F$45,1),))*求节点(基础信息!$F$30:$F$45,基础信息!$G$30:$G$45,$S160),0)</f>
        <v>793426.17752834002</v>
      </c>
      <c r="V160" s="111">
        <f>IFERROR(求节点(基础信息!$F$50:$F$65,基础信息!$G$50:$G$65,$S160),0)*SUMPRODUCT(INDEX($D$5:$H$34,IFERROR(MATCH(求节点(基础信息!$F$50:$F$65,基础信息!$H$50:$H$65,$S160),$C$5:$C$34,1),1),),INDEX(基础信息!$I$50:$M$65,IFERROR(MATCH($S160,基础信息!$F$50:$F$65,1),1),))+IFERROR(SUMPRODUCT(INDEX(门客进修!$AE$45:$AI$60,MATCH($S160,基础信息!$F$50:$F$65,1),),INDEX(基础信息!$N$50:$R$65,MATCH($S160,基础信息!$F$50:$F$65,1),),INDEX(基础信息!$I$50:$M$65,MATCH($S160,基础信息!$F$50:$F$65,1),))*求节点(基础信息!$F$50:$F$65,基础信息!$G$50:$G$65,$S160),0)</f>
        <v>880081.44716812181</v>
      </c>
      <c r="W160" s="111">
        <f>IFERROR(求节点(基础信息!$F$70:$F$85,基础信息!$G$70:$G$85,$S160),0)*SUMPRODUCT(INDEX($D$5:$H$34,IFERROR(MATCH(求节点(基础信息!$F$70:$F$85,基础信息!$H$70:$H$85,$S160),$C$5:$C$34,1),1),),INDEX(基础信息!$I$70:$M$85,IFERROR(MATCH($S160,基础信息!$F$70:$F$85,1),1),))+IFERROR(SUMPRODUCT(INDEX(门客进修!$AE$65:$AI$80,MATCH($S160,基础信息!$F$70:$F$85,1),),INDEX(基础信息!$N$70:$R$85,MATCH($S160,基础信息!$F$70:$F$85,1),),INDEX(基础信息!$I$70:$M$85,MATCH($S160,基础信息!$F$70:$F$85,1),))*求节点(基础信息!$F$70:$F$85,基础信息!$G$70:$G$85,$S160),0)</f>
        <v>968039.29631682707</v>
      </c>
      <c r="X160" s="111">
        <f>IFERROR(求节点(基础信息!$F$90:$F$105,基础信息!$G$90:$G$105,$S160),0)*SUMPRODUCT(INDEX($D$5:$H$34,IFERROR(MATCH(求节点(基础信息!$F$90:$F$105,基础信息!$H$90:$H$105,$S160),$C$5:$C$34,1),1),),INDEX(基础信息!$I$90:$M$105,IFERROR(MATCH($S160,基础信息!$F$90:$F$105,1),1),))+IFERROR(SUMPRODUCT(INDEX(门客进修!$AE$85:$AI$100,MATCH($S160,基础信息!$F$90:$F$105,1),),INDEX(基础信息!$N$90:$R$105,MATCH($S160,基础信息!$F$90:$F$105,1),),INDEX(基础信息!$I$90:$M$105,MATCH($S160,基础信息!$F$90:$F$105,1),))*求节点(基础信息!$F$90:$F$105,基础信息!$G$90:$G$105,$S160),0)</f>
        <v>974735.09252739523</v>
      </c>
    </row>
    <row r="161" spans="19:24" x14ac:dyDescent="0.15">
      <c r="S161" s="111">
        <v>157</v>
      </c>
      <c r="T161" s="111">
        <f>IFERROR(求节点(基础信息!$F$10:$F$25,基础信息!$G$10:$G$25,$S161),0)*SUMPRODUCT(INDEX($D$5:$H$34,IFERROR(MATCH(求节点(基础信息!$F$10:$F$25,基础信息!$H$10:$H$25,$S161),$C$5:$C$34,1),1),),INDEX(基础信息!$I$10:$M$25,IFERROR(MATCH($S161,基础信息!$F$10:$F$25,1),1),))+IFERROR(SUMPRODUCT(INDEX(门客进修!$AE$5:$AI$20,MATCH($S161,基础信息!$F$10:$F$25,1),),INDEX(基础信息!$N$10:$R$25,MATCH($S161,基础信息!$F$10:$F$25,1),),INDEX(基础信息!$I$10:$M$25,MATCH($S161,基础信息!$F$10:$F$25,1),))*求节点(基础信息!$F$10:$F$25,基础信息!$G$10:$G$25,$S161),0)</f>
        <v>711465.18217126408</v>
      </c>
      <c r="U161" s="111">
        <f>IFERROR(求节点(基础信息!$F$30:$F$45,基础信息!$G$30:$G$45,$S161),0)*SUMPRODUCT(INDEX($D$5:$H$34,IFERROR(MATCH(求节点(基础信息!$F$30:$F$45,基础信息!$H$30:$H$45,$S161),$C$5:$C$34,1),1),),INDEX(基础信息!$I$30:$M$45,IFERROR(MATCH($S161,基础信息!$F$30:$F$45,1),1),))+IFERROR(SUMPRODUCT(INDEX(门客进修!$AE$25:$AI$40,MATCH($S161,基础信息!$F$30:$F$45,1),),INDEX(基础信息!$N$30:$R$45,MATCH($S161,基础信息!$F$30:$F$45,1),),INDEX(基础信息!$I$30:$M$45,MATCH($S161,基础信息!$F$30:$F$45,1),))*求节点(基础信息!$F$30:$F$45,基础信息!$G$30:$G$45,$S161),0)</f>
        <v>798512.24276890629</v>
      </c>
      <c r="V161" s="111">
        <f>IFERROR(求节点(基础信息!$F$50:$F$65,基础信息!$G$50:$G$65,$S161),0)*SUMPRODUCT(INDEX($D$5:$H$34,IFERROR(MATCH(求节点(基础信息!$F$50:$F$65,基础信息!$H$50:$H$65,$S161),$C$5:$C$34,1),1),),INDEX(基础信息!$I$50:$M$65,IFERROR(MATCH($S161,基础信息!$F$50:$F$65,1),1),))+IFERROR(SUMPRODUCT(INDEX(门客进修!$AE$45:$AI$60,MATCH($S161,基础信息!$F$50:$F$65,1),),INDEX(基础信息!$N$50:$R$65,MATCH($S161,基础信息!$F$50:$F$65,1),),INDEX(基础信息!$I$50:$M$65,MATCH($S161,基础信息!$F$50:$F$65,1),))*求节点(基础信息!$F$50:$F$65,基础信息!$G$50:$G$65,$S161),0)</f>
        <v>885722.99490637891</v>
      </c>
      <c r="W161" s="111">
        <f>IFERROR(求节点(基础信息!$F$70:$F$85,基础信息!$G$70:$G$85,$S161),0)*SUMPRODUCT(INDEX($D$5:$H$34,IFERROR(MATCH(求节点(基础信息!$F$70:$F$85,基础信息!$H$70:$H$85,$S161),$C$5:$C$34,1),1),),INDEX(基础信息!$I$70:$M$85,IFERROR(MATCH($S161,基础信息!$F$70:$F$85,1),1),))+IFERROR(SUMPRODUCT(INDEX(门客进修!$AE$65:$AI$80,MATCH($S161,基础信息!$F$70:$F$85,1),),INDEX(基础信息!$N$70:$R$85,MATCH($S161,基础信息!$F$70:$F$85,1),),INDEX(基础信息!$I$70:$M$85,MATCH($S161,基础信息!$F$70:$F$85,1),))*求节点(基础信息!$F$70:$F$85,基础信息!$G$70:$G$85,$S161),0)</f>
        <v>974244.67642142216</v>
      </c>
      <c r="X161" s="111">
        <f>IFERROR(求节点(基础信息!$F$90:$F$105,基础信息!$G$90:$G$105,$S161),0)*SUMPRODUCT(INDEX($D$5:$H$34,IFERROR(MATCH(求节点(基础信息!$F$90:$F$105,基础信息!$H$90:$H$105,$S161),$C$5:$C$34,1),1),),INDEX(基础信息!$I$90:$M$105,IFERROR(MATCH($S161,基础信息!$F$90:$F$105,1),1),))+IFERROR(SUMPRODUCT(INDEX(门客进修!$AE$85:$AI$100,MATCH($S161,基础信息!$F$90:$F$105,1),),INDEX(基础信息!$N$90:$R$105,MATCH($S161,基础信息!$F$90:$F$105,1),),INDEX(基础信息!$I$90:$M$105,MATCH($S161,基础信息!$F$90:$F$105,1),))*求节点(基础信息!$F$90:$F$105,基础信息!$G$90:$G$105,$S161),0)</f>
        <v>980983.39440257079</v>
      </c>
    </row>
    <row r="162" spans="19:24" x14ac:dyDescent="0.15">
      <c r="S162" s="111">
        <v>158</v>
      </c>
      <c r="T162" s="111">
        <f>IFERROR(求节点(基础信息!$F$10:$F$25,基础信息!$G$10:$G$25,$S162),0)*SUMPRODUCT(INDEX($D$5:$H$34,IFERROR(MATCH(求节点(基础信息!$F$10:$F$25,基础信息!$H$10:$H$25,$S162),$C$5:$C$34,1),1),),INDEX(基础信息!$I$10:$M$25,IFERROR(MATCH($S162,基础信息!$F$10:$F$25,1),1),))+IFERROR(SUMPRODUCT(INDEX(门客进修!$AE$5:$AI$20,MATCH($S162,基础信息!$F$10:$F$25,1),),INDEX(基础信息!$N$10:$R$25,MATCH($S162,基础信息!$F$10:$F$25,1),),INDEX(基础信息!$I$10:$M$25,MATCH($S162,基础信息!$F$10:$F$25,1),))*求节点(基础信息!$F$10:$F$25,基础信息!$G$10:$G$25,$S162),0)</f>
        <v>715996.80753541226</v>
      </c>
      <c r="U162" s="111">
        <f>IFERROR(求节点(基础信息!$F$30:$F$45,基础信息!$G$30:$G$45,$S162),0)*SUMPRODUCT(INDEX($D$5:$H$34,IFERROR(MATCH(求节点(基础信息!$F$30:$F$45,基础信息!$H$30:$H$45,$S162),$C$5:$C$34,1),1),),INDEX(基础信息!$I$30:$M$45,IFERROR(MATCH($S162,基础信息!$F$30:$F$45,1),1),))+IFERROR(SUMPRODUCT(INDEX(门客进修!$AE$25:$AI$40,MATCH($S162,基础信息!$F$30:$F$45,1),),INDEX(基础信息!$N$30:$R$45,MATCH($S162,基础信息!$F$30:$F$45,1),),INDEX(基础信息!$I$30:$M$45,MATCH($S162,基础信息!$F$30:$F$45,1),))*求节点(基础信息!$F$30:$F$45,基础信息!$G$30:$G$45,$S162),0)</f>
        <v>803598.30800947256</v>
      </c>
      <c r="V162" s="111">
        <f>IFERROR(求节点(基础信息!$F$50:$F$65,基础信息!$G$50:$G$65,$S162),0)*SUMPRODUCT(INDEX($D$5:$H$34,IFERROR(MATCH(求节点(基础信息!$F$50:$F$65,基础信息!$H$50:$H$65,$S162),$C$5:$C$34,1),1),),INDEX(基础信息!$I$50:$M$65,IFERROR(MATCH($S162,基础信息!$F$50:$F$65,1),1),))+IFERROR(SUMPRODUCT(INDEX(门客进修!$AE$45:$AI$60,MATCH($S162,基础信息!$F$50:$F$65,1),),INDEX(基础信息!$N$50:$R$65,MATCH($S162,基础信息!$F$50:$F$65,1),),INDEX(基础信息!$I$50:$M$65,MATCH($S162,基础信息!$F$50:$F$65,1),))*求节点(基础信息!$F$50:$F$65,基础信息!$G$50:$G$65,$S162),0)</f>
        <v>891364.54264463624</v>
      </c>
      <c r="W162" s="111">
        <f>IFERROR(求节点(基础信息!$F$70:$F$85,基础信息!$G$70:$G$85,$S162),0)*SUMPRODUCT(INDEX($D$5:$H$34,IFERROR(MATCH(求节点(基础信息!$F$70:$F$85,基础信息!$H$70:$H$85,$S162),$C$5:$C$34,1),1),),INDEX(基础信息!$I$70:$M$85,IFERROR(MATCH($S162,基础信息!$F$70:$F$85,1),1),))+IFERROR(SUMPRODUCT(INDEX(门客进修!$AE$65:$AI$80,MATCH($S162,基础信息!$F$70:$F$85,1),),INDEX(基础信息!$N$70:$R$85,MATCH($S162,基础信息!$F$70:$F$85,1),),INDEX(基础信息!$I$70:$M$85,MATCH($S162,基础信息!$F$70:$F$85,1),))*求节点(基础信息!$F$70:$F$85,基础信息!$G$70:$G$85,$S162),0)</f>
        <v>980450.05652601738</v>
      </c>
      <c r="X162" s="111">
        <f>IFERROR(求节点(基础信息!$F$90:$F$105,基础信息!$G$90:$G$105,$S162),0)*SUMPRODUCT(INDEX($D$5:$H$34,IFERROR(MATCH(求节点(基础信息!$F$90:$F$105,基础信息!$H$90:$H$105,$S162),$C$5:$C$34,1),1),),INDEX(基础信息!$I$90:$M$105,IFERROR(MATCH($S162,基础信息!$F$90:$F$105,1),1),))+IFERROR(SUMPRODUCT(INDEX(门客进修!$AE$85:$AI$100,MATCH($S162,基础信息!$F$90:$F$105,1),),INDEX(基础信息!$N$90:$R$105,MATCH($S162,基础信息!$F$90:$F$105,1),),INDEX(基础信息!$I$90:$M$105,MATCH($S162,基础信息!$F$90:$F$105,1),))*求节点(基础信息!$F$90:$F$105,基础信息!$G$90:$G$105,$S162),0)</f>
        <v>987231.69627774647</v>
      </c>
    </row>
    <row r="163" spans="19:24" x14ac:dyDescent="0.15">
      <c r="S163" s="111">
        <v>159</v>
      </c>
      <c r="T163" s="111">
        <f>IFERROR(求节点(基础信息!$F$10:$F$25,基础信息!$G$10:$G$25,$S163),0)*SUMPRODUCT(INDEX($D$5:$H$34,IFERROR(MATCH(求节点(基础信息!$F$10:$F$25,基础信息!$H$10:$H$25,$S163),$C$5:$C$34,1),1),),INDEX(基础信息!$I$10:$M$25,IFERROR(MATCH($S163,基础信息!$F$10:$F$25,1),1),))+IFERROR(SUMPRODUCT(INDEX(门客进修!$AE$5:$AI$20,MATCH($S163,基础信息!$F$10:$F$25,1),),INDEX(基础信息!$N$10:$R$25,MATCH($S163,基础信息!$F$10:$F$25,1),),INDEX(基础信息!$I$10:$M$25,MATCH($S163,基础信息!$F$10:$F$25,1),))*求节点(基础信息!$F$10:$F$25,基础信息!$G$10:$G$25,$S163),0)</f>
        <v>720528.43289956055</v>
      </c>
      <c r="U163" s="111">
        <f>IFERROR(求节点(基础信息!$F$30:$F$45,基础信息!$G$30:$G$45,$S163),0)*SUMPRODUCT(INDEX($D$5:$H$34,IFERROR(MATCH(求节点(基础信息!$F$30:$F$45,基础信息!$H$30:$H$45,$S163),$C$5:$C$34,1),1),),INDEX(基础信息!$I$30:$M$45,IFERROR(MATCH($S163,基础信息!$F$30:$F$45,1),1),))+IFERROR(SUMPRODUCT(INDEX(门客进修!$AE$25:$AI$40,MATCH($S163,基础信息!$F$30:$F$45,1),),INDEX(基础信息!$N$30:$R$45,MATCH($S163,基础信息!$F$30:$F$45,1),),INDEX(基础信息!$I$30:$M$45,MATCH($S163,基础信息!$F$30:$F$45,1),))*求节点(基础信息!$F$30:$F$45,基础信息!$G$30:$G$45,$S163),0)</f>
        <v>808684.37325003895</v>
      </c>
      <c r="V163" s="111">
        <f>IFERROR(求节点(基础信息!$F$50:$F$65,基础信息!$G$50:$G$65,$S163),0)*SUMPRODUCT(INDEX($D$5:$H$34,IFERROR(MATCH(求节点(基础信息!$F$50:$F$65,基础信息!$H$50:$H$65,$S163),$C$5:$C$34,1),1),),INDEX(基础信息!$I$50:$M$65,IFERROR(MATCH($S163,基础信息!$F$50:$F$65,1),1),))+IFERROR(SUMPRODUCT(INDEX(门客进修!$AE$45:$AI$60,MATCH($S163,基础信息!$F$50:$F$65,1),),INDEX(基础信息!$N$50:$R$65,MATCH($S163,基础信息!$F$50:$F$65,1),),INDEX(基础信息!$I$50:$M$65,MATCH($S163,基础信息!$F$50:$F$65,1),))*求节点(基础信息!$F$50:$F$65,基础信息!$G$50:$G$65,$S163),0)</f>
        <v>897006.09038289334</v>
      </c>
      <c r="W163" s="111">
        <f>IFERROR(求节点(基础信息!$F$70:$F$85,基础信息!$G$70:$G$85,$S163),0)*SUMPRODUCT(INDEX($D$5:$H$34,IFERROR(MATCH(求节点(基础信息!$F$70:$F$85,基础信息!$H$70:$H$85,$S163),$C$5:$C$34,1),1),),INDEX(基础信息!$I$70:$M$85,IFERROR(MATCH($S163,基础信息!$F$70:$F$85,1),1),))+IFERROR(SUMPRODUCT(INDEX(门客进修!$AE$65:$AI$80,MATCH($S163,基础信息!$F$70:$F$85,1),),INDEX(基础信息!$N$70:$R$85,MATCH($S163,基础信息!$F$70:$F$85,1),),INDEX(基础信息!$I$70:$M$85,MATCH($S163,基础信息!$F$70:$F$85,1),))*求节点(基础信息!$F$70:$F$85,基础信息!$G$70:$G$85,$S163),0)</f>
        <v>986655.43663061212</v>
      </c>
      <c r="X163" s="111">
        <f>IFERROR(求节点(基础信息!$F$90:$F$105,基础信息!$G$90:$G$105,$S163),0)*SUMPRODUCT(INDEX($D$5:$H$34,IFERROR(MATCH(求节点(基础信息!$F$90:$F$105,基础信息!$H$90:$H$105,$S163),$C$5:$C$34,1),1),),INDEX(基础信息!$I$90:$M$105,IFERROR(MATCH($S163,基础信息!$F$90:$F$105,1),1),))+IFERROR(SUMPRODUCT(INDEX(门客进修!$AE$85:$AI$100,MATCH($S163,基础信息!$F$90:$F$105,1),),INDEX(基础信息!$N$90:$R$105,MATCH($S163,基础信息!$F$90:$F$105,1),),INDEX(基础信息!$I$90:$M$105,MATCH($S163,基础信息!$F$90:$F$105,1),))*求节点(基础信息!$F$90:$F$105,基础信息!$G$90:$G$105,$S163),0)</f>
        <v>993479.99815292214</v>
      </c>
    </row>
    <row r="164" spans="19:24" x14ac:dyDescent="0.15">
      <c r="S164" s="111">
        <v>160</v>
      </c>
      <c r="T164" s="111">
        <f>IFERROR(求节点(基础信息!$F$10:$F$25,基础信息!$G$10:$G$25,$S164),0)*SUMPRODUCT(INDEX($D$5:$H$34,IFERROR(MATCH(求节点(基础信息!$F$10:$F$25,基础信息!$H$10:$H$25,$S164),$C$5:$C$34,1),1),),INDEX(基础信息!$I$10:$M$25,IFERROR(MATCH($S164,基础信息!$F$10:$F$25,1),1),))+IFERROR(SUMPRODUCT(INDEX(门客进修!$AE$5:$AI$20,MATCH($S164,基础信息!$F$10:$F$25,1),),INDEX(基础信息!$N$10:$R$25,MATCH($S164,基础信息!$F$10:$F$25,1),),INDEX(基础信息!$I$10:$M$25,MATCH($S164,基础信息!$F$10:$F$25,1),))*求节点(基础信息!$F$10:$F$25,基础信息!$G$10:$G$25,$S164),0)</f>
        <v>725060.0582637086</v>
      </c>
      <c r="U164" s="111">
        <f>IFERROR(求节点(基础信息!$F$30:$F$45,基础信息!$G$30:$G$45,$S164),0)*SUMPRODUCT(INDEX($D$5:$H$34,IFERROR(MATCH(求节点(基础信息!$F$30:$F$45,基础信息!$H$30:$H$45,$S164),$C$5:$C$34,1),1),),INDEX(基础信息!$I$30:$M$45,IFERROR(MATCH($S164,基础信息!$F$30:$F$45,1),1),))+IFERROR(SUMPRODUCT(INDEX(门客进修!$AE$25:$AI$40,MATCH($S164,基础信息!$F$30:$F$45,1),),INDEX(基础信息!$N$30:$R$45,MATCH($S164,基础信息!$F$30:$F$45,1),),INDEX(基础信息!$I$30:$M$45,MATCH($S164,基础信息!$F$30:$F$45,1),))*求节点(基础信息!$F$30:$F$45,基础信息!$G$30:$G$45,$S164),0)</f>
        <v>813770.43849060521</v>
      </c>
      <c r="V164" s="111">
        <f>IFERROR(求节点(基础信息!$F$50:$F$65,基础信息!$G$50:$G$65,$S164),0)*SUMPRODUCT(INDEX($D$5:$H$34,IFERROR(MATCH(求节点(基础信息!$F$50:$F$65,基础信息!$H$50:$H$65,$S164),$C$5:$C$34,1),1),),INDEX(基础信息!$I$50:$M$65,IFERROR(MATCH($S164,基础信息!$F$50:$F$65,1),1),))+IFERROR(SUMPRODUCT(INDEX(门客进修!$AE$45:$AI$60,MATCH($S164,基础信息!$F$50:$F$65,1),),INDEX(基础信息!$N$50:$R$65,MATCH($S164,基础信息!$F$50:$F$65,1),),INDEX(基础信息!$I$50:$M$65,MATCH($S164,基础信息!$F$50:$F$65,1),))*求节点(基础信息!$F$50:$F$65,基础信息!$G$50:$G$65,$S164),0)</f>
        <v>902647.63812115067</v>
      </c>
      <c r="W164" s="111">
        <f>IFERROR(求节点(基础信息!$F$70:$F$85,基础信息!$G$70:$G$85,$S164),0)*SUMPRODUCT(INDEX($D$5:$H$34,IFERROR(MATCH(求节点(基础信息!$F$70:$F$85,基础信息!$H$70:$H$85,$S164),$C$5:$C$34,1),1),),INDEX(基础信息!$I$70:$M$85,IFERROR(MATCH($S164,基础信息!$F$70:$F$85,1),1),))+IFERROR(SUMPRODUCT(INDEX(门客进修!$AE$65:$AI$80,MATCH($S164,基础信息!$F$70:$F$85,1),),INDEX(基础信息!$N$70:$R$85,MATCH($S164,基础信息!$F$70:$F$85,1),),INDEX(基础信息!$I$70:$M$85,MATCH($S164,基础信息!$F$70:$F$85,1),))*求节点(基础信息!$F$70:$F$85,基础信息!$G$70:$G$85,$S164),0)</f>
        <v>992860.81673520734</v>
      </c>
      <c r="X164" s="111">
        <f>IFERROR(求节点(基础信息!$F$90:$F$105,基础信息!$G$90:$G$105,$S164),0)*SUMPRODUCT(INDEX($D$5:$H$34,IFERROR(MATCH(求节点(基础信息!$F$90:$F$105,基础信息!$H$90:$H$105,$S164),$C$5:$C$34,1),1),),INDEX(基础信息!$I$90:$M$105,IFERROR(MATCH($S164,基础信息!$F$90:$F$105,1),1),))+IFERROR(SUMPRODUCT(INDEX(门客进修!$AE$85:$AI$100,MATCH($S164,基础信息!$F$90:$F$105,1),),INDEX(基础信息!$N$90:$R$105,MATCH($S164,基础信息!$F$90:$F$105,1),),INDEX(基础信息!$I$90:$M$105,MATCH($S164,基础信息!$F$90:$F$105,1),))*求节点(基础信息!$F$90:$F$105,基础信息!$G$90:$G$105,$S164),0)</f>
        <v>999728.3000280977</v>
      </c>
    </row>
  </sheetData>
  <mergeCells count="3">
    <mergeCell ref="D3:H3"/>
    <mergeCell ref="L3:P3"/>
    <mergeCell ref="T3:X3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34998626667073579"/>
  </sheetPr>
  <dimension ref="B1:T127"/>
  <sheetViews>
    <sheetView workbookViewId="0">
      <selection activeCell="Z40" sqref="Z40"/>
    </sheetView>
  </sheetViews>
  <sheetFormatPr defaultColWidth="6.25" defaultRowHeight="11.25" x14ac:dyDescent="0.15"/>
  <cols>
    <col min="1" max="2" width="6.25" style="9"/>
    <col min="3" max="5" width="6.25" style="10"/>
    <col min="6" max="8" width="6.25" style="9"/>
    <col min="9" max="9" width="10.5" style="9" bestFit="1" customWidth="1"/>
    <col min="10" max="16384" width="6.25" style="9"/>
  </cols>
  <sheetData>
    <row r="1" spans="3:5" x14ac:dyDescent="0.15">
      <c r="C1" s="7" t="s">
        <v>38</v>
      </c>
      <c r="D1" s="9" t="s">
        <v>32</v>
      </c>
      <c r="E1" s="9"/>
    </row>
    <row r="2" spans="3:5" x14ac:dyDescent="0.15">
      <c r="C2" s="10">
        <v>1</v>
      </c>
      <c r="D2" s="10">
        <v>1</v>
      </c>
      <c r="E2" s="7"/>
    </row>
    <row r="3" spans="3:5" x14ac:dyDescent="0.15">
      <c r="C3" s="10">
        <v>2</v>
      </c>
      <c r="D3" s="10">
        <v>2</v>
      </c>
    </row>
    <row r="4" spans="3:5" x14ac:dyDescent="0.15">
      <c r="C4" s="10">
        <v>3</v>
      </c>
      <c r="D4" s="10">
        <v>3</v>
      </c>
    </row>
    <row r="5" spans="3:5" x14ac:dyDescent="0.15">
      <c r="C5" s="10">
        <v>4</v>
      </c>
      <c r="D5" s="10">
        <v>4</v>
      </c>
    </row>
    <row r="6" spans="3:5" x14ac:dyDescent="0.15">
      <c r="C6" s="10">
        <v>5</v>
      </c>
      <c r="D6" s="10">
        <v>5</v>
      </c>
    </row>
    <row r="7" spans="3:5" x14ac:dyDescent="0.15">
      <c r="C7" s="10">
        <v>6</v>
      </c>
      <c r="D7" s="10">
        <v>6</v>
      </c>
    </row>
    <row r="8" spans="3:5" x14ac:dyDescent="0.15">
      <c r="C8" s="10">
        <v>7</v>
      </c>
      <c r="D8" s="10">
        <v>7</v>
      </c>
    </row>
    <row r="9" spans="3:5" x14ac:dyDescent="0.15">
      <c r="C9" s="10">
        <v>8</v>
      </c>
      <c r="D9" s="10">
        <v>8</v>
      </c>
    </row>
    <row r="10" spans="3:5" x14ac:dyDescent="0.15">
      <c r="C10" s="10">
        <v>9</v>
      </c>
      <c r="D10" s="10">
        <v>9</v>
      </c>
    </row>
    <row r="11" spans="3:5" x14ac:dyDescent="0.15">
      <c r="C11" s="10">
        <v>10</v>
      </c>
      <c r="D11" s="10">
        <v>10</v>
      </c>
    </row>
    <row r="12" spans="3:5" x14ac:dyDescent="0.15">
      <c r="C12" s="52">
        <v>11</v>
      </c>
      <c r="D12" s="52">
        <v>11</v>
      </c>
    </row>
    <row r="13" spans="3:5" x14ac:dyDescent="0.15">
      <c r="C13" s="52">
        <v>12</v>
      </c>
      <c r="D13" s="52">
        <v>12</v>
      </c>
    </row>
    <row r="14" spans="3:5" s="12" customFormat="1" x14ac:dyDescent="0.15"/>
    <row r="16" spans="3:5" x14ac:dyDescent="0.15">
      <c r="C16" s="9"/>
      <c r="D16" s="9"/>
      <c r="E16" s="9"/>
    </row>
    <row r="17" spans="2:20" x14ac:dyDescent="0.15">
      <c r="C17" s="7" t="s">
        <v>13</v>
      </c>
      <c r="E17" s="9"/>
      <c r="H17" s="130" t="s">
        <v>39</v>
      </c>
      <c r="I17" s="130"/>
      <c r="J17" s="130"/>
      <c r="K17" s="130"/>
      <c r="L17" s="130"/>
      <c r="N17" s="130" t="s">
        <v>87</v>
      </c>
      <c r="O17" s="130"/>
      <c r="P17" s="130"/>
      <c r="Q17" s="130"/>
      <c r="R17" s="130"/>
      <c r="S17" s="130"/>
    </row>
    <row r="18" spans="2:20" x14ac:dyDescent="0.15">
      <c r="C18" s="24" t="s">
        <v>90</v>
      </c>
      <c r="D18" s="24" t="s">
        <v>103</v>
      </c>
      <c r="E18" s="5" t="s">
        <v>21</v>
      </c>
      <c r="F18" s="4" t="s">
        <v>32</v>
      </c>
      <c r="H18" s="4" t="s">
        <v>33</v>
      </c>
      <c r="I18" s="4" t="s">
        <v>34</v>
      </c>
      <c r="J18" s="4" t="s">
        <v>35</v>
      </c>
      <c r="K18" s="4" t="s">
        <v>36</v>
      </c>
      <c r="L18" s="4" t="s">
        <v>37</v>
      </c>
      <c r="N18" s="18" t="s">
        <v>33</v>
      </c>
      <c r="O18" s="18" t="s">
        <v>34</v>
      </c>
      <c r="P18" s="18" t="s">
        <v>10</v>
      </c>
      <c r="Q18" s="18" t="s">
        <v>36</v>
      </c>
      <c r="R18" s="18" t="s">
        <v>37</v>
      </c>
      <c r="S18" s="18" t="s">
        <v>86</v>
      </c>
    </row>
    <row r="19" spans="2:20" x14ac:dyDescent="0.15">
      <c r="B19" s="9">
        <v>1</v>
      </c>
      <c r="C19" s="24">
        <f>('[1]功能-城建'!$BJ6+'[1]功能-城建'!$CE6)/2</f>
        <v>16</v>
      </c>
      <c r="D19" s="24">
        <f>求节点(节奏总纲!D$4:D$163,节奏总纲!$C$4:$C$163,INDEX(节奏总纲!AA$4:AA$83,C19,1))</f>
        <v>18.226342304552581</v>
      </c>
      <c r="E19" s="5">
        <v>1</v>
      </c>
      <c r="F19" s="4">
        <f t="shared" ref="F19:F34" si="0">IFERROR(INT(求节点($C$2:$C$11,$D$2:$D$11,$E19)),0)</f>
        <v>1</v>
      </c>
      <c r="H19" s="23">
        <f>MIN(门客获得情况预估!AJ6,$F19-SUM(I19:$L19))</f>
        <v>0.6373182970867648</v>
      </c>
      <c r="I19" s="23">
        <f>MIN(门客获得情况预估!AK6,$F19-SUM(J19:$L19))</f>
        <v>0.3626817029132352</v>
      </c>
      <c r="J19" s="23">
        <f>MIN(门客获得情况预估!AL6,$F19-SUM(K19:$L19))</f>
        <v>0</v>
      </c>
      <c r="K19" s="23">
        <f>MIN(门客获得情况预估!AM6,$F19-SUM($L19:L19))</f>
        <v>0</v>
      </c>
      <c r="L19" s="4">
        <f>MIN(门客获得情况预估!AN6,$F19)</f>
        <v>0</v>
      </c>
      <c r="N19" s="18">
        <f>IFERROR(H19/门客获得情况预估!O6,0)</f>
        <v>0</v>
      </c>
      <c r="O19" s="18">
        <f>IFERROR(I19/门客获得情况预估!P6,0)</f>
        <v>0</v>
      </c>
      <c r="P19" s="18">
        <f>IFERROR(J19/门客获得情况预估!Q6,0)</f>
        <v>0</v>
      </c>
      <c r="Q19" s="18">
        <f>IFERROR(K19/门客获得情况预估!R6,0)</f>
        <v>0</v>
      </c>
      <c r="R19" s="18">
        <f>IFERROR(L19/门客获得情况预估!S6,0)</f>
        <v>0</v>
      </c>
      <c r="S19" s="18">
        <f>MAX(N19:R19)*SUMPRODUCT(门客获得情况预估!$C$4:$G$4,门客获得情况预估!$O$6:$S$6)</f>
        <v>0</v>
      </c>
      <c r="T19" s="25" t="s">
        <v>89</v>
      </c>
    </row>
    <row r="20" spans="2:20" x14ac:dyDescent="0.15">
      <c r="B20" s="9">
        <v>2</v>
      </c>
      <c r="C20" s="45">
        <f>('[1]功能-城建'!$BJ7+'[1]功能-城建'!$CE7)/2</f>
        <v>19.5</v>
      </c>
      <c r="D20" s="45">
        <f>求节点(节奏总纲!D$4:D$163,节奏总纲!$C$4:$C$163,INDEX(节奏总纲!AA$4:AA$83,C20,1))</f>
        <v>24.310866931512376</v>
      </c>
      <c r="E20" s="5">
        <v>2</v>
      </c>
      <c r="F20" s="4">
        <f t="shared" si="0"/>
        <v>2</v>
      </c>
      <c r="H20" s="23">
        <f>MIN(门客获得情况预估!AJ7,$F20-SUM(I20:$L20))</f>
        <v>1.3110146382620775</v>
      </c>
      <c r="I20" s="23">
        <f>MIN(门客获得情况预估!AK7,$F20-SUM(J20:$L20))</f>
        <v>0.68898536173792246</v>
      </c>
      <c r="J20" s="23">
        <f>MIN(门客获得情况预估!AL7,$F20-SUM(K20:$L20))</f>
        <v>0</v>
      </c>
      <c r="K20" s="23">
        <f>MIN(门客获得情况预估!AM7,$F20-SUM($L20:L20))</f>
        <v>0</v>
      </c>
      <c r="L20" s="23">
        <f>MIN(门客获得情况预估!AN7,$F20)</f>
        <v>0</v>
      </c>
      <c r="N20" s="18">
        <f>IFERROR(H20/门客获得情况预估!O7,0)</f>
        <v>0</v>
      </c>
      <c r="O20" s="18">
        <f>IFERROR(I20/门客获得情况预估!P7,0)</f>
        <v>0</v>
      </c>
      <c r="P20" s="18">
        <f>IFERROR(J20/门客获得情况预估!Q7,0)</f>
        <v>0</v>
      </c>
      <c r="Q20" s="18">
        <f>IFERROR(K20/门客获得情况预估!R7,0)</f>
        <v>0</v>
      </c>
      <c r="R20" s="18">
        <f>IFERROR(L20/门客获得情况预估!S7,0)</f>
        <v>0</v>
      </c>
      <c r="S20" s="18">
        <f>MAX(N20:R20)*SUMPRODUCT(门客获得情况预估!$C$4:$G$4,门客获得情况预估!$O$6:$S$6)</f>
        <v>0</v>
      </c>
    </row>
    <row r="21" spans="2:20" x14ac:dyDescent="0.15">
      <c r="B21" s="9">
        <v>3</v>
      </c>
      <c r="C21" s="45">
        <f>('[1]功能-城建'!$BJ8+'[1]功能-城建'!$CE8)/2</f>
        <v>23.5</v>
      </c>
      <c r="D21" s="45">
        <f>求节点(节奏总纲!D$4:D$163,节奏总纲!$C$4:$C$163,INDEX(节奏总纲!AA$4:AA$83,C21,1))</f>
        <v>32.979382606869549</v>
      </c>
      <c r="E21" s="24">
        <v>3</v>
      </c>
      <c r="F21" s="4">
        <f t="shared" si="0"/>
        <v>3</v>
      </c>
      <c r="H21" s="23">
        <f>MIN(门客获得情况预估!AJ8,$F21-SUM(I21:$L21))</f>
        <v>1.6207123032629396</v>
      </c>
      <c r="I21" s="23">
        <f>MIN(门客获得情况预估!AK8,$F21-SUM(J21:$L21))</f>
        <v>1.3792876967370604</v>
      </c>
      <c r="J21" s="23">
        <f>MIN(门客获得情况预估!AL8,$F21-SUM(K21:$L21))</f>
        <v>0</v>
      </c>
      <c r="K21" s="23">
        <f>MIN(门客获得情况预估!AM8,$F21-SUM($L21:L21))</f>
        <v>0</v>
      </c>
      <c r="L21" s="23">
        <f>MIN(门客获得情况预估!AN8,$F21)</f>
        <v>0</v>
      </c>
      <c r="N21" s="18">
        <f>IFERROR(H21/门客获得情况预估!O8,0)</f>
        <v>0</v>
      </c>
      <c r="O21" s="18">
        <f>IFERROR(I21/门客获得情况预估!P8,0)</f>
        <v>0</v>
      </c>
      <c r="P21" s="18">
        <f>IFERROR(J21/门客获得情况预估!Q8,0)</f>
        <v>0</v>
      </c>
      <c r="Q21" s="18">
        <f>IFERROR(K21/门客获得情况预估!R8,0)</f>
        <v>0</v>
      </c>
      <c r="R21" s="18">
        <f>IFERROR(L21/门客获得情况预估!S8,0)</f>
        <v>0</v>
      </c>
      <c r="S21" s="18">
        <f>MAX(N21:R21)*SUMPRODUCT(门客获得情况预估!$C$4:$G$4,门客获得情况预估!$O$6:$S$6)</f>
        <v>0</v>
      </c>
    </row>
    <row r="22" spans="2:20" x14ac:dyDescent="0.15">
      <c r="B22" s="9">
        <v>4</v>
      </c>
      <c r="C22" s="45">
        <f>('[1]功能-城建'!$BJ9+'[1]功能-城建'!$CE9)/2</f>
        <v>27.5</v>
      </c>
      <c r="D22" s="45">
        <f>求节点(节奏总纲!D$4:D$163,节奏总纲!$C$4:$C$163,INDEX(节奏总纲!AA$4:AA$83,C22,1))</f>
        <v>41.947199016886806</v>
      </c>
      <c r="E22" s="24">
        <v>4</v>
      </c>
      <c r="F22" s="23">
        <f t="shared" si="0"/>
        <v>4</v>
      </c>
      <c r="H22" s="23">
        <f>MIN(门客获得情况预估!AJ9,$F22-SUM(I22:$L22))</f>
        <v>1.3042538374306596</v>
      </c>
      <c r="I22" s="23">
        <f>MIN(门客获得情况预估!AK9,$F22-SUM(J22:$L22))</f>
        <v>2.6957461625693404</v>
      </c>
      <c r="J22" s="23">
        <f>MIN(门客获得情况预估!AL9,$F22-SUM(K22:$L22))</f>
        <v>0</v>
      </c>
      <c r="K22" s="23">
        <f>MIN(门客获得情况预估!AM9,$F22-SUM($L22:L22))</f>
        <v>0</v>
      </c>
      <c r="L22" s="23">
        <f>MIN(门客获得情况预估!AN9,$F22)</f>
        <v>0</v>
      </c>
      <c r="N22" s="18">
        <f>IFERROR(H22/门客获得情况预估!O9,0)</f>
        <v>0</v>
      </c>
      <c r="O22" s="18">
        <f>IFERROR(I22/门客获得情况预估!P9,0)</f>
        <v>0</v>
      </c>
      <c r="P22" s="18">
        <f>IFERROR(J22/门客获得情况预估!Q9,0)</f>
        <v>0</v>
      </c>
      <c r="Q22" s="18">
        <f>IFERROR(K22/门客获得情况预估!R9,0)</f>
        <v>0</v>
      </c>
      <c r="R22" s="18">
        <f>IFERROR(L22/门客获得情况预估!S9,0)</f>
        <v>0</v>
      </c>
      <c r="S22" s="18">
        <f>MAX(N22:R22)*SUMPRODUCT(门客获得情况预估!$C$4:$G$4,门客获得情况预估!$O$6:$S$6)</f>
        <v>0</v>
      </c>
    </row>
    <row r="23" spans="2:20" x14ac:dyDescent="0.15">
      <c r="B23" s="9">
        <v>5</v>
      </c>
      <c r="C23" s="45">
        <f>('[1]功能-城建'!$BJ10+'[1]功能-城建'!$CE10)/2</f>
        <v>31.5</v>
      </c>
      <c r="D23" s="45">
        <f>求节点(节奏总纲!D$4:D$163,节奏总纲!$C$4:$C$163,INDEX(节奏总纲!AA$4:AA$83,C23,1))</f>
        <v>51.024751728602688</v>
      </c>
      <c r="E23" s="24">
        <v>5</v>
      </c>
      <c r="F23" s="23">
        <f t="shared" si="0"/>
        <v>5</v>
      </c>
      <c r="H23" s="23">
        <f>MIN(门客获得情况预估!AJ10,$F23-SUM(I23:$L23))</f>
        <v>0</v>
      </c>
      <c r="I23" s="23">
        <f>MIN(门客获得情况预估!AK10,$F23-SUM(J23:$L23))</f>
        <v>2.2237345506612849</v>
      </c>
      <c r="J23" s="23">
        <f>MIN(门客获得情况预估!AL10,$F23-SUM(K23:$L23))</f>
        <v>2.1841769662258099</v>
      </c>
      <c r="K23" s="23">
        <f>MIN(门客获得情况预估!AM10,$F23-SUM($L23:L23))</f>
        <v>0.59208848311290496</v>
      </c>
      <c r="L23" s="23">
        <f>MIN(门客获得情况预估!AN10,$F23)</f>
        <v>0</v>
      </c>
      <c r="N23" s="18">
        <f>IFERROR(H23/门客获得情况预估!O10,0)</f>
        <v>0</v>
      </c>
      <c r="O23" s="18">
        <f>IFERROR(I23/门客获得情况预估!P10,0)</f>
        <v>0</v>
      </c>
      <c r="P23" s="18">
        <f>IFERROR(J23/门客获得情况预估!Q10,0)</f>
        <v>0</v>
      </c>
      <c r="Q23" s="18">
        <f>IFERROR(K23/门客获得情况预估!R10,0)</f>
        <v>0</v>
      </c>
      <c r="R23" s="18">
        <f>IFERROR(L23/门客获得情况预估!S10,0)</f>
        <v>0</v>
      </c>
      <c r="S23" s="18">
        <f>MAX(N23:R23)*SUMPRODUCT(门客获得情况预估!$C$4:$G$4,门客获得情况预估!$O$6:$S$6)</f>
        <v>0</v>
      </c>
    </row>
    <row r="24" spans="2:20" x14ac:dyDescent="0.15">
      <c r="B24" s="9">
        <v>6</v>
      </c>
      <c r="C24" s="45">
        <f>('[1]功能-城建'!$BJ11+'[1]功能-城建'!$CE11)/2</f>
        <v>35.5</v>
      </c>
      <c r="D24" s="45">
        <f>求节点(节奏总纲!D$4:D$163,节奏总纲!$C$4:$C$163,INDEX(节奏总纲!AA$4:AA$83,C24,1))</f>
        <v>60.108849423225884</v>
      </c>
      <c r="E24" s="24">
        <v>6</v>
      </c>
      <c r="F24" s="23">
        <f t="shared" si="0"/>
        <v>6</v>
      </c>
      <c r="H24" s="23">
        <f>MIN(门客获得情况预估!AJ11,$F24-SUM(I24:$L24))</f>
        <v>0</v>
      </c>
      <c r="I24" s="23">
        <f>MIN(门客获得情况预估!AK11,$F24-SUM(J24:$L24))</f>
        <v>0</v>
      </c>
      <c r="J24" s="23">
        <f>MIN(门客获得情况预估!AL11,$F24-SUM(K24:$L24))</f>
        <v>3.0983263690354175</v>
      </c>
      <c r="K24" s="23">
        <f>MIN(门客获得情况预估!AM11,$F24-SUM($L24:L24))</f>
        <v>2.9016736309645825</v>
      </c>
      <c r="L24" s="23">
        <f>MIN(门客获得情况预估!AN11,$F24)</f>
        <v>0</v>
      </c>
      <c r="N24" s="18">
        <f>IFERROR(H24/门客获得情况预估!O11,0)</f>
        <v>0</v>
      </c>
      <c r="O24" s="18">
        <f>IFERROR(I24/门客获得情况预估!P11,0)</f>
        <v>0</v>
      </c>
      <c r="P24" s="18">
        <f>IFERROR(J24/门客获得情况预估!Q11,0)</f>
        <v>0</v>
      </c>
      <c r="Q24" s="18">
        <f>IFERROR(K24/门客获得情况预估!R11,0)</f>
        <v>0</v>
      </c>
      <c r="R24" s="18">
        <f>IFERROR(L24/门客获得情况预估!S11,0)</f>
        <v>0</v>
      </c>
      <c r="S24" s="18">
        <f>MAX(N24:R24)*SUMPRODUCT(门客获得情况预估!$C$4:$G$4,门客获得情况预估!$O$6:$S$6)</f>
        <v>0</v>
      </c>
    </row>
    <row r="25" spans="2:20" x14ac:dyDescent="0.15">
      <c r="B25" s="9">
        <v>7</v>
      </c>
      <c r="C25" s="45">
        <f>('[1]功能-城建'!$BJ12+'[1]功能-城建'!$CE12)/2</f>
        <v>39.5</v>
      </c>
      <c r="D25" s="45">
        <f>求节点(节奏总纲!D$4:D$163,节奏总纲!$C$4:$C$163,INDEX(节奏总纲!AA$4:AA$83,C25,1))</f>
        <v>68.617325920549462</v>
      </c>
      <c r="E25" s="24">
        <v>7</v>
      </c>
      <c r="F25" s="23">
        <f t="shared" si="0"/>
        <v>7</v>
      </c>
      <c r="H25" s="23">
        <f>MIN(门客获得情况预估!AJ12,$F25-SUM(I25:$L25))</f>
        <v>0</v>
      </c>
      <c r="I25" s="23">
        <f>MIN(门客获得情况预估!AK12,$F25-SUM(J25:$L25))</f>
        <v>0</v>
      </c>
      <c r="J25" s="23">
        <f>MIN(门客获得情况预估!AL12,$F25-SUM(K25:$L25))</f>
        <v>9.8475321929284654E-2</v>
      </c>
      <c r="K25" s="23">
        <f>MIN(门客获得情况预估!AM12,$F25-SUM($L25:L25))</f>
        <v>6.9015246780707153</v>
      </c>
      <c r="L25" s="23">
        <f>MIN(门客获得情况预估!AN12,$F25)</f>
        <v>0</v>
      </c>
      <c r="N25" s="18">
        <f>IFERROR(H25/门客获得情况预估!O12,0)</f>
        <v>0</v>
      </c>
      <c r="O25" s="18">
        <f>IFERROR(I25/门客获得情况预估!P12,0)</f>
        <v>0</v>
      </c>
      <c r="P25" s="18">
        <f>IFERROR(J25/门客获得情况预估!Q12,0)</f>
        <v>0</v>
      </c>
      <c r="Q25" s="18">
        <f>IFERROR(K25/门客获得情况预估!R12,0)</f>
        <v>0</v>
      </c>
      <c r="R25" s="18">
        <f>IFERROR(L25/门客获得情况预估!S12,0)</f>
        <v>0</v>
      </c>
      <c r="S25" s="18">
        <f>MAX(N25:R25)*SUMPRODUCT(门客获得情况预估!$C$4:$G$4,门客获得情况预估!$O$6:$S$6)</f>
        <v>0</v>
      </c>
    </row>
    <row r="26" spans="2:20" x14ac:dyDescent="0.15">
      <c r="B26" s="9">
        <v>8</v>
      </c>
      <c r="C26" s="45">
        <f>('[1]功能-城建'!$BJ13+'[1]功能-城建'!$CE13)/2</f>
        <v>43.5</v>
      </c>
      <c r="D26" s="45">
        <f>求节点(节奏总纲!D$4:D$163,节奏总纲!$C$4:$C$163,INDEX(节奏总纲!AA$4:AA$83,C26,1))</f>
        <v>77.137764615612369</v>
      </c>
      <c r="E26" s="24">
        <v>8</v>
      </c>
      <c r="F26" s="23">
        <f t="shared" si="0"/>
        <v>8</v>
      </c>
      <c r="H26" s="23">
        <f>MIN(门客获得情况预估!AJ13,$F26-SUM(I26:$L26))</f>
        <v>0</v>
      </c>
      <c r="I26" s="23">
        <f>MIN(门客获得情况预估!AK13,$F26-SUM(J26:$L26))</f>
        <v>0</v>
      </c>
      <c r="J26" s="23">
        <f>MIN(门客获得情况预估!AL13,$F26-SUM(K26:$L26))</f>
        <v>0</v>
      </c>
      <c r="K26" s="23">
        <f>MIN(门客获得情况预估!AM13,$F26-SUM($L26:L26))</f>
        <v>8</v>
      </c>
      <c r="L26" s="23">
        <f>MIN(门客获得情况预估!AN13,$F26)</f>
        <v>0</v>
      </c>
      <c r="N26" s="18">
        <f>IFERROR(H26/门客获得情况预估!O13,0)</f>
        <v>0</v>
      </c>
      <c r="O26" s="18">
        <f>IFERROR(I26/门客获得情况预估!P13,0)</f>
        <v>0</v>
      </c>
      <c r="P26" s="18">
        <f>IFERROR(J26/门客获得情况预估!Q13,0)</f>
        <v>0</v>
      </c>
      <c r="Q26" s="18">
        <f>IFERROR(K26/门客获得情况预估!R13,0)</f>
        <v>0</v>
      </c>
      <c r="R26" s="18">
        <f>IFERROR(L26/门客获得情况预估!S13,0)</f>
        <v>0</v>
      </c>
      <c r="S26" s="18">
        <f>MAX(N26:R26)*SUMPRODUCT(门客获得情况预估!$C$4:$G$4,门客获得情况预估!$O$6:$S$6)</f>
        <v>0</v>
      </c>
    </row>
    <row r="27" spans="2:20" x14ac:dyDescent="0.15">
      <c r="B27" s="9">
        <v>9</v>
      </c>
      <c r="C27" s="45">
        <f>('[1]功能-城建'!$BJ14+'[1]功能-城建'!$CE14)/2</f>
        <v>47.5</v>
      </c>
      <c r="D27" s="45">
        <f>求节点(节奏总纲!D$4:D$163,节奏总纲!$C$4:$C$163,INDEX(节奏总纲!AA$4:AA$83,C27,1))</f>
        <v>85.643863186592412</v>
      </c>
      <c r="E27" s="24">
        <v>9</v>
      </c>
      <c r="F27" s="23">
        <f t="shared" si="0"/>
        <v>9</v>
      </c>
      <c r="H27" s="23">
        <f>MIN(门客获得情况预估!AJ14,$F27-SUM(I27:$L27))</f>
        <v>0</v>
      </c>
      <c r="I27" s="23">
        <f>MIN(门客获得情况预估!AK14,$F27-SUM(J27:$L27))</f>
        <v>0</v>
      </c>
      <c r="J27" s="23">
        <f>MIN(门客获得情况预估!AL14,$F27-SUM(K27:$L27))</f>
        <v>0</v>
      </c>
      <c r="K27" s="23">
        <f>MIN(门客获得情况预估!AM14,$F27-SUM($L27:L27))</f>
        <v>9</v>
      </c>
      <c r="L27" s="23">
        <f>MIN(门客获得情况预估!AN14,$F27)</f>
        <v>0</v>
      </c>
      <c r="N27" s="18">
        <f>IFERROR(H27/门客获得情况预估!O14,0)</f>
        <v>0</v>
      </c>
      <c r="O27" s="18">
        <f>IFERROR(I27/门客获得情况预估!P14,0)</f>
        <v>0</v>
      </c>
      <c r="P27" s="18">
        <f>IFERROR(J27/门客获得情况预估!Q14,0)</f>
        <v>0</v>
      </c>
      <c r="Q27" s="18">
        <f>IFERROR(K27/门客获得情况预估!R14,0)</f>
        <v>0</v>
      </c>
      <c r="R27" s="18">
        <f>IFERROR(L27/门客获得情况预估!S14,0)</f>
        <v>0</v>
      </c>
      <c r="S27" s="18">
        <f>MAX(N27:R27)*SUMPRODUCT(门客获得情况预估!$C$4:$G$4,门客获得情况预估!$O$6:$S$6)</f>
        <v>0</v>
      </c>
    </row>
    <row r="28" spans="2:20" x14ac:dyDescent="0.15">
      <c r="B28" s="9">
        <v>10</v>
      </c>
      <c r="C28" s="45">
        <f>('[1]功能-城建'!$BJ15+'[1]功能-城建'!$CE15)/2</f>
        <v>52</v>
      </c>
      <c r="D28" s="45">
        <f>求节点(节奏总纲!D$4:D$163,节奏总纲!$C$4:$C$163,INDEX(节奏总纲!AA$4:AA$83,C28,1))</f>
        <v>96.265821375882837</v>
      </c>
      <c r="E28" s="24">
        <v>10</v>
      </c>
      <c r="F28" s="23">
        <f t="shared" si="0"/>
        <v>10</v>
      </c>
      <c r="H28" s="23">
        <f>MIN(门客获得情况预估!AJ15,$F28-SUM(I28:$L28))</f>
        <v>0</v>
      </c>
      <c r="I28" s="23">
        <f>MIN(门客获得情况预估!AK15,$F28-SUM(J28:$L28))</f>
        <v>0</v>
      </c>
      <c r="J28" s="23">
        <f>MIN(门客获得情况预估!AL15,$F28-SUM(K28:$L28))</f>
        <v>0</v>
      </c>
      <c r="K28" s="23">
        <f>MIN(门客获得情况预估!AM15,$F28-SUM($L28:L28))</f>
        <v>10</v>
      </c>
      <c r="L28" s="23">
        <f>MIN(门客获得情况预估!AN15,$F28)</f>
        <v>0</v>
      </c>
      <c r="N28" s="18">
        <f>IFERROR(H28/门客获得情况预估!O15,0)</f>
        <v>0</v>
      </c>
      <c r="O28" s="18">
        <f>IFERROR(I28/门客获得情况预估!P15,0)</f>
        <v>0</v>
      </c>
      <c r="P28" s="18">
        <f>IFERROR(J28/门客获得情况预估!Q15,0)</f>
        <v>0</v>
      </c>
      <c r="Q28" s="18">
        <f>IFERROR(K28/门客获得情况预估!R15,0)</f>
        <v>0</v>
      </c>
      <c r="R28" s="18">
        <f>IFERROR(L28/门客获得情况预估!S15,0)</f>
        <v>0</v>
      </c>
      <c r="S28" s="18">
        <f>MAX(N28:R28)*SUMPRODUCT(门客获得情况预估!$C$4:$G$4,门客获得情况预估!$O$6:$S$6)</f>
        <v>0</v>
      </c>
    </row>
    <row r="29" spans="2:20" x14ac:dyDescent="0.15">
      <c r="B29" s="9">
        <v>11</v>
      </c>
      <c r="C29" s="45">
        <f>('[1]功能-城建'!$BJ16+'[1]功能-城建'!$CE16)/2</f>
        <v>57</v>
      </c>
      <c r="D29" s="45">
        <f>求节点(节奏总纲!D$4:D$163,节奏总纲!$C$4:$C$163,INDEX(节奏总纲!AA$4:AA$83,C29,1))</f>
        <v>106.86832874572353</v>
      </c>
      <c r="E29" s="45">
        <v>11</v>
      </c>
      <c r="F29" s="44">
        <f t="shared" si="0"/>
        <v>11</v>
      </c>
      <c r="H29" s="44">
        <f>MIN(门客获得情况预估!AJ16,$F29-SUM(I29:$L29))</f>
        <v>0</v>
      </c>
      <c r="I29" s="44">
        <f>MIN(门客获得情况预估!AK16,$F29-SUM(J29:$L29))</f>
        <v>0</v>
      </c>
      <c r="J29" s="44">
        <f>MIN(门客获得情况预估!AL16,$F29-SUM(K29:$L29))</f>
        <v>0</v>
      </c>
      <c r="K29" s="44">
        <f>MIN(门客获得情况预估!AM16,$F29-SUM($L29:L29))</f>
        <v>11</v>
      </c>
      <c r="L29" s="44">
        <f>MIN(门客获得情况预估!AN16,$F29)</f>
        <v>0</v>
      </c>
      <c r="N29" s="44">
        <f>IFERROR(H29/门客获得情况预估!O16,0)</f>
        <v>0</v>
      </c>
      <c r="O29" s="44">
        <f>IFERROR(I29/门客获得情况预估!P16,0)</f>
        <v>0</v>
      </c>
      <c r="P29" s="44">
        <f>IFERROR(J29/门客获得情况预估!Q16,0)</f>
        <v>0</v>
      </c>
      <c r="Q29" s="44">
        <f>IFERROR(K29/门客获得情况预估!R16,0)</f>
        <v>0</v>
      </c>
      <c r="R29" s="44">
        <f>IFERROR(L29/门客获得情况预估!S16,0)</f>
        <v>0</v>
      </c>
      <c r="S29" s="44">
        <f>MAX(N29:R29)*SUMPRODUCT(门客获得情况预估!$C$4:$G$4,门客获得情况预估!$O$6:$S$6)</f>
        <v>0</v>
      </c>
    </row>
    <row r="30" spans="2:20" x14ac:dyDescent="0.15">
      <c r="B30" s="9">
        <v>12</v>
      </c>
      <c r="C30" s="45">
        <f>('[1]功能-城建'!$BJ17+'[1]功能-城建'!$CE17)/2</f>
        <v>62</v>
      </c>
      <c r="D30" s="45">
        <f>求节点(节奏总纲!D$4:D$163,节奏总纲!$C$4:$C$163,INDEX(节奏总纲!AA$4:AA$83,C30,1))</f>
        <v>117.44125295293078</v>
      </c>
      <c r="E30" s="45">
        <v>12</v>
      </c>
      <c r="F30" s="44">
        <f t="shared" si="0"/>
        <v>12</v>
      </c>
      <c r="H30" s="44">
        <f>MIN(门客获得情况预估!AJ17,$F30-SUM(I30:$L30))</f>
        <v>0</v>
      </c>
      <c r="I30" s="44">
        <f>MIN(门客获得情况预估!AK17,$F30-SUM(J30:$L30))</f>
        <v>0</v>
      </c>
      <c r="J30" s="44">
        <f>MIN(门客获得情况预估!AL17,$F30-SUM(K30:$L30))</f>
        <v>0</v>
      </c>
      <c r="K30" s="44">
        <f>MIN(门客获得情况预估!AM17,$F30-SUM($L30:L30))</f>
        <v>12</v>
      </c>
      <c r="L30" s="44">
        <f>MIN(门客获得情况预估!AN17,$F30)</f>
        <v>0</v>
      </c>
      <c r="N30" s="44">
        <f>IFERROR(H30/门客获得情况预估!O17,0)</f>
        <v>0</v>
      </c>
      <c r="O30" s="44">
        <f>IFERROR(I30/门客获得情况预估!P17,0)</f>
        <v>0</v>
      </c>
      <c r="P30" s="44">
        <f>IFERROR(J30/门客获得情况预估!Q17,0)</f>
        <v>0</v>
      </c>
      <c r="Q30" s="44">
        <f>IFERROR(K30/门客获得情况预估!R17,0)</f>
        <v>0</v>
      </c>
      <c r="R30" s="44">
        <f>IFERROR(L30/门客获得情况预估!S17,0)</f>
        <v>0</v>
      </c>
      <c r="S30" s="44">
        <f>MAX(N30:R30)*SUMPRODUCT(门客获得情况预估!$C$4:$G$4,门客获得情况预估!$O$6:$S$6)</f>
        <v>0</v>
      </c>
    </row>
    <row r="31" spans="2:20" x14ac:dyDescent="0.15">
      <c r="B31" s="9">
        <v>13</v>
      </c>
      <c r="C31" s="45">
        <f>('[1]功能-城建'!$BJ18+'[1]功能-城建'!$CE18)/2</f>
        <v>67</v>
      </c>
      <c r="D31" s="45">
        <f>求节点(节奏总纲!D$4:D$163,节奏总纲!$C$4:$C$163,INDEX(节奏总纲!AA$4:AA$83,C31,1))</f>
        <v>128.00586023511804</v>
      </c>
      <c r="E31" s="45">
        <v>13</v>
      </c>
      <c r="F31" s="44">
        <f t="shared" si="0"/>
        <v>13</v>
      </c>
      <c r="H31" s="44">
        <f>MIN(门客获得情况预估!AJ18,$F31-SUM(I31:$L31))</f>
        <v>0</v>
      </c>
      <c r="I31" s="44">
        <f>MIN(门客获得情况预估!AK18,$F31-SUM(J31:$L31))</f>
        <v>0</v>
      </c>
      <c r="J31" s="44">
        <f>MIN(门客获得情况预估!AL18,$F31-SUM(K31:$L31))</f>
        <v>0</v>
      </c>
      <c r="K31" s="44">
        <f>MIN(门客获得情况预估!AM18,$F31-SUM($L31:L31))</f>
        <v>13</v>
      </c>
      <c r="L31" s="44">
        <f>MIN(门客获得情况预估!AN18,$F31)</f>
        <v>0</v>
      </c>
      <c r="N31" s="44">
        <f>IFERROR(H31/门客获得情况预估!O18,0)</f>
        <v>0</v>
      </c>
      <c r="O31" s="44">
        <f>IFERROR(I31/门客获得情况预估!P18,0)</f>
        <v>0</v>
      </c>
      <c r="P31" s="44">
        <f>IFERROR(J31/门客获得情况预估!Q18,0)</f>
        <v>0</v>
      </c>
      <c r="Q31" s="44">
        <f>IFERROR(K31/门客获得情况预估!R18,0)</f>
        <v>0</v>
      </c>
      <c r="R31" s="44">
        <f>IFERROR(L31/门客获得情况预估!S18,0)</f>
        <v>0</v>
      </c>
      <c r="S31" s="44">
        <f>MAX(N31:R31)*SUMPRODUCT(门客获得情况预估!$C$4:$G$4,门客获得情况预估!$O$6:$S$6)</f>
        <v>0</v>
      </c>
    </row>
    <row r="32" spans="2:20" x14ac:dyDescent="0.15">
      <c r="B32" s="9">
        <v>14</v>
      </c>
      <c r="C32" s="45">
        <f>('[1]功能-城建'!$BJ19+'[1]功能-城建'!$CE19)/2</f>
        <v>72</v>
      </c>
      <c r="D32" s="45">
        <f>求节点(节奏总纲!D$4:D$163,节奏总纲!$C$4:$C$163,INDEX(节奏总纲!AA$4:AA$83,C32,1))</f>
        <v>138.53345528648683</v>
      </c>
      <c r="E32" s="45">
        <v>14</v>
      </c>
      <c r="F32" s="44">
        <f t="shared" si="0"/>
        <v>14</v>
      </c>
      <c r="H32" s="44">
        <f>MIN(门客获得情况预估!AJ19,$F32-SUM(I32:$L32))</f>
        <v>0</v>
      </c>
      <c r="I32" s="44">
        <f>MIN(门客获得情况预估!AK19,$F32-SUM(J32:$L32))</f>
        <v>0</v>
      </c>
      <c r="J32" s="44">
        <f>MIN(门客获得情况预估!AL19,$F32-SUM(K32:$L32))</f>
        <v>0</v>
      </c>
      <c r="K32" s="44">
        <f>MIN(门客获得情况预估!AM19,$F32-SUM($L32:L32))</f>
        <v>14</v>
      </c>
      <c r="L32" s="44">
        <f>MIN(门客获得情况预估!AN19,$F32)</f>
        <v>0</v>
      </c>
      <c r="N32" s="44">
        <f>IFERROR(H32/门客获得情况预估!O19,0)</f>
        <v>0</v>
      </c>
      <c r="O32" s="44">
        <f>IFERROR(I32/门客获得情况预估!P19,0)</f>
        <v>0</v>
      </c>
      <c r="P32" s="44">
        <f>IFERROR(J32/门客获得情况预估!Q19,0)</f>
        <v>0</v>
      </c>
      <c r="Q32" s="44">
        <f>IFERROR(K32/门客获得情况预估!R19,0)</f>
        <v>0</v>
      </c>
      <c r="R32" s="44">
        <f>IFERROR(L32/门客获得情况预估!S19,0)</f>
        <v>0</v>
      </c>
      <c r="S32" s="44">
        <f>MAX(N32:R32)*SUMPRODUCT(门客获得情况预估!$C$4:$G$4,门客获得情况预估!$O$6:$S$6)</f>
        <v>0</v>
      </c>
    </row>
    <row r="33" spans="2:19" x14ac:dyDescent="0.15">
      <c r="B33" s="9">
        <v>15</v>
      </c>
      <c r="C33" s="45">
        <f>('[1]功能-城建'!$BJ20+'[1]功能-城建'!$CE20)/2</f>
        <v>77</v>
      </c>
      <c r="D33" s="45">
        <f>求节点(节奏总纲!D$4:D$163,节奏总纲!$C$4:$C$163,INDEX(节奏总纲!AA$4:AA$83,C33,1))</f>
        <v>149.05713970651243</v>
      </c>
      <c r="E33" s="45">
        <v>15</v>
      </c>
      <c r="F33" s="44">
        <f t="shared" si="0"/>
        <v>15</v>
      </c>
      <c r="H33" s="44">
        <f>MIN(门客获得情况预估!AJ20,$F33-SUM(I33:$L33))</f>
        <v>0</v>
      </c>
      <c r="I33" s="44">
        <f>MIN(门客获得情况预估!AK20,$F33-SUM(J33:$L33))</f>
        <v>0</v>
      </c>
      <c r="J33" s="44">
        <f>MIN(门客获得情况预估!AL20,$F33-SUM(K33:$L33))</f>
        <v>0</v>
      </c>
      <c r="K33" s="44">
        <f>MIN(门客获得情况预估!AM20,$F33-SUM($L33:L33))</f>
        <v>15</v>
      </c>
      <c r="L33" s="44">
        <f>MIN(门客获得情况预估!AN20,$F33)</f>
        <v>0</v>
      </c>
      <c r="N33" s="44">
        <f>IFERROR(H33/门客获得情况预估!O20,0)</f>
        <v>0</v>
      </c>
      <c r="O33" s="44">
        <f>IFERROR(I33/门客获得情况预估!P20,0)</f>
        <v>0</v>
      </c>
      <c r="P33" s="44">
        <f>IFERROR(J33/门客获得情况预估!Q20,0)</f>
        <v>0</v>
      </c>
      <c r="Q33" s="44">
        <f>IFERROR(K33/门客获得情况预估!R20,0)</f>
        <v>0</v>
      </c>
      <c r="R33" s="44">
        <f>IFERROR(L33/门客获得情况预估!S20,0)</f>
        <v>0</v>
      </c>
      <c r="S33" s="44">
        <f>MAX(N33:R33)*SUMPRODUCT(门客获得情况预估!$C$4:$G$4,门客获得情况预估!$O$6:$S$6)</f>
        <v>0</v>
      </c>
    </row>
    <row r="34" spans="2:19" x14ac:dyDescent="0.15">
      <c r="B34" s="9">
        <v>16</v>
      </c>
      <c r="C34" s="45">
        <f>('[1]功能-城建'!$BJ21+'[1]功能-城建'!$CE21)/2</f>
        <v>80</v>
      </c>
      <c r="D34" s="45">
        <f>求节点(节奏总纲!D$4:D$163,节奏总纲!$C$4:$C$163,INDEX(节奏总纲!AA$4:AA$83,C34,1))</f>
        <v>155.35264798579232</v>
      </c>
      <c r="E34" s="45">
        <v>16</v>
      </c>
      <c r="F34" s="44">
        <f t="shared" si="0"/>
        <v>16</v>
      </c>
      <c r="H34" s="44">
        <f>MIN(门客获得情况预估!AJ21,$F34-SUM(I34:$L34))</f>
        <v>0</v>
      </c>
      <c r="I34" s="44">
        <f>MIN(门客获得情况预估!AK21,$F34-SUM(J34:$L34))</f>
        <v>0</v>
      </c>
      <c r="J34" s="44">
        <f>MIN(门客获得情况预估!AL21,$F34-SUM(K34:$L34))</f>
        <v>0</v>
      </c>
      <c r="K34" s="44">
        <f>MIN(门客获得情况预估!AM21,$F34-SUM($L34:L34))</f>
        <v>16</v>
      </c>
      <c r="L34" s="44">
        <f>MIN(门客获得情况预估!AN21,$F34)</f>
        <v>0</v>
      </c>
      <c r="N34" s="44">
        <f>IFERROR(H34/门客获得情况预估!O21,0)</f>
        <v>0</v>
      </c>
      <c r="O34" s="44">
        <f>IFERROR(I34/门客获得情况预估!P21,0)</f>
        <v>0</v>
      </c>
      <c r="P34" s="44">
        <f>IFERROR(J34/门客获得情况预估!Q21,0)</f>
        <v>0</v>
      </c>
      <c r="Q34" s="44">
        <f>IFERROR(K34/门客获得情况预估!R21,0)</f>
        <v>0</v>
      </c>
      <c r="R34" s="44">
        <f>IFERROR(L34/门客获得情况预估!S21,0)</f>
        <v>0</v>
      </c>
      <c r="S34" s="44">
        <f>MAX(N34:R34)*SUMPRODUCT(门客获得情况预估!$C$4:$G$4,门客获得情况预估!$O$6:$S$6)</f>
        <v>0</v>
      </c>
    </row>
    <row r="35" spans="2:19" x14ac:dyDescent="0.15">
      <c r="C35" s="9"/>
      <c r="D35" s="9"/>
      <c r="E35" s="9"/>
    </row>
    <row r="36" spans="2:19" x14ac:dyDescent="0.15">
      <c r="C36" s="9"/>
      <c r="D36" s="9"/>
    </row>
    <row r="37" spans="2:19" x14ac:dyDescent="0.15">
      <c r="C37" s="7"/>
      <c r="D37" s="7"/>
      <c r="E37" s="7"/>
    </row>
    <row r="38" spans="2:19" x14ac:dyDescent="0.15">
      <c r="C38" s="7"/>
      <c r="D38" s="7"/>
      <c r="E38" s="7"/>
    </row>
    <row r="39" spans="2:19" x14ac:dyDescent="0.15">
      <c r="C39" s="9"/>
      <c r="D39" s="9"/>
      <c r="E39" s="9"/>
    </row>
    <row r="40" spans="2:19" x14ac:dyDescent="0.15">
      <c r="C40" s="7" t="s">
        <v>17</v>
      </c>
      <c r="E40" s="9"/>
      <c r="H40" s="130" t="s">
        <v>40</v>
      </c>
      <c r="I40" s="130"/>
      <c r="J40" s="130"/>
      <c r="K40" s="130"/>
      <c r="L40" s="130"/>
      <c r="N40" s="130" t="s">
        <v>87</v>
      </c>
      <c r="O40" s="130"/>
      <c r="P40" s="130"/>
      <c r="Q40" s="130"/>
      <c r="R40" s="130"/>
      <c r="S40" s="130"/>
    </row>
    <row r="41" spans="2:19" x14ac:dyDescent="0.15">
      <c r="C41" s="24" t="s">
        <v>90</v>
      </c>
      <c r="D41" s="24" t="s">
        <v>103</v>
      </c>
      <c r="E41" s="24" t="s">
        <v>21</v>
      </c>
      <c r="F41" s="4" t="s">
        <v>32</v>
      </c>
      <c r="H41" s="4" t="s">
        <v>33</v>
      </c>
      <c r="I41" s="4" t="s">
        <v>34</v>
      </c>
      <c r="J41" s="4" t="s">
        <v>35</v>
      </c>
      <c r="K41" s="4" t="s">
        <v>36</v>
      </c>
      <c r="L41" s="4" t="s">
        <v>37</v>
      </c>
      <c r="N41" s="18" t="s">
        <v>33</v>
      </c>
      <c r="O41" s="18" t="s">
        <v>34</v>
      </c>
      <c r="P41" s="18" t="s">
        <v>10</v>
      </c>
      <c r="Q41" s="18" t="s">
        <v>36</v>
      </c>
      <c r="R41" s="18" t="s">
        <v>37</v>
      </c>
      <c r="S41" s="18" t="s">
        <v>86</v>
      </c>
    </row>
    <row r="42" spans="2:19" x14ac:dyDescent="0.15">
      <c r="B42" s="9">
        <v>1</v>
      </c>
      <c r="C42" s="24">
        <f>C19</f>
        <v>16</v>
      </c>
      <c r="D42" s="24">
        <f>求节点(节奏总纲!E$4:E$163,节奏总纲!$C$4:$C$163,INDEX(节奏总纲!AB$4:AB$83,C42,1))</f>
        <v>17.420973982667814</v>
      </c>
      <c r="E42" s="24">
        <v>1</v>
      </c>
      <c r="F42" s="4">
        <f t="shared" ref="F42:F57" si="1">IFERROR(INT(求节点($C$2:$C$11,$D$2:$D$11,$E42)),0)</f>
        <v>1</v>
      </c>
      <c r="H42" s="23">
        <f>MIN(门客获得情况预估!AJ29,$F42-SUM(I42:$L42))</f>
        <v>0.6373182970867648</v>
      </c>
      <c r="I42" s="23">
        <f>MIN(门客获得情况预估!AK29,$F42-SUM(J42:$L42))</f>
        <v>0.3626817029132352</v>
      </c>
      <c r="J42" s="23">
        <f>MIN(门客获得情况预估!AL29,$F42-SUM(K42:$L42))</f>
        <v>0</v>
      </c>
      <c r="K42" s="23">
        <f>MIN(门客获得情况预估!AM29,$F42-SUM($L42:L42))</f>
        <v>0</v>
      </c>
      <c r="L42" s="23">
        <f>MIN(门客获得情况预估!AN29,$F42)</f>
        <v>0</v>
      </c>
      <c r="N42" s="18">
        <f>IFERROR(H42/门客获得情况预估!O29,0)</f>
        <v>0</v>
      </c>
      <c r="O42" s="18">
        <f>IFERROR(I42/门客获得情况预估!P29,0)</f>
        <v>0</v>
      </c>
      <c r="P42" s="18">
        <f>IFERROR(J42/门客获得情况预估!Q29,0)</f>
        <v>0</v>
      </c>
      <c r="Q42" s="18">
        <f>IFERROR(K42/门客获得情况预估!R29,0)</f>
        <v>0</v>
      </c>
      <c r="R42" s="18">
        <f>IFERROR(L42/门客获得情况预估!S29,0)</f>
        <v>0</v>
      </c>
      <c r="S42" s="18">
        <f>MAX(N42:R42)*SUMPRODUCT(门客获得情况预估!$C$4:$G$4,门客获得情况预估!$O$6:$S$6)</f>
        <v>0</v>
      </c>
    </row>
    <row r="43" spans="2:19" x14ac:dyDescent="0.15">
      <c r="B43" s="9">
        <v>2</v>
      </c>
      <c r="C43" s="45">
        <f t="shared" ref="C43:C57" si="2">C20</f>
        <v>19.5</v>
      </c>
      <c r="D43" s="45">
        <f>求节点(节奏总纲!E$4:E$163,节奏总纲!$C$4:$C$163,INDEX(节奏总纲!AB$4:AB$83,C43,1))</f>
        <v>23.346355732194773</v>
      </c>
      <c r="E43" s="24">
        <v>2</v>
      </c>
      <c r="F43" s="4">
        <f t="shared" si="1"/>
        <v>2</v>
      </c>
      <c r="H43" s="23">
        <f>MIN(门客获得情况预估!AJ30,$F43-SUM(I43:$L43))</f>
        <v>1.3110146382620775</v>
      </c>
      <c r="I43" s="23">
        <f>MIN(门客获得情况预估!AK30,$F43-SUM(J43:$L43))</f>
        <v>0.68898536173792246</v>
      </c>
      <c r="J43" s="23">
        <f>MIN(门客获得情况预估!AL30,$F43-SUM(K43:$L43))</f>
        <v>0</v>
      </c>
      <c r="K43" s="23">
        <f>MIN(门客获得情况预估!AM30,$F43-SUM($L43:L43))</f>
        <v>0</v>
      </c>
      <c r="L43" s="23">
        <f>MIN(门客获得情况预估!AN30,$F43)</f>
        <v>0</v>
      </c>
      <c r="N43" s="18">
        <f>IFERROR(H43/门客获得情况预估!O30,0)</f>
        <v>0</v>
      </c>
      <c r="O43" s="18">
        <f>IFERROR(I43/门客获得情况预估!P30,0)</f>
        <v>0</v>
      </c>
      <c r="P43" s="18">
        <f>IFERROR(J43/门客获得情况预估!Q30,0)</f>
        <v>0</v>
      </c>
      <c r="Q43" s="18">
        <f>IFERROR(K43/门客获得情况预估!R30,0)</f>
        <v>0</v>
      </c>
      <c r="R43" s="18">
        <f>IFERROR(L43/门客获得情况预估!S30,0)</f>
        <v>0</v>
      </c>
      <c r="S43" s="18">
        <f>MAX(N43:R43)*SUMPRODUCT(门客获得情况预估!$C$4:$G$4,门客获得情况预估!$O$6:$S$6)</f>
        <v>0</v>
      </c>
    </row>
    <row r="44" spans="2:19" x14ac:dyDescent="0.15">
      <c r="B44" s="9">
        <v>3</v>
      </c>
      <c r="C44" s="45">
        <f t="shared" si="2"/>
        <v>23.5</v>
      </c>
      <c r="D44" s="45">
        <f>求节点(节奏总纲!E$4:E$163,节奏总纲!$C$4:$C$163,INDEX(节奏总纲!AB$4:AB$83,C44,1))</f>
        <v>31.845462834406923</v>
      </c>
      <c r="E44" s="24">
        <v>3</v>
      </c>
      <c r="F44" s="4">
        <f t="shared" si="1"/>
        <v>3</v>
      </c>
      <c r="H44" s="23">
        <f>MIN(门客获得情况预估!AJ31,$F44-SUM(I44:$L44))</f>
        <v>1.6207123032629396</v>
      </c>
      <c r="I44" s="23">
        <f>MIN(门客获得情况预估!AK31,$F44-SUM(J44:$L44))</f>
        <v>1.3792876967370604</v>
      </c>
      <c r="J44" s="23">
        <f>MIN(门客获得情况预估!AL31,$F44-SUM(K44:$L44))</f>
        <v>0</v>
      </c>
      <c r="K44" s="23">
        <f>MIN(门客获得情况预估!AM31,$F44-SUM($L44:L44))</f>
        <v>0</v>
      </c>
      <c r="L44" s="23">
        <f>MIN(门客获得情况预估!AN31,$F44)</f>
        <v>0</v>
      </c>
      <c r="N44" s="18">
        <f>IFERROR(H44/门客获得情况预估!O31,0)</f>
        <v>0</v>
      </c>
      <c r="O44" s="18">
        <f>IFERROR(I44/门客获得情况预估!P31,0)</f>
        <v>0</v>
      </c>
      <c r="P44" s="18">
        <f>IFERROR(J44/门客获得情况预估!Q31,0)</f>
        <v>0</v>
      </c>
      <c r="Q44" s="18">
        <f>IFERROR(K44/门客获得情况预估!R31,0)</f>
        <v>0</v>
      </c>
      <c r="R44" s="18">
        <f>IFERROR(L44/门客获得情况预估!S31,0)</f>
        <v>0</v>
      </c>
      <c r="S44" s="18">
        <f>MAX(N44:R44)*SUMPRODUCT(门客获得情况预估!$C$4:$G$4,门客获得情况预估!$O$6:$S$6)</f>
        <v>0</v>
      </c>
    </row>
    <row r="45" spans="2:19" x14ac:dyDescent="0.15">
      <c r="B45" s="9">
        <v>4</v>
      </c>
      <c r="C45" s="45">
        <f t="shared" si="2"/>
        <v>27.5</v>
      </c>
      <c r="D45" s="45">
        <f>求节点(节奏总纲!E$4:E$163,节奏总纲!$C$4:$C$163,INDEX(节奏总纲!AB$4:AB$83,C45,1))</f>
        <v>40.787439392565133</v>
      </c>
      <c r="E45" s="24">
        <v>4</v>
      </c>
      <c r="F45" s="4">
        <f t="shared" si="1"/>
        <v>4</v>
      </c>
      <c r="H45" s="23">
        <f>MIN(门客获得情况预估!AJ32,$F45-SUM(I45:$L45))</f>
        <v>1.3042538374306596</v>
      </c>
      <c r="I45" s="23">
        <f>MIN(门客获得情况预估!AK32,$F45-SUM(J45:$L45))</f>
        <v>2.6957461625693404</v>
      </c>
      <c r="J45" s="23">
        <f>MIN(门客获得情况预估!AL32,$F45-SUM(K45:$L45))</f>
        <v>0</v>
      </c>
      <c r="K45" s="23">
        <f>MIN(门客获得情况预估!AM32,$F45-SUM($L45:L45))</f>
        <v>0</v>
      </c>
      <c r="L45" s="23">
        <f>MIN(门客获得情况预估!AN32,$F45)</f>
        <v>0</v>
      </c>
      <c r="N45" s="18">
        <f>IFERROR(H45/门客获得情况预估!O32,0)</f>
        <v>0</v>
      </c>
      <c r="O45" s="18">
        <f>IFERROR(I45/门客获得情况预估!P32,0)</f>
        <v>0</v>
      </c>
      <c r="P45" s="18">
        <f>IFERROR(J45/门客获得情况预估!Q32,0)</f>
        <v>0</v>
      </c>
      <c r="Q45" s="18">
        <f>IFERROR(K45/门客获得情况预估!R32,0)</f>
        <v>0</v>
      </c>
      <c r="R45" s="18">
        <f>IFERROR(L45/门客获得情况预估!S32,0)</f>
        <v>0</v>
      </c>
      <c r="S45" s="18">
        <f>MAX(N45:R45)*SUMPRODUCT(门客获得情况预估!$C$4:$G$4,门客获得情况预估!$O$6:$S$6)</f>
        <v>0</v>
      </c>
    </row>
    <row r="46" spans="2:19" x14ac:dyDescent="0.15">
      <c r="B46" s="9">
        <v>5</v>
      </c>
      <c r="C46" s="45">
        <f t="shared" si="2"/>
        <v>31.5</v>
      </c>
      <c r="D46" s="45">
        <f>求节点(节奏总纲!E$4:E$163,节奏总纲!$C$4:$C$163,INDEX(节奏总纲!AB$4:AB$83,C46,1))</f>
        <v>49.81327866937707</v>
      </c>
      <c r="E46" s="24">
        <v>5</v>
      </c>
      <c r="F46" s="4">
        <f t="shared" si="1"/>
        <v>5</v>
      </c>
      <c r="H46" s="23">
        <f>MIN(门客获得情况预估!AJ33,$F46-SUM(I46:$L46))</f>
        <v>0</v>
      </c>
      <c r="I46" s="23">
        <f>MIN(门客获得情况预估!AK33,$F46-SUM(J46:$L46))</f>
        <v>2.2237345506612849</v>
      </c>
      <c r="J46" s="23">
        <f>MIN(门客获得情况预估!AL33,$F46-SUM(K46:$L46))</f>
        <v>2.1841769662258099</v>
      </c>
      <c r="K46" s="23">
        <f>MIN(门客获得情况预估!AM33,$F46-SUM($L46:L46))</f>
        <v>0.59208848311290496</v>
      </c>
      <c r="L46" s="23">
        <f>MIN(门客获得情况预估!AN33,$F46)</f>
        <v>0</v>
      </c>
      <c r="N46" s="18">
        <f>IFERROR(H46/门客获得情况预估!O33,0)</f>
        <v>0</v>
      </c>
      <c r="O46" s="18">
        <f>IFERROR(I46/门客获得情况预估!P33,0)</f>
        <v>0</v>
      </c>
      <c r="P46" s="18">
        <f>IFERROR(J46/门客获得情况预估!Q33,0)</f>
        <v>0</v>
      </c>
      <c r="Q46" s="18">
        <f>IFERROR(K46/门客获得情况预估!R33,0)</f>
        <v>0</v>
      </c>
      <c r="R46" s="18">
        <f>IFERROR(L46/门客获得情况预估!S33,0)</f>
        <v>0</v>
      </c>
      <c r="S46" s="18">
        <f>MAX(N46:R46)*SUMPRODUCT(门客获得情况预估!$C$4:$G$4,门客获得情况预估!$O$6:$S$6)</f>
        <v>0</v>
      </c>
    </row>
    <row r="47" spans="2:19" x14ac:dyDescent="0.15">
      <c r="B47" s="9">
        <v>6</v>
      </c>
      <c r="C47" s="45">
        <f t="shared" si="2"/>
        <v>35.5</v>
      </c>
      <c r="D47" s="45">
        <f>求节点(节奏总纲!E$4:E$163,节奏总纲!$C$4:$C$163,INDEX(节奏总纲!AB$4:AB$83,C47,1))</f>
        <v>58.959670032750353</v>
      </c>
      <c r="E47" s="24">
        <v>6</v>
      </c>
      <c r="F47" s="4">
        <f t="shared" si="1"/>
        <v>6</v>
      </c>
      <c r="H47" s="23">
        <f>MIN(门客获得情况预估!AJ34,$F47-SUM(I47:$L47))</f>
        <v>0</v>
      </c>
      <c r="I47" s="23">
        <f>MIN(门客获得情况预估!AK34,$F47-SUM(J47:$L47))</f>
        <v>0</v>
      </c>
      <c r="J47" s="23">
        <f>MIN(门客获得情况预估!AL34,$F47-SUM(K47:$L47))</f>
        <v>3.0983263690354175</v>
      </c>
      <c r="K47" s="23">
        <f>MIN(门客获得情况预估!AM34,$F47-SUM($L47:L47))</f>
        <v>2.9016736309645825</v>
      </c>
      <c r="L47" s="23">
        <f>MIN(门客获得情况预估!AN34,$F47)</f>
        <v>0</v>
      </c>
      <c r="N47" s="18">
        <f>IFERROR(H47/门客获得情况预估!O34,0)</f>
        <v>0</v>
      </c>
      <c r="O47" s="18">
        <f>IFERROR(I47/门客获得情况预估!P34,0)</f>
        <v>0</v>
      </c>
      <c r="P47" s="18">
        <f>IFERROR(J47/门客获得情况预估!Q34,0)</f>
        <v>0</v>
      </c>
      <c r="Q47" s="18">
        <f>IFERROR(K47/门客获得情况预估!R34,0)</f>
        <v>0</v>
      </c>
      <c r="R47" s="18">
        <f>IFERROR(L47/门客获得情况预估!S34,0)</f>
        <v>0</v>
      </c>
      <c r="S47" s="18">
        <f>MAX(N47:R47)*SUMPRODUCT(门客获得情况预估!$C$4:$G$4,门客获得情况预估!$O$6:$S$6)</f>
        <v>0</v>
      </c>
    </row>
    <row r="48" spans="2:19" x14ac:dyDescent="0.15">
      <c r="B48" s="9">
        <v>7</v>
      </c>
      <c r="C48" s="45">
        <f t="shared" si="2"/>
        <v>39.5</v>
      </c>
      <c r="D48" s="45">
        <f>求节点(节奏总纲!E$4:E$163,节奏总纲!$C$4:$C$163,INDEX(节奏总纲!AB$4:AB$83,C48,1))</f>
        <v>67.444013295864096</v>
      </c>
      <c r="E48" s="24">
        <v>7</v>
      </c>
      <c r="F48" s="4">
        <f t="shared" si="1"/>
        <v>7</v>
      </c>
      <c r="H48" s="23">
        <f>MIN(门客获得情况预估!AJ35,$F48-SUM(I48:$L48))</f>
        <v>0</v>
      </c>
      <c r="I48" s="23">
        <f>MIN(门客获得情况预估!AK35,$F48-SUM(J48:$L48))</f>
        <v>0</v>
      </c>
      <c r="J48" s="23">
        <f>MIN(门客获得情况预估!AL35,$F48-SUM(K48:$L48))</f>
        <v>9.8475321929284654E-2</v>
      </c>
      <c r="K48" s="23">
        <f>MIN(门客获得情况预估!AM35,$F48-SUM($L48:L48))</f>
        <v>6.9015246780707153</v>
      </c>
      <c r="L48" s="23">
        <f>MIN(门客获得情况预估!AN35,$F48)</f>
        <v>0</v>
      </c>
      <c r="N48" s="18">
        <f>IFERROR(H48/门客获得情况预估!O35,0)</f>
        <v>0</v>
      </c>
      <c r="O48" s="18">
        <f>IFERROR(I48/门客获得情况预估!P35,0)</f>
        <v>0</v>
      </c>
      <c r="P48" s="18">
        <f>IFERROR(J48/门客获得情况预估!Q35,0)</f>
        <v>0</v>
      </c>
      <c r="Q48" s="18">
        <f>IFERROR(K48/门客获得情况预估!R35,0)</f>
        <v>0</v>
      </c>
      <c r="R48" s="18">
        <f>IFERROR(L48/门客获得情况预估!S35,0)</f>
        <v>0</v>
      </c>
      <c r="S48" s="18">
        <f>MAX(N48:R48)*SUMPRODUCT(门客获得情况预估!$C$4:$G$4,门客获得情况预估!$O$6:$S$6)</f>
        <v>0</v>
      </c>
    </row>
    <row r="49" spans="2:19" x14ac:dyDescent="0.15">
      <c r="B49" s="9">
        <v>8</v>
      </c>
      <c r="C49" s="45">
        <f t="shared" si="2"/>
        <v>43.5</v>
      </c>
      <c r="D49" s="45">
        <f>求节点(节奏总纲!E$4:E$163,节奏总纲!$C$4:$C$163,INDEX(节奏总纲!AB$4:AB$83,C49,1))</f>
        <v>76.018081402346411</v>
      </c>
      <c r="E49" s="24">
        <v>8</v>
      </c>
      <c r="F49" s="4">
        <f t="shared" si="1"/>
        <v>8</v>
      </c>
      <c r="H49" s="23">
        <f>MIN(门客获得情况预估!AJ36,$F49-SUM(I49:$L49))</f>
        <v>0</v>
      </c>
      <c r="I49" s="23">
        <f>MIN(门客获得情况预估!AK36,$F49-SUM(J49:$L49))</f>
        <v>0</v>
      </c>
      <c r="J49" s="23">
        <f>MIN(门客获得情况预估!AL36,$F49-SUM(K49:$L49))</f>
        <v>0</v>
      </c>
      <c r="K49" s="23">
        <f>MIN(门客获得情况预估!AM36,$F49-SUM($L49:L49))</f>
        <v>8</v>
      </c>
      <c r="L49" s="23">
        <f>MIN(门客获得情况预估!AN36,$F49)</f>
        <v>0</v>
      </c>
      <c r="N49" s="18">
        <f>IFERROR(H49/门客获得情况预估!O36,0)</f>
        <v>0</v>
      </c>
      <c r="O49" s="18">
        <f>IFERROR(I49/门客获得情况预估!P36,0)</f>
        <v>0</v>
      </c>
      <c r="P49" s="18">
        <f>IFERROR(J49/门客获得情况预估!Q36,0)</f>
        <v>0</v>
      </c>
      <c r="Q49" s="18">
        <f>IFERROR(K49/门客获得情况预估!R36,0)</f>
        <v>0</v>
      </c>
      <c r="R49" s="18">
        <f>IFERROR(L49/门客获得情况预估!S36,0)</f>
        <v>0</v>
      </c>
      <c r="S49" s="18">
        <f>MAX(N49:R49)*SUMPRODUCT(门客获得情况预估!$C$4:$G$4,门客获得情况预估!$O$6:$S$6)</f>
        <v>0</v>
      </c>
    </row>
    <row r="50" spans="2:19" x14ac:dyDescent="0.15">
      <c r="B50" s="9">
        <v>9</v>
      </c>
      <c r="C50" s="45">
        <f t="shared" si="2"/>
        <v>47.5</v>
      </c>
      <c r="D50" s="45">
        <f>求节点(节奏总纲!E$4:E$163,节奏总纲!$C$4:$C$163,INDEX(节奏总纲!AB$4:AB$83,C50,1))</f>
        <v>84.53544812855209</v>
      </c>
      <c r="E50" s="24">
        <v>9</v>
      </c>
      <c r="F50" s="4">
        <f t="shared" si="1"/>
        <v>9</v>
      </c>
      <c r="H50" s="23">
        <f>MIN(门客获得情况预估!AJ37,$F50-SUM(I50:$L50))</f>
        <v>0</v>
      </c>
      <c r="I50" s="23">
        <f>MIN(门客获得情况预估!AK37,$F50-SUM(J50:$L50))</f>
        <v>0</v>
      </c>
      <c r="J50" s="23">
        <f>MIN(门客获得情况预估!AL37,$F50-SUM(K50:$L50))</f>
        <v>0</v>
      </c>
      <c r="K50" s="23">
        <f>MIN(门客获得情况预估!AM37,$F50-SUM($L50:L50))</f>
        <v>9</v>
      </c>
      <c r="L50" s="23">
        <f>MIN(门客获得情况预估!AN37,$F50)</f>
        <v>0</v>
      </c>
      <c r="N50" s="18">
        <f>IFERROR(H50/门客获得情况预估!O37,0)</f>
        <v>0</v>
      </c>
      <c r="O50" s="18">
        <f>IFERROR(I50/门客获得情况预估!P37,0)</f>
        <v>0</v>
      </c>
      <c r="P50" s="18">
        <f>IFERROR(J50/门客获得情况预估!Q37,0)</f>
        <v>0</v>
      </c>
      <c r="Q50" s="18">
        <f>IFERROR(K50/门客获得情况预估!R37,0)</f>
        <v>0</v>
      </c>
      <c r="R50" s="18">
        <f>IFERROR(L50/门客获得情况预估!S37,0)</f>
        <v>0</v>
      </c>
      <c r="S50" s="18">
        <f>MAX(N50:R50)*SUMPRODUCT(门客获得情况预估!$C$4:$G$4,门客获得情况预估!$O$6:$S$6)</f>
        <v>0</v>
      </c>
    </row>
    <row r="51" spans="2:19" x14ac:dyDescent="0.15">
      <c r="B51" s="9">
        <v>10</v>
      </c>
      <c r="C51" s="45">
        <f t="shared" si="2"/>
        <v>52</v>
      </c>
      <c r="D51" s="45">
        <f>求节点(节奏总纲!E$4:E$163,节奏总纲!$C$4:$C$163,INDEX(节奏总纲!AB$4:AB$83,C51,1))</f>
        <v>95.320056465518832</v>
      </c>
      <c r="E51" s="24">
        <v>10</v>
      </c>
      <c r="F51" s="4">
        <f t="shared" si="1"/>
        <v>10</v>
      </c>
      <c r="H51" s="23">
        <f>MIN(门客获得情况预估!AJ38,$F51-SUM(I51:$L51))</f>
        <v>0</v>
      </c>
      <c r="I51" s="23">
        <f>MIN(门客获得情况预估!AK38,$F51-SUM(J51:$L51))</f>
        <v>0</v>
      </c>
      <c r="J51" s="23">
        <f>MIN(门客获得情况预估!AL38,$F51-SUM(K51:$L51))</f>
        <v>0</v>
      </c>
      <c r="K51" s="23">
        <f>MIN(门客获得情况预估!AM38,$F51-SUM($L51:L51))</f>
        <v>10</v>
      </c>
      <c r="L51" s="23">
        <f>MIN(门客获得情况预估!AN38,$F51)</f>
        <v>0</v>
      </c>
      <c r="N51" s="18">
        <f>IFERROR(H51/门客获得情况预估!O38,0)</f>
        <v>0</v>
      </c>
      <c r="O51" s="18">
        <f>IFERROR(I51/门客获得情况预估!P38,0)</f>
        <v>0</v>
      </c>
      <c r="P51" s="18">
        <f>IFERROR(J51/门客获得情况预估!Q38,0)</f>
        <v>0</v>
      </c>
      <c r="Q51" s="18">
        <f>IFERROR(K51/门客获得情况预估!R38,0)</f>
        <v>0</v>
      </c>
      <c r="R51" s="18">
        <f>IFERROR(L51/门客获得情况预估!S38,0)</f>
        <v>0</v>
      </c>
      <c r="S51" s="18">
        <f>MAX(N51:R51)*SUMPRODUCT(门客获得情况预估!$C$4:$G$4,门客获得情况预估!$O$6:$S$6)</f>
        <v>0</v>
      </c>
    </row>
    <row r="52" spans="2:19" x14ac:dyDescent="0.15">
      <c r="B52" s="9">
        <v>11</v>
      </c>
      <c r="C52" s="45">
        <f t="shared" si="2"/>
        <v>57</v>
      </c>
      <c r="D52" s="45">
        <f>求节点(节奏总纲!E$4:E$163,节奏总纲!$C$4:$C$163,INDEX(节奏总纲!AB$4:AB$83,C52,1))</f>
        <v>105.93060744042049</v>
      </c>
      <c r="E52" s="45">
        <v>11</v>
      </c>
      <c r="F52" s="44">
        <f t="shared" si="1"/>
        <v>11</v>
      </c>
      <c r="H52" s="44">
        <f>MIN(门客获得情况预估!AJ39,$F52-SUM(I52:$L52))</f>
        <v>0</v>
      </c>
      <c r="I52" s="44">
        <f>MIN(门客获得情况预估!AK39,$F52-SUM(J52:$L52))</f>
        <v>0</v>
      </c>
      <c r="J52" s="44">
        <f>MIN(门客获得情况预估!AL39,$F52-SUM(K52:$L52))</f>
        <v>0</v>
      </c>
      <c r="K52" s="44">
        <f>MIN(门客获得情况预估!AM39,$F52-SUM($L52:L52))</f>
        <v>11</v>
      </c>
      <c r="L52" s="44">
        <f>MIN(门客获得情况预估!AN39,$F52)</f>
        <v>0</v>
      </c>
      <c r="N52" s="44">
        <f>IFERROR(H52/门客获得情况预估!O39,0)</f>
        <v>0</v>
      </c>
      <c r="O52" s="44">
        <f>IFERROR(I52/门客获得情况预估!P39,0)</f>
        <v>0</v>
      </c>
      <c r="P52" s="44">
        <f>IFERROR(J52/门客获得情况预估!Q39,0)</f>
        <v>0</v>
      </c>
      <c r="Q52" s="44">
        <f>IFERROR(K52/门客获得情况预估!R39,0)</f>
        <v>0</v>
      </c>
      <c r="R52" s="44">
        <f>IFERROR(L52/门客获得情况预估!S39,0)</f>
        <v>0</v>
      </c>
      <c r="S52" s="44">
        <f>MAX(N52:R52)*SUMPRODUCT(门客获得情况预估!$C$4:$G$4,门客获得情况预估!$O$6:$S$6)</f>
        <v>0</v>
      </c>
    </row>
    <row r="53" spans="2:19" x14ac:dyDescent="0.15">
      <c r="B53" s="9">
        <v>12</v>
      </c>
      <c r="C53" s="45">
        <f t="shared" si="2"/>
        <v>62</v>
      </c>
      <c r="D53" s="45">
        <f>求节点(节奏总纲!E$4:E$163,节奏总纲!$C$4:$C$163,INDEX(节奏总纲!AB$4:AB$83,C53,1))</f>
        <v>116.57008716694446</v>
      </c>
      <c r="E53" s="45">
        <v>12</v>
      </c>
      <c r="F53" s="44">
        <f t="shared" si="1"/>
        <v>12</v>
      </c>
      <c r="H53" s="44">
        <f>MIN(门客获得情况预估!AJ40,$F53-SUM(I53:$L53))</f>
        <v>0</v>
      </c>
      <c r="I53" s="44">
        <f>MIN(门客获得情况预估!AK40,$F53-SUM(J53:$L53))</f>
        <v>0</v>
      </c>
      <c r="J53" s="44">
        <f>MIN(门客获得情况预估!AL40,$F53-SUM(K53:$L53))</f>
        <v>0</v>
      </c>
      <c r="K53" s="44">
        <f>MIN(门客获得情况预估!AM40,$F53-SUM($L53:L53))</f>
        <v>12</v>
      </c>
      <c r="L53" s="44">
        <f>MIN(门客获得情况预估!AN40,$F53)</f>
        <v>0</v>
      </c>
      <c r="N53" s="44">
        <f>IFERROR(H53/门客获得情况预估!O40,0)</f>
        <v>0</v>
      </c>
      <c r="O53" s="44">
        <f>IFERROR(I53/门客获得情况预估!P40,0)</f>
        <v>0</v>
      </c>
      <c r="P53" s="44">
        <f>IFERROR(J53/门客获得情况预估!Q40,0)</f>
        <v>0</v>
      </c>
      <c r="Q53" s="44">
        <f>IFERROR(K53/门客获得情况预估!R40,0)</f>
        <v>0</v>
      </c>
      <c r="R53" s="44">
        <f>IFERROR(L53/门客获得情况预估!S40,0)</f>
        <v>0</v>
      </c>
      <c r="S53" s="44">
        <f>MAX(N53:R53)*SUMPRODUCT(门客获得情况预估!$C$4:$G$4,门客获得情况预估!$O$6:$S$6)</f>
        <v>0</v>
      </c>
    </row>
    <row r="54" spans="2:19" x14ac:dyDescent="0.15">
      <c r="B54" s="9">
        <v>13</v>
      </c>
      <c r="C54" s="45">
        <f t="shared" si="2"/>
        <v>67</v>
      </c>
      <c r="D54" s="45">
        <f>求节点(节奏总纲!E$4:E$163,节奏总纲!$C$4:$C$163,INDEX(节奏总纲!AB$4:AB$83,C54,1))</f>
        <v>127.12838978012395</v>
      </c>
      <c r="E54" s="45">
        <v>13</v>
      </c>
      <c r="F54" s="44">
        <f t="shared" si="1"/>
        <v>13</v>
      </c>
      <c r="H54" s="44">
        <f>MIN(门客获得情况预估!AJ41,$F54-SUM(I54:$L54))</f>
        <v>0</v>
      </c>
      <c r="I54" s="44">
        <f>MIN(门客获得情况预估!AK41,$F54-SUM(J54:$L54))</f>
        <v>0</v>
      </c>
      <c r="J54" s="44">
        <f>MIN(门客获得情况预估!AL41,$F54-SUM(K54:$L54))</f>
        <v>0</v>
      </c>
      <c r="K54" s="44">
        <f>MIN(门客获得情况预估!AM41,$F54-SUM($L54:L54))</f>
        <v>13</v>
      </c>
      <c r="L54" s="44">
        <f>MIN(门客获得情况预估!AN41,$F54)</f>
        <v>0</v>
      </c>
      <c r="N54" s="44">
        <f>IFERROR(H54/门客获得情况预估!O41,0)</f>
        <v>0</v>
      </c>
      <c r="O54" s="44">
        <f>IFERROR(I54/门客获得情况预估!P41,0)</f>
        <v>0</v>
      </c>
      <c r="P54" s="44">
        <f>IFERROR(J54/门客获得情况预估!Q41,0)</f>
        <v>0</v>
      </c>
      <c r="Q54" s="44">
        <f>IFERROR(K54/门客获得情况预估!R41,0)</f>
        <v>0</v>
      </c>
      <c r="R54" s="44">
        <f>IFERROR(L54/门客获得情况预估!S41,0)</f>
        <v>0</v>
      </c>
      <c r="S54" s="44">
        <f>MAX(N54:R54)*SUMPRODUCT(门客获得情况预估!$C$4:$G$4,门客获得情况预估!$O$6:$S$6)</f>
        <v>0</v>
      </c>
    </row>
    <row r="55" spans="2:19" x14ac:dyDescent="0.15">
      <c r="B55" s="9">
        <v>14</v>
      </c>
      <c r="C55" s="45">
        <f t="shared" si="2"/>
        <v>72</v>
      </c>
      <c r="D55" s="45">
        <f>求节点(节奏总纲!E$4:E$163,节奏总纲!$C$4:$C$163,INDEX(节奏总纲!AB$4:AB$83,C55,1))</f>
        <v>137.70627422196659</v>
      </c>
      <c r="E55" s="45">
        <v>14</v>
      </c>
      <c r="F55" s="44">
        <f t="shared" si="1"/>
        <v>14</v>
      </c>
      <c r="H55" s="44">
        <f>MIN(门客获得情况预估!AJ42,$F55-SUM(I55:$L55))</f>
        <v>0</v>
      </c>
      <c r="I55" s="44">
        <f>MIN(门客获得情况预估!AK42,$F55-SUM(J55:$L55))</f>
        <v>0</v>
      </c>
      <c r="J55" s="44">
        <f>MIN(门客获得情况预估!AL42,$F55-SUM(K55:$L55))</f>
        <v>0</v>
      </c>
      <c r="K55" s="44">
        <f>MIN(门客获得情况预估!AM42,$F55-SUM($L55:L55))</f>
        <v>14</v>
      </c>
      <c r="L55" s="44">
        <f>MIN(门客获得情况预估!AN42,$F55)</f>
        <v>0</v>
      </c>
      <c r="N55" s="44">
        <f>IFERROR(H55/门客获得情况预估!O42,0)</f>
        <v>0</v>
      </c>
      <c r="O55" s="44">
        <f>IFERROR(I55/门客获得情况预估!P42,0)</f>
        <v>0</v>
      </c>
      <c r="P55" s="44">
        <f>IFERROR(J55/门客获得情况预估!Q42,0)</f>
        <v>0</v>
      </c>
      <c r="Q55" s="44">
        <f>IFERROR(K55/门客获得情况预估!R42,0)</f>
        <v>0</v>
      </c>
      <c r="R55" s="44">
        <f>IFERROR(L55/门客获得情况预估!S42,0)</f>
        <v>0</v>
      </c>
      <c r="S55" s="44">
        <f>MAX(N55:R55)*SUMPRODUCT(门客获得情况预估!$C$4:$G$4,门客获得情况预估!$O$6:$S$6)</f>
        <v>0</v>
      </c>
    </row>
    <row r="56" spans="2:19" x14ac:dyDescent="0.15">
      <c r="B56" s="9">
        <v>15</v>
      </c>
      <c r="C56" s="45">
        <f t="shared" si="2"/>
        <v>77</v>
      </c>
      <c r="D56" s="45">
        <f>求节点(节奏总纲!E$4:E$163,节奏总纲!$C$4:$C$163,INDEX(节奏总纲!AB$4:AB$83,C56,1))</f>
        <v>148.27357279823164</v>
      </c>
      <c r="E56" s="45">
        <v>15</v>
      </c>
      <c r="F56" s="44">
        <f t="shared" si="1"/>
        <v>15</v>
      </c>
      <c r="H56" s="44">
        <f>MIN(门客获得情况预估!AJ43,$F56-SUM(I56:$L56))</f>
        <v>0</v>
      </c>
      <c r="I56" s="44">
        <f>MIN(门客获得情况预估!AK43,$F56-SUM(J56:$L56))</f>
        <v>0</v>
      </c>
      <c r="J56" s="44">
        <f>MIN(门客获得情况预估!AL43,$F56-SUM(K56:$L56))</f>
        <v>0</v>
      </c>
      <c r="K56" s="44">
        <f>MIN(门客获得情况预估!AM43,$F56-SUM($L56:L56))</f>
        <v>15</v>
      </c>
      <c r="L56" s="44">
        <f>MIN(门客获得情况预估!AN43,$F56)</f>
        <v>0</v>
      </c>
      <c r="N56" s="44">
        <f>IFERROR(H56/门客获得情况预估!O43,0)</f>
        <v>0</v>
      </c>
      <c r="O56" s="44">
        <f>IFERROR(I56/门客获得情况预估!P43,0)</f>
        <v>0</v>
      </c>
      <c r="P56" s="44">
        <f>IFERROR(J56/门客获得情况预估!Q43,0)</f>
        <v>0</v>
      </c>
      <c r="Q56" s="44">
        <f>IFERROR(K56/门客获得情况预估!R43,0)</f>
        <v>0</v>
      </c>
      <c r="R56" s="44">
        <f>IFERROR(L56/门客获得情况预估!S43,0)</f>
        <v>0</v>
      </c>
      <c r="S56" s="44">
        <f>MAX(N56:R56)*SUMPRODUCT(门客获得情况预估!$C$4:$G$4,门客获得情况预估!$O$6:$S$6)</f>
        <v>0</v>
      </c>
    </row>
    <row r="57" spans="2:19" x14ac:dyDescent="0.15">
      <c r="B57" s="9">
        <v>16</v>
      </c>
      <c r="C57" s="45">
        <f t="shared" si="2"/>
        <v>80</v>
      </c>
      <c r="D57" s="45">
        <f>求节点(节奏总纲!E$4:E$163,节奏总纲!$C$4:$C$163,INDEX(节奏总纲!AB$4:AB$83,C57,1))</f>
        <v>154.14666602127767</v>
      </c>
      <c r="E57" s="45">
        <v>16</v>
      </c>
      <c r="F57" s="44">
        <f t="shared" si="1"/>
        <v>16</v>
      </c>
      <c r="H57" s="44">
        <f>MIN(门客获得情况预估!AJ44,$F57-SUM(I57:$L57))</f>
        <v>0</v>
      </c>
      <c r="I57" s="44">
        <f>MIN(门客获得情况预估!AK44,$F57-SUM(J57:$L57))</f>
        <v>0</v>
      </c>
      <c r="J57" s="44">
        <f>MIN(门客获得情况预估!AL44,$F57-SUM(K57:$L57))</f>
        <v>0</v>
      </c>
      <c r="K57" s="44">
        <f>MIN(门客获得情况预估!AM44,$F57-SUM($L57:L57))</f>
        <v>16</v>
      </c>
      <c r="L57" s="44">
        <f>MIN(门客获得情况预估!AN44,$F57)</f>
        <v>0</v>
      </c>
      <c r="N57" s="44">
        <f>IFERROR(H57/门客获得情况预估!O44,0)</f>
        <v>0</v>
      </c>
      <c r="O57" s="44">
        <f>IFERROR(I57/门客获得情况预估!P44,0)</f>
        <v>0</v>
      </c>
      <c r="P57" s="44">
        <f>IFERROR(J57/门客获得情况预估!Q44,0)</f>
        <v>0</v>
      </c>
      <c r="Q57" s="44">
        <f>IFERROR(K57/门客获得情况预估!R44,0)</f>
        <v>0</v>
      </c>
      <c r="R57" s="44">
        <f>IFERROR(L57/门客获得情况预估!S44,0)</f>
        <v>0</v>
      </c>
      <c r="S57" s="44">
        <f>MAX(N57:R57)*SUMPRODUCT(门客获得情况预估!$C$4:$G$4,门客获得情况预估!$O$6:$S$6)</f>
        <v>0</v>
      </c>
    </row>
    <row r="58" spans="2:19" x14ac:dyDescent="0.15">
      <c r="C58" s="9"/>
      <c r="D58" s="9"/>
      <c r="E58" s="9"/>
    </row>
    <row r="59" spans="2:19" x14ac:dyDescent="0.15">
      <c r="C59" s="7"/>
      <c r="D59" s="7"/>
      <c r="E59" s="7"/>
    </row>
    <row r="60" spans="2:19" x14ac:dyDescent="0.15">
      <c r="C60" s="7"/>
      <c r="D60" s="7"/>
      <c r="E60" s="7"/>
    </row>
    <row r="61" spans="2:19" x14ac:dyDescent="0.15">
      <c r="C61" s="7"/>
      <c r="D61" s="7"/>
      <c r="E61" s="7"/>
    </row>
    <row r="62" spans="2:19" x14ac:dyDescent="0.15">
      <c r="C62" s="9"/>
      <c r="D62" s="9"/>
      <c r="E62" s="9"/>
    </row>
    <row r="63" spans="2:19" x14ac:dyDescent="0.15">
      <c r="C63" s="7" t="s">
        <v>18</v>
      </c>
      <c r="E63" s="9"/>
      <c r="H63" s="130" t="s">
        <v>40</v>
      </c>
      <c r="I63" s="130"/>
      <c r="J63" s="130"/>
      <c r="K63" s="130"/>
      <c r="L63" s="130"/>
      <c r="N63" s="130" t="s">
        <v>87</v>
      </c>
      <c r="O63" s="130"/>
      <c r="P63" s="130"/>
      <c r="Q63" s="130"/>
      <c r="R63" s="130"/>
      <c r="S63" s="130"/>
    </row>
    <row r="64" spans="2:19" x14ac:dyDescent="0.15">
      <c r="C64" s="24" t="s">
        <v>90</v>
      </c>
      <c r="D64" s="24" t="s">
        <v>103</v>
      </c>
      <c r="E64" s="5" t="s">
        <v>21</v>
      </c>
      <c r="F64" s="4" t="s">
        <v>32</v>
      </c>
      <c r="H64" s="4" t="s">
        <v>33</v>
      </c>
      <c r="I64" s="4" t="s">
        <v>34</v>
      </c>
      <c r="J64" s="4" t="s">
        <v>35</v>
      </c>
      <c r="K64" s="4" t="s">
        <v>36</v>
      </c>
      <c r="L64" s="4" t="s">
        <v>37</v>
      </c>
      <c r="N64" s="18" t="s">
        <v>33</v>
      </c>
      <c r="O64" s="18" t="s">
        <v>34</v>
      </c>
      <c r="P64" s="18" t="s">
        <v>10</v>
      </c>
      <c r="Q64" s="18" t="s">
        <v>36</v>
      </c>
      <c r="R64" s="18" t="s">
        <v>37</v>
      </c>
      <c r="S64" s="18" t="s">
        <v>86</v>
      </c>
    </row>
    <row r="65" spans="2:19" x14ac:dyDescent="0.15">
      <c r="B65" s="9">
        <v>1</v>
      </c>
      <c r="C65" s="24">
        <f>C42</f>
        <v>16</v>
      </c>
      <c r="D65" s="24">
        <f>求节点(节奏总纲!F$4:F$163,节奏总纲!$C$4:$C$163,INDEX(节奏总纲!AC$4:AC$83,C65,1))</f>
        <v>16.55360159735687</v>
      </c>
      <c r="E65" s="5">
        <v>1</v>
      </c>
      <c r="F65" s="4">
        <f t="shared" ref="F65:F80" si="3">IFERROR(INT(求节点($C$2:$C$11,$D$2:$D$11,$E65)),0)</f>
        <v>1</v>
      </c>
      <c r="H65" s="23">
        <f>MIN(门客获得情况预估!AJ52,$F65-SUM(I65:$L65))</f>
        <v>0.6373182970867648</v>
      </c>
      <c r="I65" s="23">
        <f>MIN(门客获得情况预估!AK52,$F65-SUM(J65:$L65))</f>
        <v>0.3626817029132352</v>
      </c>
      <c r="J65" s="23">
        <f>MIN(门客获得情况预估!AL52,$F65-SUM(K65:$L65))</f>
        <v>0</v>
      </c>
      <c r="K65" s="23">
        <f>MIN(门客获得情况预估!AM52,$F65-SUM($L65:L65))</f>
        <v>0</v>
      </c>
      <c r="L65" s="23">
        <f>MIN(门客获得情况预估!AN52,$F65)</f>
        <v>0</v>
      </c>
      <c r="N65" s="18">
        <f>IFERROR(H65/门客获得情况预估!O52,0)</f>
        <v>0</v>
      </c>
      <c r="O65" s="18">
        <f>IFERROR(I65/门客获得情况预估!P52,0)</f>
        <v>0</v>
      </c>
      <c r="P65" s="18">
        <f>IFERROR(J65/门客获得情况预估!Q52,0)</f>
        <v>0</v>
      </c>
      <c r="Q65" s="18">
        <f>IFERROR(K65/门客获得情况预估!R52,0)</f>
        <v>0</v>
      </c>
      <c r="R65" s="18">
        <f>IFERROR(L65/门客获得情况预估!S52,0)</f>
        <v>0</v>
      </c>
      <c r="S65" s="18">
        <f>MAX(N65:R65)*SUMPRODUCT(门客获得情况预估!$C$4:$G$4,门客获得情况预估!$O$6:$S$6)</f>
        <v>0</v>
      </c>
    </row>
    <row r="66" spans="2:19" x14ac:dyDescent="0.15">
      <c r="B66" s="9">
        <v>2</v>
      </c>
      <c r="C66" s="45">
        <f t="shared" ref="C66:C80" si="4">C43</f>
        <v>19.5</v>
      </c>
      <c r="D66" s="45">
        <f>求节点(节奏总纲!F$4:F$163,节奏总纲!$C$4:$C$163,INDEX(节奏总纲!AC$4:AC$83,C66,1))</f>
        <v>22.270075478919804</v>
      </c>
      <c r="E66" s="5">
        <v>2</v>
      </c>
      <c r="F66" s="4">
        <f t="shared" si="3"/>
        <v>2</v>
      </c>
      <c r="H66" s="23">
        <f>MIN(门客获得情况预估!AJ53,$F66-SUM(I66:$L66))</f>
        <v>1.3110146382620775</v>
      </c>
      <c r="I66" s="23">
        <f>MIN(门客获得情况预估!AK53,$F66-SUM(J66:$L66))</f>
        <v>0.68898536173792246</v>
      </c>
      <c r="J66" s="23">
        <f>MIN(门客获得情况预估!AL53,$F66-SUM(K66:$L66))</f>
        <v>0</v>
      </c>
      <c r="K66" s="23">
        <f>MIN(门客获得情况预估!AM53,$F66-SUM($L66:L66))</f>
        <v>0</v>
      </c>
      <c r="L66" s="23">
        <f>MIN(门客获得情况预估!AN53,$F66)</f>
        <v>0</v>
      </c>
      <c r="N66" s="18">
        <f>IFERROR(H66/门客获得情况预估!O53,0)</f>
        <v>0</v>
      </c>
      <c r="O66" s="18">
        <f>IFERROR(I66/门客获得情况预估!P53,0)</f>
        <v>0</v>
      </c>
      <c r="P66" s="18">
        <f>IFERROR(J66/门客获得情况预估!Q53,0)</f>
        <v>0</v>
      </c>
      <c r="Q66" s="18">
        <f>IFERROR(K66/门客获得情况预估!R53,0)</f>
        <v>0</v>
      </c>
      <c r="R66" s="18">
        <f>IFERROR(L66/门客获得情况预估!S53,0)</f>
        <v>0</v>
      </c>
      <c r="S66" s="18">
        <f>MAX(N66:R66)*SUMPRODUCT(门客获得情况预估!$C$4:$G$4,门客获得情况预估!$O$6:$S$6)</f>
        <v>0</v>
      </c>
    </row>
    <row r="67" spans="2:19" x14ac:dyDescent="0.15">
      <c r="B67" s="9">
        <v>3</v>
      </c>
      <c r="C67" s="45">
        <f t="shared" si="4"/>
        <v>23.5</v>
      </c>
      <c r="D67" s="45">
        <f>求节点(节奏总纲!F$4:F$163,节奏总纲!$C$4:$C$163,INDEX(节奏总纲!AC$4:AC$83,C67,1))</f>
        <v>30.615521552489891</v>
      </c>
      <c r="E67" s="24">
        <v>3</v>
      </c>
      <c r="F67" s="4">
        <f t="shared" si="3"/>
        <v>3</v>
      </c>
      <c r="H67" s="23">
        <f>MIN(门客获得情况预估!AJ54,$F67-SUM(I67:$L67))</f>
        <v>1.6207123032629396</v>
      </c>
      <c r="I67" s="23">
        <f>MIN(门客获得情况预估!AK54,$F67-SUM(J67:$L67))</f>
        <v>1.3792876967370604</v>
      </c>
      <c r="J67" s="23">
        <f>MIN(门客获得情况预估!AL54,$F67-SUM(K67:$L67))</f>
        <v>0</v>
      </c>
      <c r="K67" s="23">
        <f>MIN(门客获得情况预估!AM54,$F67-SUM($L67:L67))</f>
        <v>0</v>
      </c>
      <c r="L67" s="23">
        <f>MIN(门客获得情况预估!AN54,$F67)</f>
        <v>0</v>
      </c>
      <c r="N67" s="18">
        <f>IFERROR(H67/门客获得情况预估!O54,0)</f>
        <v>0</v>
      </c>
      <c r="O67" s="18">
        <f>IFERROR(I67/门客获得情况预估!P54,0)</f>
        <v>0</v>
      </c>
      <c r="P67" s="18">
        <f>IFERROR(J67/门客获得情况预估!Q54,0)</f>
        <v>0</v>
      </c>
      <c r="Q67" s="18">
        <f>IFERROR(K67/门客获得情况预估!R54,0)</f>
        <v>0</v>
      </c>
      <c r="R67" s="18">
        <f>IFERROR(L67/门客获得情况预估!S54,0)</f>
        <v>0</v>
      </c>
      <c r="S67" s="18">
        <f>MAX(N67:R67)*SUMPRODUCT(门客获得情况预估!$C$4:$G$4,门客获得情况预估!$O$6:$S$6)</f>
        <v>0</v>
      </c>
    </row>
    <row r="68" spans="2:19" x14ac:dyDescent="0.15">
      <c r="B68" s="9">
        <v>4</v>
      </c>
      <c r="C68" s="45">
        <f t="shared" si="4"/>
        <v>27.5</v>
      </c>
      <c r="D68" s="45">
        <f>求节点(节奏总纲!F$4:F$163,节奏总纲!$C$4:$C$163,INDEX(节奏总纲!AC$4:AC$83,C68,1))</f>
        <v>39.486304880774611</v>
      </c>
      <c r="E68" s="24">
        <v>4</v>
      </c>
      <c r="F68" s="4">
        <f t="shared" si="3"/>
        <v>4</v>
      </c>
      <c r="H68" s="23">
        <f>MIN(门客获得情况预估!AJ55,$F68-SUM(I68:$L68))</f>
        <v>1.3042538374306596</v>
      </c>
      <c r="I68" s="23">
        <f>MIN(门客获得情况预估!AK55,$F68-SUM(J68:$L68))</f>
        <v>2.6957461625693404</v>
      </c>
      <c r="J68" s="23">
        <f>MIN(门客获得情况预估!AL55,$F68-SUM(K68:$L68))</f>
        <v>0</v>
      </c>
      <c r="K68" s="23">
        <f>MIN(门客获得情况预估!AM55,$F68-SUM($L68:L68))</f>
        <v>0</v>
      </c>
      <c r="L68" s="23">
        <f>MIN(门客获得情况预估!AN55,$F68)</f>
        <v>0</v>
      </c>
      <c r="N68" s="18">
        <f>IFERROR(H68/门客获得情况预估!O55,0)</f>
        <v>0</v>
      </c>
      <c r="O68" s="18">
        <f>IFERROR(I68/门客获得情况预估!P55,0)</f>
        <v>0</v>
      </c>
      <c r="P68" s="18">
        <f>IFERROR(J68/门客获得情况预估!Q55,0)</f>
        <v>0</v>
      </c>
      <c r="Q68" s="18">
        <f>IFERROR(K68/门客获得情况预估!R55,0)</f>
        <v>0</v>
      </c>
      <c r="R68" s="18">
        <f>IFERROR(L68/门客获得情况预估!S55,0)</f>
        <v>0</v>
      </c>
      <c r="S68" s="18">
        <f>MAX(N68:R68)*SUMPRODUCT(门客获得情况预估!$C$4:$G$4,门客获得情况预估!$O$6:$S$6)</f>
        <v>0</v>
      </c>
    </row>
    <row r="69" spans="2:19" x14ac:dyDescent="0.15">
      <c r="B69" s="9">
        <v>5</v>
      </c>
      <c r="C69" s="45">
        <f t="shared" si="4"/>
        <v>31.5</v>
      </c>
      <c r="D69" s="45">
        <f>求节点(节奏总纲!F$4:F$163,节奏总纲!$C$4:$C$163,INDEX(节奏总纲!AC$4:AC$83,C69,1))</f>
        <v>48.49295716189016</v>
      </c>
      <c r="E69" s="24">
        <v>5</v>
      </c>
      <c r="F69" s="4">
        <f t="shared" si="3"/>
        <v>5</v>
      </c>
      <c r="H69" s="23">
        <f>MIN(门客获得情况预估!AJ56,$F69-SUM(I69:$L69))</f>
        <v>0</v>
      </c>
      <c r="I69" s="23">
        <f>MIN(门客获得情况预估!AK56,$F69-SUM(J69:$L69))</f>
        <v>2.2237345506612849</v>
      </c>
      <c r="J69" s="23">
        <f>MIN(门客获得情况预估!AL56,$F69-SUM(K69:$L69))</f>
        <v>2.1841769662258099</v>
      </c>
      <c r="K69" s="23">
        <f>MIN(门客获得情况预估!AM56,$F69-SUM($L69:L69))</f>
        <v>0.59208848311290496</v>
      </c>
      <c r="L69" s="23">
        <f>MIN(门客获得情况预估!AN56,$F69)</f>
        <v>0</v>
      </c>
      <c r="N69" s="18">
        <f>IFERROR(H69/门客获得情况预估!O56,0)</f>
        <v>0</v>
      </c>
      <c r="O69" s="18">
        <f>IFERROR(I69/门客获得情况预估!P56,0)</f>
        <v>0</v>
      </c>
      <c r="P69" s="18">
        <f>IFERROR(J69/门客获得情况预估!Q56,0)</f>
        <v>0</v>
      </c>
      <c r="Q69" s="18">
        <f>IFERROR(K69/门客获得情况预估!R56,0)</f>
        <v>0</v>
      </c>
      <c r="R69" s="18">
        <f>IFERROR(L69/门客获得情况预估!S56,0)</f>
        <v>0</v>
      </c>
      <c r="S69" s="18">
        <f>MAX(N69:R69)*SUMPRODUCT(门客获得情况预估!$C$4:$G$4,门客获得情况预估!$O$6:$S$6)</f>
        <v>0</v>
      </c>
    </row>
    <row r="70" spans="2:19" x14ac:dyDescent="0.15">
      <c r="B70" s="9">
        <v>6</v>
      </c>
      <c r="C70" s="45">
        <f t="shared" si="4"/>
        <v>35.5</v>
      </c>
      <c r="D70" s="45">
        <f>求节点(节奏总纲!F$4:F$163,节奏总纲!$C$4:$C$163,INDEX(节奏总纲!AC$4:AC$83,C70,1))</f>
        <v>57.686819122040689</v>
      </c>
      <c r="E70" s="24">
        <v>6</v>
      </c>
      <c r="F70" s="4">
        <f t="shared" si="3"/>
        <v>6</v>
      </c>
      <c r="H70" s="23">
        <f>MIN(门客获得情况预估!AJ57,$F70-SUM(I70:$L70))</f>
        <v>0</v>
      </c>
      <c r="I70" s="23">
        <f>MIN(门客获得情况预估!AK57,$F70-SUM(J70:$L70))</f>
        <v>0</v>
      </c>
      <c r="J70" s="23">
        <f>MIN(门客获得情况预估!AL57,$F70-SUM(K70:$L70))</f>
        <v>3.0983263690354175</v>
      </c>
      <c r="K70" s="23">
        <f>MIN(门客获得情况预估!AM57,$F70-SUM($L70:L70))</f>
        <v>2.9016736309645825</v>
      </c>
      <c r="L70" s="23">
        <f>MIN(门客获得情况预估!AN57,$F70)</f>
        <v>0</v>
      </c>
      <c r="N70" s="18">
        <f>IFERROR(H70/门客获得情况预估!O57,0)</f>
        <v>0</v>
      </c>
      <c r="O70" s="18">
        <f>IFERROR(I70/门客获得情况预估!P57,0)</f>
        <v>0</v>
      </c>
      <c r="P70" s="18">
        <f>IFERROR(J70/门客获得情况预估!Q57,0)</f>
        <v>0</v>
      </c>
      <c r="Q70" s="18">
        <f>IFERROR(K70/门客获得情况预估!R57,0)</f>
        <v>0</v>
      </c>
      <c r="R70" s="18">
        <f>IFERROR(L70/门客获得情况预估!S57,0)</f>
        <v>0</v>
      </c>
      <c r="S70" s="18">
        <f>MAX(N70:R70)*SUMPRODUCT(门客获得情况预估!$C$4:$G$4,门客获得情况预估!$O$6:$S$6)</f>
        <v>0</v>
      </c>
    </row>
    <row r="71" spans="2:19" x14ac:dyDescent="0.15">
      <c r="B71" s="9">
        <v>7</v>
      </c>
      <c r="C71" s="45">
        <f t="shared" si="4"/>
        <v>39.5</v>
      </c>
      <c r="D71" s="45">
        <f>求节点(节奏总纲!F$4:F$163,节奏总纲!$C$4:$C$163,INDEX(节奏总纲!AC$4:AC$83,C71,1))</f>
        <v>66.152018816255293</v>
      </c>
      <c r="E71" s="24">
        <v>7</v>
      </c>
      <c r="F71" s="4">
        <f t="shared" si="3"/>
        <v>7</v>
      </c>
      <c r="H71" s="23">
        <f>MIN(门客获得情况预估!AJ58,$F71-SUM(I71:$L71))</f>
        <v>0</v>
      </c>
      <c r="I71" s="23">
        <f>MIN(门客获得情况预估!AK58,$F71-SUM(J71:$L71))</f>
        <v>0</v>
      </c>
      <c r="J71" s="23">
        <f>MIN(门客获得情况预估!AL58,$F71-SUM(K71:$L71))</f>
        <v>9.8475321929284654E-2</v>
      </c>
      <c r="K71" s="23">
        <f>MIN(门客获得情况预估!AM58,$F71-SUM($L71:L71))</f>
        <v>6.9015246780707153</v>
      </c>
      <c r="L71" s="23">
        <f>MIN(门客获得情况预估!AN58,$F71)</f>
        <v>0</v>
      </c>
      <c r="N71" s="18">
        <f>IFERROR(H71/门客获得情况预估!O58,0)</f>
        <v>0</v>
      </c>
      <c r="O71" s="18">
        <f>IFERROR(I71/门客获得情况预估!P58,0)</f>
        <v>0</v>
      </c>
      <c r="P71" s="18">
        <f>IFERROR(J71/门客获得情况预估!Q58,0)</f>
        <v>0</v>
      </c>
      <c r="Q71" s="18">
        <f>IFERROR(K71/门客获得情况预估!R58,0)</f>
        <v>0</v>
      </c>
      <c r="R71" s="18">
        <f>IFERROR(L71/门客获得情况预估!S58,0)</f>
        <v>0</v>
      </c>
      <c r="S71" s="18">
        <f>MAX(N71:R71)*SUMPRODUCT(门客获得情况预估!$C$4:$G$4,门客获得情况预估!$O$6:$S$6)</f>
        <v>0</v>
      </c>
    </row>
    <row r="72" spans="2:19" x14ac:dyDescent="0.15">
      <c r="B72" s="9">
        <v>8</v>
      </c>
      <c r="C72" s="45">
        <f t="shared" si="4"/>
        <v>43.5</v>
      </c>
      <c r="D72" s="45">
        <f>求节点(节奏总纲!F$4:F$163,节奏总纲!$C$4:$C$163,INDEX(节奏总纲!AC$4:AC$83,C72,1))</f>
        <v>74.771148405180824</v>
      </c>
      <c r="E72" s="24">
        <v>8</v>
      </c>
      <c r="F72" s="4">
        <f t="shared" si="3"/>
        <v>8</v>
      </c>
      <c r="H72" s="23">
        <f>MIN(门客获得情况预估!AJ59,$F72-SUM(I72:$L72))</f>
        <v>0</v>
      </c>
      <c r="I72" s="23">
        <f>MIN(门客获得情况预估!AK59,$F72-SUM(J72:$L72))</f>
        <v>0</v>
      </c>
      <c r="J72" s="23">
        <f>MIN(门客获得情况预估!AL59,$F72-SUM(K72:$L72))</f>
        <v>0</v>
      </c>
      <c r="K72" s="23">
        <f>MIN(门客获得情况预估!AM59,$F72-SUM($L72:L72))</f>
        <v>8</v>
      </c>
      <c r="L72" s="23">
        <f>MIN(门客获得情况预估!AN59,$F72)</f>
        <v>0</v>
      </c>
      <c r="N72" s="18">
        <f>IFERROR(H72/门客获得情况预估!O59,0)</f>
        <v>0</v>
      </c>
      <c r="O72" s="18">
        <f>IFERROR(I72/门客获得情况预估!P59,0)</f>
        <v>0</v>
      </c>
      <c r="P72" s="18">
        <f>IFERROR(J72/门客获得情况预估!Q59,0)</f>
        <v>0</v>
      </c>
      <c r="Q72" s="18">
        <f>IFERROR(K72/门客获得情况预估!R59,0)</f>
        <v>0</v>
      </c>
      <c r="R72" s="18">
        <f>IFERROR(L72/门客获得情况预估!S59,0)</f>
        <v>0</v>
      </c>
      <c r="S72" s="18">
        <f>MAX(N72:R72)*SUMPRODUCT(门客获得情况预估!$C$4:$G$4,门客获得情况预估!$O$6:$S$6)</f>
        <v>0</v>
      </c>
    </row>
    <row r="73" spans="2:19" x14ac:dyDescent="0.15">
      <c r="B73" s="9">
        <v>9</v>
      </c>
      <c r="C73" s="45">
        <f t="shared" si="4"/>
        <v>47.5</v>
      </c>
      <c r="D73" s="45">
        <f>求节点(节奏总纲!F$4:F$163,节奏总纲!$C$4:$C$163,INDEX(节奏总纲!AC$4:AC$83,C73,1))</f>
        <v>83.32493049129468</v>
      </c>
      <c r="E73" s="24">
        <v>9</v>
      </c>
      <c r="F73" s="4">
        <f t="shared" si="3"/>
        <v>9</v>
      </c>
      <c r="H73" s="23">
        <f>MIN(门客获得情况预估!AJ60,$F73-SUM(I73:$L73))</f>
        <v>0</v>
      </c>
      <c r="I73" s="23">
        <f>MIN(门客获得情况预估!AK60,$F73-SUM(J73:$L73))</f>
        <v>0</v>
      </c>
      <c r="J73" s="23">
        <f>MIN(门客获得情况预估!AL60,$F73-SUM(K73:$L73))</f>
        <v>0</v>
      </c>
      <c r="K73" s="23">
        <f>MIN(门客获得情况预估!AM60,$F73-SUM($L73:L73))</f>
        <v>9</v>
      </c>
      <c r="L73" s="23">
        <f>MIN(门客获得情况预估!AN60,$F73)</f>
        <v>0</v>
      </c>
      <c r="N73" s="18">
        <f>IFERROR(H73/门客获得情况预估!O60,0)</f>
        <v>0</v>
      </c>
      <c r="O73" s="18">
        <f>IFERROR(I73/门客获得情况预估!P60,0)</f>
        <v>0</v>
      </c>
      <c r="P73" s="18">
        <f>IFERROR(J73/门客获得情况预估!Q60,0)</f>
        <v>0</v>
      </c>
      <c r="Q73" s="18">
        <f>IFERROR(K73/门客获得情况预估!R60,0)</f>
        <v>0</v>
      </c>
      <c r="R73" s="18">
        <f>IFERROR(L73/门客获得情况预估!S60,0)</f>
        <v>0</v>
      </c>
      <c r="S73" s="18">
        <f>MAX(N73:R73)*SUMPRODUCT(门客获得情况预估!$C$4:$G$4,门客获得情况预估!$O$6:$S$6)</f>
        <v>0</v>
      </c>
    </row>
    <row r="74" spans="2:19" x14ac:dyDescent="0.15">
      <c r="B74" s="9">
        <v>10</v>
      </c>
      <c r="C74" s="45">
        <f t="shared" si="4"/>
        <v>52</v>
      </c>
      <c r="D74" s="45">
        <f>求节点(节奏总纲!F$4:F$163,节奏总纲!$C$4:$C$163,INDEX(节奏总纲!AC$4:AC$83,C74,1))</f>
        <v>94.309081972684396</v>
      </c>
      <c r="E74" s="24">
        <v>10</v>
      </c>
      <c r="F74" s="4">
        <f t="shared" si="3"/>
        <v>10</v>
      </c>
      <c r="H74" s="23">
        <f>MIN(门客获得情况预估!AJ61,$F74-SUM(I74:$L74))</f>
        <v>0</v>
      </c>
      <c r="I74" s="23">
        <f>MIN(门客获得情况预估!AK61,$F74-SUM(J74:$L74))</f>
        <v>0</v>
      </c>
      <c r="J74" s="23">
        <f>MIN(门客获得情况预估!AL61,$F74-SUM(K74:$L74))</f>
        <v>0</v>
      </c>
      <c r="K74" s="23">
        <f>MIN(门客获得情况预估!AM61,$F74-SUM($L74:L74))</f>
        <v>10</v>
      </c>
      <c r="L74" s="23">
        <f>MIN(门客获得情况预估!AN61,$F74)</f>
        <v>0</v>
      </c>
      <c r="N74" s="18">
        <f>IFERROR(H74/门客获得情况预估!O61,0)</f>
        <v>0</v>
      </c>
      <c r="O74" s="18">
        <f>IFERROR(I74/门客获得情况预估!P61,0)</f>
        <v>0</v>
      </c>
      <c r="P74" s="18">
        <f>IFERROR(J74/门客获得情况预估!Q61,0)</f>
        <v>0</v>
      </c>
      <c r="Q74" s="18">
        <f>IFERROR(K74/门客获得情况预估!R61,0)</f>
        <v>0</v>
      </c>
      <c r="R74" s="18">
        <f>IFERROR(L74/门客获得情况预估!S61,0)</f>
        <v>0</v>
      </c>
      <c r="S74" s="18">
        <f>MAX(N74:R74)*SUMPRODUCT(门客获得情况预估!$C$4:$G$4,门客获得情况预估!$O$6:$S$6)</f>
        <v>0</v>
      </c>
    </row>
    <row r="75" spans="2:19" x14ac:dyDescent="0.15">
      <c r="B75" s="9">
        <v>11</v>
      </c>
      <c r="C75" s="45">
        <f t="shared" si="4"/>
        <v>57</v>
      </c>
      <c r="D75" s="45">
        <f>求节点(节奏总纲!F$4:F$163,节奏总纲!$C$4:$C$163,INDEX(节奏总纲!AC$4:AC$83,C75,1))</f>
        <v>104.93378702762401</v>
      </c>
      <c r="E75" s="45">
        <v>11</v>
      </c>
      <c r="F75" s="44">
        <f t="shared" si="3"/>
        <v>11</v>
      </c>
      <c r="H75" s="44">
        <f>MIN(门客获得情况预估!AJ62,$F75-SUM(I75:$L75))</f>
        <v>0</v>
      </c>
      <c r="I75" s="44">
        <f>MIN(门客获得情况预估!AK62,$F75-SUM(J75:$L75))</f>
        <v>0</v>
      </c>
      <c r="J75" s="44">
        <f>MIN(门客获得情况预估!AL62,$F75-SUM(K75:$L75))</f>
        <v>0</v>
      </c>
      <c r="K75" s="44">
        <f>MIN(门客获得情况预估!AM62,$F75-SUM($L75:L75))</f>
        <v>11</v>
      </c>
      <c r="L75" s="44">
        <f>MIN(门客获得情况预估!AN62,$F75)</f>
        <v>0</v>
      </c>
      <c r="N75" s="44">
        <f>IFERROR(H75/门客获得情况预估!O62,0)</f>
        <v>0</v>
      </c>
      <c r="O75" s="44">
        <f>IFERROR(I75/门客获得情况预估!P62,0)</f>
        <v>0</v>
      </c>
      <c r="P75" s="44">
        <f>IFERROR(J75/门客获得情况预估!Q62,0)</f>
        <v>0</v>
      </c>
      <c r="Q75" s="44">
        <f>IFERROR(K75/门客获得情况预估!R62,0)</f>
        <v>0</v>
      </c>
      <c r="R75" s="44">
        <f>IFERROR(L75/门客获得情况预估!S62,0)</f>
        <v>0</v>
      </c>
      <c r="S75" s="44">
        <f>MAX(N75:R75)*SUMPRODUCT(门客获得情况预估!$C$4:$G$4,门客获得情况预估!$O$6:$S$6)</f>
        <v>0</v>
      </c>
    </row>
    <row r="76" spans="2:19" x14ac:dyDescent="0.15">
      <c r="B76" s="9">
        <v>12</v>
      </c>
      <c r="C76" s="45">
        <f t="shared" si="4"/>
        <v>62</v>
      </c>
      <c r="D76" s="45">
        <f>求节点(节奏总纲!F$4:F$163,节奏总纲!$C$4:$C$163,INDEX(节奏总纲!AC$4:AC$83,C76,1))</f>
        <v>115.63935175516689</v>
      </c>
      <c r="E76" s="45">
        <v>12</v>
      </c>
      <c r="F76" s="44">
        <f t="shared" si="3"/>
        <v>12</v>
      </c>
      <c r="H76" s="44">
        <f>MIN(门客获得情况预估!AJ63,$F76-SUM(I76:$L76))</f>
        <v>0</v>
      </c>
      <c r="I76" s="44">
        <f>MIN(门客获得情况预估!AK63,$F76-SUM(J76:$L76))</f>
        <v>0</v>
      </c>
      <c r="J76" s="44">
        <f>MIN(门客获得情况预估!AL63,$F76-SUM(K76:$L76))</f>
        <v>0</v>
      </c>
      <c r="K76" s="44">
        <f>MIN(门客获得情况预估!AM63,$F76-SUM($L76:L76))</f>
        <v>12</v>
      </c>
      <c r="L76" s="44">
        <f>MIN(门客获得情况预估!AN63,$F76)</f>
        <v>0</v>
      </c>
      <c r="N76" s="44">
        <f>IFERROR(H76/门客获得情况预估!O63,0)</f>
        <v>0</v>
      </c>
      <c r="O76" s="44">
        <f>IFERROR(I76/门客获得情况预估!P63,0)</f>
        <v>0</v>
      </c>
      <c r="P76" s="44">
        <f>IFERROR(J76/门客获得情况预估!Q63,0)</f>
        <v>0</v>
      </c>
      <c r="Q76" s="44">
        <f>IFERROR(K76/门客获得情况预估!R63,0)</f>
        <v>0</v>
      </c>
      <c r="R76" s="44">
        <f>IFERROR(L76/门客获得情况预估!S63,0)</f>
        <v>0</v>
      </c>
      <c r="S76" s="44">
        <f>MAX(N76:R76)*SUMPRODUCT(门客获得情况预估!$C$4:$G$4,门客获得情况预估!$O$6:$S$6)</f>
        <v>0</v>
      </c>
    </row>
    <row r="77" spans="2:19" x14ac:dyDescent="0.15">
      <c r="B77" s="9">
        <v>13</v>
      </c>
      <c r="C77" s="45">
        <f t="shared" si="4"/>
        <v>67</v>
      </c>
      <c r="D77" s="45">
        <f>求节点(节奏总纲!F$4:F$163,节奏总纲!$C$4:$C$163,INDEX(节奏总纲!AC$4:AC$83,C77,1))</f>
        <v>126.19151638854794</v>
      </c>
      <c r="E77" s="45">
        <v>13</v>
      </c>
      <c r="F77" s="44">
        <f t="shared" si="3"/>
        <v>13</v>
      </c>
      <c r="H77" s="44">
        <f>MIN(门客获得情况预估!AJ64,$F77-SUM(I77:$L77))</f>
        <v>0</v>
      </c>
      <c r="I77" s="44">
        <f>MIN(门客获得情况预估!AK64,$F77-SUM(J77:$L77))</f>
        <v>0</v>
      </c>
      <c r="J77" s="44">
        <f>MIN(门客获得情况预估!AL64,$F77-SUM(K77:$L77))</f>
        <v>0</v>
      </c>
      <c r="K77" s="44">
        <f>MIN(门客获得情况预估!AM64,$F77-SUM($L77:L77))</f>
        <v>13</v>
      </c>
      <c r="L77" s="44">
        <f>MIN(门客获得情况预估!AN64,$F77)</f>
        <v>0</v>
      </c>
      <c r="N77" s="44">
        <f>IFERROR(H77/门客获得情况预估!O64,0)</f>
        <v>0</v>
      </c>
      <c r="O77" s="44">
        <f>IFERROR(I77/门客获得情况预估!P64,0)</f>
        <v>0</v>
      </c>
      <c r="P77" s="44">
        <f>IFERROR(J77/门客获得情况预估!Q64,0)</f>
        <v>0</v>
      </c>
      <c r="Q77" s="44">
        <f>IFERROR(K77/门客获得情况预估!R64,0)</f>
        <v>0</v>
      </c>
      <c r="R77" s="44">
        <f>IFERROR(L77/门客获得情况预估!S64,0)</f>
        <v>0</v>
      </c>
      <c r="S77" s="44">
        <f>MAX(N77:R77)*SUMPRODUCT(门客获得情况预估!$C$4:$G$4,门客获得情况预估!$O$6:$S$6)</f>
        <v>0</v>
      </c>
    </row>
    <row r="78" spans="2:19" x14ac:dyDescent="0.15">
      <c r="B78" s="9">
        <v>14</v>
      </c>
      <c r="C78" s="45">
        <f t="shared" si="4"/>
        <v>72</v>
      </c>
      <c r="D78" s="45">
        <f>求节点(节奏总纲!F$4:F$163,节奏总纲!$C$4:$C$163,INDEX(节奏总纲!AC$4:AC$83,C78,1))</f>
        <v>136.8190741194654</v>
      </c>
      <c r="E78" s="45">
        <v>14</v>
      </c>
      <c r="F78" s="44">
        <f t="shared" si="3"/>
        <v>14</v>
      </c>
      <c r="H78" s="44">
        <f>MIN(门客获得情况预估!AJ65,$F78-SUM(I78:$L78))</f>
        <v>0</v>
      </c>
      <c r="I78" s="44">
        <f>MIN(门客获得情况预估!AK65,$F78-SUM(J78:$L78))</f>
        <v>0</v>
      </c>
      <c r="J78" s="44">
        <f>MIN(门客获得情况预估!AL65,$F78-SUM(K78:$L78))</f>
        <v>0</v>
      </c>
      <c r="K78" s="44">
        <f>MIN(门客获得情况预估!AM65,$F78-SUM($L78:L78))</f>
        <v>14</v>
      </c>
      <c r="L78" s="44">
        <f>MIN(门客获得情况预估!AN65,$F78)</f>
        <v>0</v>
      </c>
      <c r="N78" s="44">
        <f>IFERROR(H78/门客获得情况预估!O65,0)</f>
        <v>0</v>
      </c>
      <c r="O78" s="44">
        <f>IFERROR(I78/门客获得情况预估!P65,0)</f>
        <v>0</v>
      </c>
      <c r="P78" s="44">
        <f>IFERROR(J78/门客获得情况预估!Q65,0)</f>
        <v>0</v>
      </c>
      <c r="Q78" s="44">
        <f>IFERROR(K78/门客获得情况预估!R65,0)</f>
        <v>0</v>
      </c>
      <c r="R78" s="44">
        <f>IFERROR(L78/门客获得情况预估!S65,0)</f>
        <v>0</v>
      </c>
      <c r="S78" s="44">
        <f>MAX(N78:R78)*SUMPRODUCT(门客获得情况预估!$C$4:$G$4,门客获得情况预估!$O$6:$S$6)</f>
        <v>0</v>
      </c>
    </row>
    <row r="79" spans="2:19" x14ac:dyDescent="0.15">
      <c r="B79" s="9">
        <v>15</v>
      </c>
      <c r="C79" s="45">
        <f t="shared" si="4"/>
        <v>77</v>
      </c>
      <c r="D79" s="45">
        <f>求节点(节奏总纲!F$4:F$163,节奏总纲!$C$4:$C$163,INDEX(节奏总纲!AC$4:AC$83,C79,1))</f>
        <v>147.45018844840658</v>
      </c>
      <c r="E79" s="45">
        <v>15</v>
      </c>
      <c r="F79" s="44">
        <f t="shared" si="3"/>
        <v>15</v>
      </c>
      <c r="H79" s="44">
        <f>MIN(门客获得情况预估!AJ66,$F79-SUM(I79:$L79))</f>
        <v>0</v>
      </c>
      <c r="I79" s="44">
        <f>MIN(门客获得情况预估!AK66,$F79-SUM(J79:$L79))</f>
        <v>0</v>
      </c>
      <c r="J79" s="44">
        <f>MIN(门客获得情况预估!AL66,$F79-SUM(K79:$L79))</f>
        <v>0</v>
      </c>
      <c r="K79" s="44">
        <f>MIN(门客获得情况预估!AM66,$F79-SUM($L79:L79))</f>
        <v>15</v>
      </c>
      <c r="L79" s="44">
        <f>MIN(门客获得情况预估!AN66,$F79)</f>
        <v>0</v>
      </c>
      <c r="N79" s="44">
        <f>IFERROR(H79/门客获得情况预估!O66,0)</f>
        <v>0</v>
      </c>
      <c r="O79" s="44">
        <f>IFERROR(I79/门客获得情况预估!P66,0)</f>
        <v>0</v>
      </c>
      <c r="P79" s="44">
        <f>IFERROR(J79/门客获得情况预估!Q66,0)</f>
        <v>0</v>
      </c>
      <c r="Q79" s="44">
        <f>IFERROR(K79/门客获得情况预估!R66,0)</f>
        <v>0</v>
      </c>
      <c r="R79" s="44">
        <f>IFERROR(L79/门客获得情况预估!S66,0)</f>
        <v>0</v>
      </c>
      <c r="S79" s="44">
        <f>MAX(N79:R79)*SUMPRODUCT(门客获得情况预估!$C$4:$G$4,门客获得情况预估!$O$6:$S$6)</f>
        <v>0</v>
      </c>
    </row>
    <row r="80" spans="2:19" x14ac:dyDescent="0.15">
      <c r="B80" s="9">
        <v>16</v>
      </c>
      <c r="C80" s="45">
        <f t="shared" si="4"/>
        <v>80</v>
      </c>
      <c r="D80" s="45">
        <f>求节点(节奏总纲!F$4:F$163,节奏总纲!$C$4:$C$163,INDEX(节奏总纲!AC$4:AC$83,C80,1))</f>
        <v>153.14946182958477</v>
      </c>
      <c r="E80" s="45">
        <v>16</v>
      </c>
      <c r="F80" s="44">
        <f t="shared" si="3"/>
        <v>16</v>
      </c>
      <c r="H80" s="44">
        <f>MIN(门客获得情况预估!AJ67,$F80-SUM(I80:$L80))</f>
        <v>0</v>
      </c>
      <c r="I80" s="44">
        <f>MIN(门客获得情况预估!AK67,$F80-SUM(J80:$L80))</f>
        <v>0</v>
      </c>
      <c r="J80" s="44">
        <f>MIN(门客获得情况预估!AL67,$F80-SUM(K80:$L80))</f>
        <v>0</v>
      </c>
      <c r="K80" s="44">
        <f>MIN(门客获得情况预估!AM67,$F80-SUM($L80:L80))</f>
        <v>16</v>
      </c>
      <c r="L80" s="44">
        <f>MIN(门客获得情况预估!AN67,$F80)</f>
        <v>0</v>
      </c>
      <c r="N80" s="44">
        <f>IFERROR(H80/门客获得情况预估!O67,0)</f>
        <v>0</v>
      </c>
      <c r="O80" s="44">
        <f>IFERROR(I80/门客获得情况预估!P67,0)</f>
        <v>0</v>
      </c>
      <c r="P80" s="44">
        <f>IFERROR(J80/门客获得情况预估!Q67,0)</f>
        <v>0</v>
      </c>
      <c r="Q80" s="44">
        <f>IFERROR(K80/门客获得情况预估!R67,0)</f>
        <v>0</v>
      </c>
      <c r="R80" s="44">
        <f>IFERROR(L80/门客获得情况预估!S67,0)</f>
        <v>0</v>
      </c>
      <c r="S80" s="44">
        <f>MAX(N80:R80)*SUMPRODUCT(门客获得情况预估!$C$4:$G$4,门客获得情况预估!$O$6:$S$6)</f>
        <v>0</v>
      </c>
    </row>
    <row r="81" spans="2:19" x14ac:dyDescent="0.15">
      <c r="C81" s="9"/>
      <c r="D81" s="9"/>
      <c r="E81" s="9"/>
    </row>
    <row r="82" spans="2:19" x14ac:dyDescent="0.15">
      <c r="C82" s="7"/>
      <c r="D82" s="7"/>
      <c r="E82" s="7"/>
    </row>
    <row r="83" spans="2:19" x14ac:dyDescent="0.15">
      <c r="C83" s="7"/>
      <c r="D83" s="7"/>
      <c r="E83" s="7"/>
    </row>
    <row r="85" spans="2:19" x14ac:dyDescent="0.15">
      <c r="C85" s="9"/>
      <c r="D85" s="9"/>
      <c r="E85" s="9"/>
    </row>
    <row r="86" spans="2:19" x14ac:dyDescent="0.15">
      <c r="C86" s="7" t="s">
        <v>19</v>
      </c>
      <c r="E86" s="9"/>
      <c r="H86" s="130" t="s">
        <v>41</v>
      </c>
      <c r="I86" s="130"/>
      <c r="J86" s="130"/>
      <c r="K86" s="130"/>
      <c r="L86" s="130"/>
      <c r="N86" s="130" t="s">
        <v>87</v>
      </c>
      <c r="O86" s="130"/>
      <c r="P86" s="130"/>
      <c r="Q86" s="130"/>
      <c r="R86" s="130"/>
      <c r="S86" s="130"/>
    </row>
    <row r="87" spans="2:19" x14ac:dyDescent="0.15">
      <c r="C87" s="24" t="s">
        <v>90</v>
      </c>
      <c r="D87" s="24" t="s">
        <v>103</v>
      </c>
      <c r="E87" s="24" t="s">
        <v>21</v>
      </c>
      <c r="F87" s="4" t="s">
        <v>32</v>
      </c>
      <c r="H87" s="4" t="s">
        <v>33</v>
      </c>
      <c r="I87" s="4" t="s">
        <v>34</v>
      </c>
      <c r="J87" s="4" t="s">
        <v>35</v>
      </c>
      <c r="K87" s="4" t="s">
        <v>36</v>
      </c>
      <c r="L87" s="4" t="s">
        <v>37</v>
      </c>
      <c r="N87" s="18" t="s">
        <v>33</v>
      </c>
      <c r="O87" s="18" t="s">
        <v>34</v>
      </c>
      <c r="P87" s="18" t="s">
        <v>10</v>
      </c>
      <c r="Q87" s="18" t="s">
        <v>36</v>
      </c>
      <c r="R87" s="18" t="s">
        <v>37</v>
      </c>
      <c r="S87" s="18" t="s">
        <v>86</v>
      </c>
    </row>
    <row r="88" spans="2:19" x14ac:dyDescent="0.15">
      <c r="B88" s="9">
        <v>1</v>
      </c>
      <c r="C88" s="24">
        <f>C65</f>
        <v>16</v>
      </c>
      <c r="D88" s="24">
        <f>求节点(节奏总纲!G$4:G$163,节奏总纲!$C$4:$C$163,INDEX(节奏总纲!AD$4:AD$83,C88,1))</f>
        <v>15.589627930182091</v>
      </c>
      <c r="E88" s="24">
        <v>1</v>
      </c>
      <c r="F88" s="4">
        <f t="shared" ref="F88:F103" si="5">IFERROR(INT(求节点($C$2:$C$11,$D$2:$D$11,$E88)),0)</f>
        <v>1</v>
      </c>
      <c r="H88" s="23">
        <f>MIN(门客获得情况预估!AJ75,$F88-SUM(I88:$L88))</f>
        <v>0.6373182970867648</v>
      </c>
      <c r="I88" s="23">
        <f>MIN(门客获得情况预估!AK75,$F88-SUM(J88:$L88))</f>
        <v>0.3626817029132352</v>
      </c>
      <c r="J88" s="23">
        <f>MIN(门客获得情况预估!AL75,$F88-SUM(K88:$L88))</f>
        <v>0</v>
      </c>
      <c r="K88" s="23">
        <f>MIN(门客获得情况预估!AM75,$F88-SUM($L88:L88))</f>
        <v>0</v>
      </c>
      <c r="L88" s="23">
        <f>MIN(门客获得情况预估!AN75,$F88)</f>
        <v>0</v>
      </c>
      <c r="N88" s="18">
        <f>IFERROR(H88/门客获得情况预估!O75,0)</f>
        <v>0</v>
      </c>
      <c r="O88" s="18">
        <f>IFERROR(I88/门客获得情况预估!P75,0)</f>
        <v>0</v>
      </c>
      <c r="P88" s="18">
        <f>IFERROR(J88/门客获得情况预估!Q75,0)</f>
        <v>0</v>
      </c>
      <c r="Q88" s="18">
        <f>IFERROR(K88/门客获得情况预估!R75,0)</f>
        <v>0</v>
      </c>
      <c r="R88" s="18">
        <f>IFERROR(L88/门客获得情况预估!S75,0)</f>
        <v>0</v>
      </c>
      <c r="S88" s="18">
        <f>MAX(N88:R88)*SUMPRODUCT(门客获得情况预估!$C$4:$G$4,门客获得情况预估!$O$6:$S$6)</f>
        <v>0</v>
      </c>
    </row>
    <row r="89" spans="2:19" x14ac:dyDescent="0.15">
      <c r="B89" s="9">
        <v>2</v>
      </c>
      <c r="C89" s="45">
        <f t="shared" ref="C89:C103" si="6">C66</f>
        <v>19.5</v>
      </c>
      <c r="D89" s="45">
        <f>求节点(节奏总纲!G$4:G$163,节奏总纲!$C$4:$C$163,INDEX(节奏总纲!AD$4:AD$83,C89,1))</f>
        <v>21.127034033068878</v>
      </c>
      <c r="E89" s="24">
        <v>2</v>
      </c>
      <c r="F89" s="4">
        <f t="shared" si="5"/>
        <v>2</v>
      </c>
      <c r="H89" s="23">
        <f>MIN(门客获得情况预估!AJ76,$F89-SUM(I89:$L89))</f>
        <v>1.3110146382620775</v>
      </c>
      <c r="I89" s="23">
        <f>MIN(门客获得情况预估!AK76,$F89-SUM(J89:$L89))</f>
        <v>0.68898536173792246</v>
      </c>
      <c r="J89" s="23">
        <f>MIN(门客获得情况预估!AL76,$F89-SUM(K89:$L89))</f>
        <v>0</v>
      </c>
      <c r="K89" s="23">
        <f>MIN(门客获得情况预估!AM76,$F89-SUM($L89:L89))</f>
        <v>0</v>
      </c>
      <c r="L89" s="23">
        <f>MIN(门客获得情况预估!AN76,$F89)</f>
        <v>0</v>
      </c>
      <c r="N89" s="18">
        <f>IFERROR(H89/门客获得情况预估!O76,0)</f>
        <v>0</v>
      </c>
      <c r="O89" s="18">
        <f>IFERROR(I89/门客获得情况预估!P76,0)</f>
        <v>0</v>
      </c>
      <c r="P89" s="18">
        <f>IFERROR(J89/门客获得情况预估!Q76,0)</f>
        <v>0</v>
      </c>
      <c r="Q89" s="18">
        <f>IFERROR(K89/门客获得情况预估!R76,0)</f>
        <v>0</v>
      </c>
      <c r="R89" s="18">
        <f>IFERROR(L89/门客获得情况预估!S76,0)</f>
        <v>0</v>
      </c>
      <c r="S89" s="18">
        <f>MAX(N89:R89)*SUMPRODUCT(门客获得情况预估!$C$4:$G$4,门客获得情况预估!$O$6:$S$6)</f>
        <v>0</v>
      </c>
    </row>
    <row r="90" spans="2:19" x14ac:dyDescent="0.15">
      <c r="B90" s="9">
        <v>3</v>
      </c>
      <c r="C90" s="45">
        <f t="shared" si="6"/>
        <v>23.5</v>
      </c>
      <c r="D90" s="45">
        <f>求节点(节奏总纲!G$4:G$163,节奏总纲!$C$4:$C$163,INDEX(节奏总纲!AD$4:AD$83,C90,1))</f>
        <v>29.279653557700659</v>
      </c>
      <c r="E90" s="24">
        <v>3</v>
      </c>
      <c r="F90" s="4">
        <f t="shared" si="5"/>
        <v>3</v>
      </c>
      <c r="H90" s="23">
        <f>MIN(门客获得情况预估!AJ77,$F90-SUM(I90:$L90))</f>
        <v>1.6207123032629396</v>
      </c>
      <c r="I90" s="23">
        <f>MIN(门客获得情况预估!AK77,$F90-SUM(J90:$L90))</f>
        <v>1.3792876967370604</v>
      </c>
      <c r="J90" s="23">
        <f>MIN(门客获得情况预估!AL77,$F90-SUM(K90:$L90))</f>
        <v>0</v>
      </c>
      <c r="K90" s="23">
        <f>MIN(门客获得情况预估!AM77,$F90-SUM($L90:L90))</f>
        <v>0</v>
      </c>
      <c r="L90" s="23">
        <f>MIN(门客获得情况预估!AN77,$F90)</f>
        <v>0</v>
      </c>
      <c r="N90" s="18">
        <f>IFERROR(H90/门客获得情况预估!O77,0)</f>
        <v>0</v>
      </c>
      <c r="O90" s="18">
        <f>IFERROR(I90/门客获得情况预估!P77,0)</f>
        <v>0</v>
      </c>
      <c r="P90" s="18">
        <f>IFERROR(J90/门客获得情况预估!Q77,0)</f>
        <v>0</v>
      </c>
      <c r="Q90" s="18">
        <f>IFERROR(K90/门客获得情况预估!R77,0)</f>
        <v>0</v>
      </c>
      <c r="R90" s="18">
        <f>IFERROR(L90/门客获得情况预估!S77,0)</f>
        <v>0</v>
      </c>
      <c r="S90" s="18">
        <f>MAX(N90:R90)*SUMPRODUCT(门客获得情况预估!$C$4:$G$4,门客获得情况预估!$O$6:$S$6)</f>
        <v>0</v>
      </c>
    </row>
    <row r="91" spans="2:19" x14ac:dyDescent="0.15">
      <c r="B91" s="9">
        <v>4</v>
      </c>
      <c r="C91" s="45">
        <f t="shared" si="6"/>
        <v>27.5</v>
      </c>
      <c r="D91" s="45">
        <f>求节点(节奏总纲!G$4:G$163,节奏总纲!$C$4:$C$163,INDEX(节奏总纲!AD$4:AD$83,C91,1))</f>
        <v>38.056251761612167</v>
      </c>
      <c r="E91" s="24">
        <v>4</v>
      </c>
      <c r="F91" s="4">
        <f t="shared" si="5"/>
        <v>4</v>
      </c>
      <c r="H91" s="23">
        <f>MIN(门客获得情况预估!AJ78,$F91-SUM(I91:$L91))</f>
        <v>1.3042538374306596</v>
      </c>
      <c r="I91" s="23">
        <f>MIN(门客获得情况预估!AK78,$F91-SUM(J91:$L91))</f>
        <v>2.6957461625693404</v>
      </c>
      <c r="J91" s="23">
        <f>MIN(门客获得情况预估!AL78,$F91-SUM(K91:$L91))</f>
        <v>0</v>
      </c>
      <c r="K91" s="23">
        <f>MIN(门客获得情况预估!AM78,$F91-SUM($L91:L91))</f>
        <v>0</v>
      </c>
      <c r="L91" s="23">
        <f>MIN(门客获得情况预估!AN78,$F91)</f>
        <v>0</v>
      </c>
      <c r="N91" s="18">
        <f>IFERROR(H91/门客获得情况预估!O78,0)</f>
        <v>0</v>
      </c>
      <c r="O91" s="18">
        <f>IFERROR(I91/门客获得情况预估!P78,0)</f>
        <v>0</v>
      </c>
      <c r="P91" s="18">
        <f>IFERROR(J91/门客获得情况预估!Q78,0)</f>
        <v>0</v>
      </c>
      <c r="Q91" s="18">
        <f>IFERROR(K91/门客获得情况预估!R78,0)</f>
        <v>0</v>
      </c>
      <c r="R91" s="18">
        <f>IFERROR(L91/门客获得情况预估!S78,0)</f>
        <v>0</v>
      </c>
      <c r="S91" s="18">
        <f>MAX(N91:R91)*SUMPRODUCT(门客获得情况预估!$C$4:$G$4,门客获得情况预估!$O$6:$S$6)</f>
        <v>0</v>
      </c>
    </row>
    <row r="92" spans="2:19" x14ac:dyDescent="0.15">
      <c r="B92" s="9">
        <v>5</v>
      </c>
      <c r="C92" s="45">
        <f t="shared" si="6"/>
        <v>31.5</v>
      </c>
      <c r="D92" s="45">
        <f>求节点(节奏总纲!G$4:G$163,节奏总纲!$C$4:$C$163,INDEX(节奏总纲!AD$4:AD$83,C92,1))</f>
        <v>47.007818211309306</v>
      </c>
      <c r="E92" s="24">
        <v>5</v>
      </c>
      <c r="F92" s="4">
        <f t="shared" si="5"/>
        <v>5</v>
      </c>
      <c r="H92" s="23">
        <f>MIN(门客获得情况预估!AJ79,$F92-SUM(I92:$L92))</f>
        <v>0</v>
      </c>
      <c r="I92" s="23">
        <f>MIN(门客获得情况预估!AK79,$F92-SUM(J92:$L92))</f>
        <v>2.2237345506612849</v>
      </c>
      <c r="J92" s="23">
        <f>MIN(门客获得情况预估!AL79,$F92-SUM(K92:$L92))</f>
        <v>2.1841769662258099</v>
      </c>
      <c r="K92" s="23">
        <f>MIN(门客获得情况预估!AM79,$F92-SUM($L92:L92))</f>
        <v>0.59208848311290496</v>
      </c>
      <c r="L92" s="23">
        <f>MIN(门客获得情况预估!AN79,$F92)</f>
        <v>0</v>
      </c>
      <c r="N92" s="18">
        <f>IFERROR(H92/门客获得情况预估!O79,0)</f>
        <v>0</v>
      </c>
      <c r="O92" s="18">
        <f>IFERROR(I92/门客获得情况预估!P79,0)</f>
        <v>0</v>
      </c>
      <c r="P92" s="18">
        <f>IFERROR(J92/门客获得情况预估!Q79,0)</f>
        <v>0</v>
      </c>
      <c r="Q92" s="18">
        <f>IFERROR(K92/门客获得情况预估!R79,0)</f>
        <v>0</v>
      </c>
      <c r="R92" s="18">
        <f>IFERROR(L92/门客获得情况预估!S79,0)</f>
        <v>0</v>
      </c>
      <c r="S92" s="18">
        <f>MAX(N92:R92)*SUMPRODUCT(门客获得情况预估!$C$4:$G$4,门客获得情况预估!$O$6:$S$6)</f>
        <v>0</v>
      </c>
    </row>
    <row r="93" spans="2:19" x14ac:dyDescent="0.15">
      <c r="B93" s="9">
        <v>6</v>
      </c>
      <c r="C93" s="45">
        <f t="shared" si="6"/>
        <v>35.5</v>
      </c>
      <c r="D93" s="45">
        <f>求节点(节奏总纲!G$4:G$163,节奏总纲!$C$4:$C$163,INDEX(节奏总纲!AD$4:AD$83,C93,1))</f>
        <v>56.279027610646125</v>
      </c>
      <c r="E93" s="24">
        <v>6</v>
      </c>
      <c r="F93" s="4">
        <f t="shared" si="5"/>
        <v>6</v>
      </c>
      <c r="H93" s="23">
        <f>MIN(门客获得情况预估!AJ80,$F93-SUM(I93:$L93))</f>
        <v>0</v>
      </c>
      <c r="I93" s="23">
        <f>MIN(门客获得情况预估!AK80,$F93-SUM(J93:$L93))</f>
        <v>0</v>
      </c>
      <c r="J93" s="23">
        <f>MIN(门客获得情况预估!AL80,$F93-SUM(K93:$L93))</f>
        <v>3.0983263690354175</v>
      </c>
      <c r="K93" s="23">
        <f>MIN(门客获得情况预估!AM80,$F93-SUM($L93:L93))</f>
        <v>2.9016736309645825</v>
      </c>
      <c r="L93" s="23">
        <f>MIN(门客获得情况预估!AN80,$F93)</f>
        <v>0</v>
      </c>
      <c r="N93" s="18">
        <f>IFERROR(H93/门客获得情况预估!O80,0)</f>
        <v>0</v>
      </c>
      <c r="O93" s="18">
        <f>IFERROR(I93/门客获得情况预估!P80,0)</f>
        <v>0</v>
      </c>
      <c r="P93" s="18">
        <f>IFERROR(J93/门客获得情况预估!Q80,0)</f>
        <v>0</v>
      </c>
      <c r="Q93" s="18">
        <f>IFERROR(K93/门客获得情况预估!R80,0)</f>
        <v>0</v>
      </c>
      <c r="R93" s="18">
        <f>IFERROR(L93/门客获得情况预估!S80,0)</f>
        <v>0</v>
      </c>
      <c r="S93" s="18">
        <f>MAX(N93:R93)*SUMPRODUCT(门客获得情况预估!$C$4:$G$4,门客获得情况预估!$O$6:$S$6)</f>
        <v>0</v>
      </c>
    </row>
    <row r="94" spans="2:19" x14ac:dyDescent="0.15">
      <c r="B94" s="9">
        <v>7</v>
      </c>
      <c r="C94" s="45">
        <f t="shared" si="6"/>
        <v>39.5</v>
      </c>
      <c r="D94" s="45">
        <f>求节点(节奏总纲!G$4:G$163,节奏总纲!$C$4:$C$163,INDEX(节奏总纲!AD$4:AD$83,C94,1))</f>
        <v>64.756218484668864</v>
      </c>
      <c r="E94" s="24">
        <v>7</v>
      </c>
      <c r="F94" s="4">
        <f t="shared" si="5"/>
        <v>7</v>
      </c>
      <c r="H94" s="23">
        <f>MIN(门客获得情况预估!AJ81,$F94-SUM(I94:$L94))</f>
        <v>0</v>
      </c>
      <c r="I94" s="23">
        <f>MIN(门客获得情况预估!AK81,$F94-SUM(J94:$L94))</f>
        <v>0</v>
      </c>
      <c r="J94" s="23">
        <f>MIN(门客获得情况预估!AL81,$F94-SUM(K94:$L94))</f>
        <v>9.8475321929284654E-2</v>
      </c>
      <c r="K94" s="23">
        <f>MIN(门客获得情况预估!AM81,$F94-SUM($L94:L94))</f>
        <v>6.9015246780707153</v>
      </c>
      <c r="L94" s="23">
        <f>MIN(门客获得情况预估!AN81,$F94)</f>
        <v>0</v>
      </c>
      <c r="N94" s="18">
        <f>IFERROR(H94/门客获得情况预估!O81,0)</f>
        <v>0</v>
      </c>
      <c r="O94" s="18">
        <f>IFERROR(I94/门客获得情况预估!P81,0)</f>
        <v>0</v>
      </c>
      <c r="P94" s="18">
        <f>IFERROR(J94/门客获得情况预估!Q81,0)</f>
        <v>0</v>
      </c>
      <c r="Q94" s="18">
        <f>IFERROR(K94/门客获得情况预估!R81,0)</f>
        <v>0</v>
      </c>
      <c r="R94" s="18">
        <f>IFERROR(L94/门客获得情况预估!S81,0)</f>
        <v>0</v>
      </c>
      <c r="S94" s="18">
        <f>MAX(N94:R94)*SUMPRODUCT(门客获得情况预估!$C$4:$G$4,门客获得情况预估!$O$6:$S$6)</f>
        <v>0</v>
      </c>
    </row>
    <row r="95" spans="2:19" x14ac:dyDescent="0.15">
      <c r="B95" s="9">
        <v>8</v>
      </c>
      <c r="C95" s="45">
        <f t="shared" si="6"/>
        <v>43.5</v>
      </c>
      <c r="D95" s="45">
        <f>求节点(节奏总纲!G$4:G$163,节奏总纲!$C$4:$C$163,INDEX(节奏总纲!AD$4:AD$83,C95,1))</f>
        <v>73.446658299619131</v>
      </c>
      <c r="E95" s="24">
        <v>8</v>
      </c>
      <c r="F95" s="4">
        <f t="shared" si="5"/>
        <v>8</v>
      </c>
      <c r="H95" s="23">
        <f>MIN(门客获得情况预估!AJ82,$F95-SUM(I95:$L95))</f>
        <v>0</v>
      </c>
      <c r="I95" s="23">
        <f>MIN(门客获得情况预估!AK82,$F95-SUM(J95:$L95))</f>
        <v>0</v>
      </c>
      <c r="J95" s="23">
        <f>MIN(门客获得情况预估!AL82,$F95-SUM(K95:$L95))</f>
        <v>0</v>
      </c>
      <c r="K95" s="23">
        <f>MIN(门客获得情况预估!AM82,$F95-SUM($L95:L95))</f>
        <v>8</v>
      </c>
      <c r="L95" s="23">
        <f>MIN(门客获得情况预估!AN82,$F95)</f>
        <v>0</v>
      </c>
      <c r="N95" s="18">
        <f>IFERROR(H95/门客获得情况预估!O82,0)</f>
        <v>0</v>
      </c>
      <c r="O95" s="18">
        <f>IFERROR(I95/门客获得情况预估!P82,0)</f>
        <v>0</v>
      </c>
      <c r="P95" s="18">
        <f>IFERROR(J95/门客获得情况预估!Q82,0)</f>
        <v>0</v>
      </c>
      <c r="Q95" s="18">
        <f>IFERROR(K95/门客获得情况预估!R82,0)</f>
        <v>0</v>
      </c>
      <c r="R95" s="18">
        <f>IFERROR(L95/门客获得情况预估!S82,0)</f>
        <v>0</v>
      </c>
      <c r="S95" s="18">
        <f>MAX(N95:R95)*SUMPRODUCT(门客获得情况预估!$C$4:$G$4,门客获得情况预估!$O$6:$S$6)</f>
        <v>0</v>
      </c>
    </row>
    <row r="96" spans="2:19" x14ac:dyDescent="0.15">
      <c r="B96" s="9">
        <v>9</v>
      </c>
      <c r="C96" s="45">
        <f t="shared" si="6"/>
        <v>47.5</v>
      </c>
      <c r="D96" s="45">
        <f>求节点(节奏总纲!G$4:G$163,节奏总纲!$C$4:$C$163,INDEX(节奏总纲!AD$4:AD$83,C96,1))</f>
        <v>82.027450452783569</v>
      </c>
      <c r="E96" s="24">
        <v>9</v>
      </c>
      <c r="F96" s="4">
        <f t="shared" si="5"/>
        <v>9</v>
      </c>
      <c r="H96" s="23">
        <f>MIN(门客获得情况预估!AJ83,$F96-SUM(I96:$L96))</f>
        <v>0</v>
      </c>
      <c r="I96" s="23">
        <f>MIN(门客获得情况预估!AK83,$F96-SUM(J96:$L96))</f>
        <v>0</v>
      </c>
      <c r="J96" s="23">
        <f>MIN(门客获得情况预估!AL83,$F96-SUM(K96:$L96))</f>
        <v>0</v>
      </c>
      <c r="K96" s="23">
        <f>MIN(门客获得情况预估!AM83,$F96-SUM($L96:L96))</f>
        <v>9</v>
      </c>
      <c r="L96" s="23">
        <f>MIN(门客获得情况预估!AN83,$F96)</f>
        <v>0</v>
      </c>
      <c r="N96" s="18">
        <f>IFERROR(H96/门客获得情况预估!O83,0)</f>
        <v>0</v>
      </c>
      <c r="O96" s="18">
        <f>IFERROR(I96/门客获得情况预估!P83,0)</f>
        <v>0</v>
      </c>
      <c r="P96" s="18">
        <f>IFERROR(J96/门客获得情况预估!Q83,0)</f>
        <v>0</v>
      </c>
      <c r="Q96" s="18">
        <f>IFERROR(K96/门客获得情况预估!R83,0)</f>
        <v>0</v>
      </c>
      <c r="R96" s="18">
        <f>IFERROR(L96/门客获得情况预估!S83,0)</f>
        <v>0</v>
      </c>
      <c r="S96" s="18">
        <f>MAX(N96:R96)*SUMPRODUCT(门客获得情况预估!$C$4:$G$4,门客获得情况预估!$O$6:$S$6)</f>
        <v>0</v>
      </c>
    </row>
    <row r="97" spans="2:19" x14ac:dyDescent="0.15">
      <c r="B97" s="9">
        <v>10</v>
      </c>
      <c r="C97" s="45">
        <f t="shared" si="6"/>
        <v>52</v>
      </c>
      <c r="D97" s="45">
        <f>求节点(节奏总纲!G$4:G$163,节奏总纲!$C$4:$C$163,INDEX(节奏总纲!AD$4:AD$83,C97,1))</f>
        <v>93.208444061349098</v>
      </c>
      <c r="E97" s="24">
        <v>10</v>
      </c>
      <c r="F97" s="4">
        <f t="shared" si="5"/>
        <v>10</v>
      </c>
      <c r="H97" s="23">
        <f>MIN(门客获得情况预估!AJ84,$F97-SUM(I97:$L97))</f>
        <v>0</v>
      </c>
      <c r="I97" s="23">
        <f>MIN(门客获得情况预估!AK84,$F97-SUM(J97:$L97))</f>
        <v>0</v>
      </c>
      <c r="J97" s="23">
        <f>MIN(门客获得情况预估!AL84,$F97-SUM(K97:$L97))</f>
        <v>0</v>
      </c>
      <c r="K97" s="23">
        <f>MIN(门客获得情况预估!AM84,$F97-SUM($L97:L97))</f>
        <v>10</v>
      </c>
      <c r="L97" s="23">
        <f>MIN(门客获得情况预估!AN84,$F97)</f>
        <v>0</v>
      </c>
      <c r="N97" s="18">
        <f>IFERROR(H97/门客获得情况预估!O84,0)</f>
        <v>0</v>
      </c>
      <c r="O97" s="18">
        <f>IFERROR(I97/门客获得情况预估!P84,0)</f>
        <v>0</v>
      </c>
      <c r="P97" s="18">
        <f>IFERROR(J97/门客获得情况预估!Q84,0)</f>
        <v>0</v>
      </c>
      <c r="Q97" s="18">
        <f>IFERROR(K97/门客获得情况预估!R84,0)</f>
        <v>0</v>
      </c>
      <c r="R97" s="18">
        <f>IFERROR(L97/门客获得情况预估!S84,0)</f>
        <v>0</v>
      </c>
      <c r="S97" s="18">
        <f>MAX(N97:R97)*SUMPRODUCT(门客获得情况预估!$C$4:$G$4,门客获得情况预估!$O$6:$S$6)</f>
        <v>0</v>
      </c>
    </row>
    <row r="98" spans="2:19" x14ac:dyDescent="0.15">
      <c r="B98" s="9">
        <v>11</v>
      </c>
      <c r="C98" s="45">
        <f t="shared" si="6"/>
        <v>57</v>
      </c>
      <c r="D98" s="45">
        <f>求节点(节奏总纲!G$4:G$163,节奏总纲!$C$4:$C$163,INDEX(节奏总纲!AD$4:AD$83,C98,1))</f>
        <v>103.87052361677672</v>
      </c>
      <c r="E98" s="45">
        <v>11</v>
      </c>
      <c r="F98" s="44">
        <f t="shared" si="5"/>
        <v>11</v>
      </c>
      <c r="H98" s="44">
        <f>MIN(门客获得情况预估!AJ85,$F98-SUM(I98:$L98))</f>
        <v>0</v>
      </c>
      <c r="I98" s="44">
        <f>MIN(门客获得情况预估!AK85,$F98-SUM(J98:$L98))</f>
        <v>0</v>
      </c>
      <c r="J98" s="44">
        <f>MIN(门客获得情况预估!AL85,$F98-SUM(K98:$L98))</f>
        <v>0</v>
      </c>
      <c r="K98" s="44">
        <f>MIN(门客获得情况预估!AM85,$F98-SUM($L98:L98))</f>
        <v>11</v>
      </c>
      <c r="L98" s="44">
        <f>MIN(门客获得情况预估!AN85,$F98)</f>
        <v>0</v>
      </c>
      <c r="N98" s="44">
        <f>IFERROR(H98/门客获得情况预估!O85,0)</f>
        <v>0</v>
      </c>
      <c r="O98" s="44">
        <f>IFERROR(I98/门客获得情况预估!P85,0)</f>
        <v>0</v>
      </c>
      <c r="P98" s="44">
        <f>IFERROR(J98/门客获得情况预估!Q85,0)</f>
        <v>0</v>
      </c>
      <c r="Q98" s="44">
        <f>IFERROR(K98/门客获得情况预估!R85,0)</f>
        <v>0</v>
      </c>
      <c r="R98" s="44">
        <f>IFERROR(L98/门客获得情况预估!S85,0)</f>
        <v>0</v>
      </c>
      <c r="S98" s="44">
        <f>MAX(N98:R98)*SUMPRODUCT(门客获得情况预估!$C$4:$G$4,门客获得情况预估!$O$6:$S$6)</f>
        <v>0</v>
      </c>
    </row>
    <row r="99" spans="2:19" x14ac:dyDescent="0.15">
      <c r="B99" s="9">
        <v>12</v>
      </c>
      <c r="C99" s="45">
        <f t="shared" si="6"/>
        <v>62</v>
      </c>
      <c r="D99" s="45">
        <f>求节点(节奏总纲!G$4:G$163,节奏总纲!$C$4:$C$163,INDEX(节奏总纲!AD$4:AD$83,C99,1))</f>
        <v>114.60606674176169</v>
      </c>
      <c r="E99" s="45">
        <v>12</v>
      </c>
      <c r="F99" s="44">
        <f t="shared" si="5"/>
        <v>12</v>
      </c>
      <c r="H99" s="44">
        <f>MIN(门客获得情况预估!AJ86,$F99-SUM(I99:$L99))</f>
        <v>0</v>
      </c>
      <c r="I99" s="44">
        <f>MIN(门客获得情况预估!AK86,$F99-SUM(J99:$L99))</f>
        <v>0</v>
      </c>
      <c r="J99" s="44">
        <f>MIN(门客获得情况预估!AL86,$F99-SUM(K99:$L99))</f>
        <v>0</v>
      </c>
      <c r="K99" s="44">
        <f>MIN(门客获得情况预估!AM86,$F99-SUM($L99:L99))</f>
        <v>12</v>
      </c>
      <c r="L99" s="44">
        <f>MIN(门客获得情况预估!AN86,$F99)</f>
        <v>0</v>
      </c>
      <c r="N99" s="44">
        <f>IFERROR(H99/门客获得情况预估!O86,0)</f>
        <v>0</v>
      </c>
      <c r="O99" s="44">
        <f>IFERROR(I99/门客获得情况预估!P86,0)</f>
        <v>0</v>
      </c>
      <c r="P99" s="44">
        <f>IFERROR(J99/门客获得情况预估!Q86,0)</f>
        <v>0</v>
      </c>
      <c r="Q99" s="44">
        <f>IFERROR(K99/门客获得情况预估!R86,0)</f>
        <v>0</v>
      </c>
      <c r="R99" s="44">
        <f>IFERROR(L99/门客获得情况预估!S86,0)</f>
        <v>0</v>
      </c>
      <c r="S99" s="44">
        <f>MAX(N99:R99)*SUMPRODUCT(门客获得情况预估!$C$4:$G$4,门客获得情况预估!$O$6:$S$6)</f>
        <v>0</v>
      </c>
    </row>
    <row r="100" spans="2:19" x14ac:dyDescent="0.15">
      <c r="B100" s="9">
        <v>13</v>
      </c>
      <c r="C100" s="45">
        <f t="shared" si="6"/>
        <v>67</v>
      </c>
      <c r="D100" s="45">
        <f>求节点(节奏总纲!G$4:G$163,节奏总纲!$C$4:$C$163,INDEX(节奏总纲!AD$4:AD$83,C100,1))</f>
        <v>125.19410714767859</v>
      </c>
      <c r="E100" s="45">
        <v>13</v>
      </c>
      <c r="F100" s="44">
        <f t="shared" si="5"/>
        <v>13</v>
      </c>
      <c r="H100" s="44">
        <f>MIN(门客获得情况预估!AJ87,$F100-SUM(I100:$L100))</f>
        <v>0</v>
      </c>
      <c r="I100" s="44">
        <f>MIN(门客获得情况预估!AK87,$F100-SUM(J100:$L100))</f>
        <v>0</v>
      </c>
      <c r="J100" s="44">
        <f>MIN(门客获得情况预估!AL87,$F100-SUM(K100:$L100))</f>
        <v>0</v>
      </c>
      <c r="K100" s="44">
        <f>MIN(门客获得情况预估!AM87,$F100-SUM($L100:L100))</f>
        <v>13</v>
      </c>
      <c r="L100" s="44">
        <f>MIN(门客获得情况预估!AN87,$F100)</f>
        <v>0</v>
      </c>
      <c r="N100" s="44">
        <f>IFERROR(H100/门客获得情况预估!O87,0)</f>
        <v>0</v>
      </c>
      <c r="O100" s="44">
        <f>IFERROR(I100/门客获得情况预估!P87,0)</f>
        <v>0</v>
      </c>
      <c r="P100" s="44">
        <f>IFERROR(J100/门客获得情况预估!Q87,0)</f>
        <v>0</v>
      </c>
      <c r="Q100" s="44">
        <f>IFERROR(K100/门客获得情况预估!R87,0)</f>
        <v>0</v>
      </c>
      <c r="R100" s="44">
        <f>IFERROR(L100/门客获得情况预估!S87,0)</f>
        <v>0</v>
      </c>
      <c r="S100" s="44">
        <f>MAX(N100:R100)*SUMPRODUCT(门客获得情况预估!$C$4:$G$4,门客获得情况预估!$O$6:$S$6)</f>
        <v>0</v>
      </c>
    </row>
    <row r="101" spans="2:19" x14ac:dyDescent="0.15">
      <c r="B101" s="9">
        <v>14</v>
      </c>
      <c r="C101" s="45">
        <f t="shared" si="6"/>
        <v>72</v>
      </c>
      <c r="D101" s="45">
        <f>求节点(节奏总纲!G$4:G$163,节奏总纲!$C$4:$C$163,INDEX(节奏总纲!AD$4:AD$83,C101,1))</f>
        <v>135.89542876835631</v>
      </c>
      <c r="E101" s="45">
        <v>14</v>
      </c>
      <c r="F101" s="44">
        <f t="shared" si="5"/>
        <v>14</v>
      </c>
      <c r="H101" s="44">
        <f>MIN(门客获得情况预估!AJ88,$F101-SUM(I101:$L101))</f>
        <v>0</v>
      </c>
      <c r="I101" s="44">
        <f>MIN(门客获得情况预估!AK88,$F101-SUM(J101:$L101))</f>
        <v>0</v>
      </c>
      <c r="J101" s="44">
        <f>MIN(门客获得情况预估!AL88,$F101-SUM(K101:$L101))</f>
        <v>0</v>
      </c>
      <c r="K101" s="44">
        <f>MIN(门客获得情况预估!AM88,$F101-SUM($L101:L101))</f>
        <v>14</v>
      </c>
      <c r="L101" s="44">
        <f>MIN(门客获得情况预估!AN88,$F101)</f>
        <v>0</v>
      </c>
      <c r="N101" s="44">
        <f>IFERROR(H101/门客获得情况预估!O88,0)</f>
        <v>0</v>
      </c>
      <c r="O101" s="44">
        <f>IFERROR(I101/门客获得情况预估!P88,0)</f>
        <v>0</v>
      </c>
      <c r="P101" s="44">
        <f>IFERROR(J101/门客获得情况预估!Q88,0)</f>
        <v>0</v>
      </c>
      <c r="Q101" s="44">
        <f>IFERROR(K101/门客获得情况预估!R88,0)</f>
        <v>0</v>
      </c>
      <c r="R101" s="44">
        <f>IFERROR(L101/门客获得情况预估!S88,0)</f>
        <v>0</v>
      </c>
      <c r="S101" s="44">
        <f>MAX(N101:R101)*SUMPRODUCT(门客获得情况预估!$C$4:$G$4,门客获得情况预估!$O$6:$S$6)</f>
        <v>0</v>
      </c>
    </row>
    <row r="102" spans="2:19" x14ac:dyDescent="0.15">
      <c r="B102" s="9">
        <v>15</v>
      </c>
      <c r="C102" s="45">
        <f t="shared" si="6"/>
        <v>77</v>
      </c>
      <c r="D102" s="45">
        <f>求节点(节奏总纲!G$4:G$163,节奏总纲!$C$4:$C$163,INDEX(节奏总纲!AD$4:AD$83,C102,1))</f>
        <v>146.55064673623977</v>
      </c>
      <c r="E102" s="45">
        <v>15</v>
      </c>
      <c r="F102" s="44">
        <f t="shared" si="5"/>
        <v>15</v>
      </c>
      <c r="H102" s="44">
        <f>MIN(门客获得情况预估!AJ89,$F102-SUM(I102:$L102))</f>
        <v>0</v>
      </c>
      <c r="I102" s="44">
        <f>MIN(门客获得情况预估!AK89,$F102-SUM(J102:$L102))</f>
        <v>0</v>
      </c>
      <c r="J102" s="44">
        <f>MIN(门客获得情况预估!AL89,$F102-SUM(K102:$L102))</f>
        <v>0</v>
      </c>
      <c r="K102" s="44">
        <f>MIN(门客获得情况预估!AM89,$F102-SUM($L102:L102))</f>
        <v>15</v>
      </c>
      <c r="L102" s="44">
        <f>MIN(门客获得情况预估!AN89,$F102)</f>
        <v>0</v>
      </c>
      <c r="N102" s="44">
        <f>IFERROR(H102/门客获得情况预估!O89,0)</f>
        <v>0</v>
      </c>
      <c r="O102" s="44">
        <f>IFERROR(I102/门客获得情况预估!P89,0)</f>
        <v>0</v>
      </c>
      <c r="P102" s="44">
        <f>IFERROR(J102/门客获得情况预估!Q89,0)</f>
        <v>0</v>
      </c>
      <c r="Q102" s="44">
        <f>IFERROR(K102/门客获得情况预估!R89,0)</f>
        <v>0</v>
      </c>
      <c r="R102" s="44">
        <f>IFERROR(L102/门客获得情况预估!S89,0)</f>
        <v>0</v>
      </c>
      <c r="S102" s="44">
        <f>MAX(N102:R102)*SUMPRODUCT(门客获得情况预估!$C$4:$G$4,门客获得情况预估!$O$6:$S$6)</f>
        <v>0</v>
      </c>
    </row>
    <row r="103" spans="2:19" x14ac:dyDescent="0.15">
      <c r="B103" s="9">
        <v>16</v>
      </c>
      <c r="C103" s="45">
        <f t="shared" si="6"/>
        <v>80</v>
      </c>
      <c r="D103" s="45">
        <f>求节点(节奏总纲!G$4:G$163,节奏总纲!$C$4:$C$163,INDEX(节奏总纲!AD$4:AD$83,C103,1))</f>
        <v>152.12605579164665</v>
      </c>
      <c r="E103" s="45">
        <v>16</v>
      </c>
      <c r="F103" s="44">
        <f t="shared" si="5"/>
        <v>16</v>
      </c>
      <c r="H103" s="44">
        <f>MIN(门客获得情况预估!AJ90,$F103-SUM(I103:$L103))</f>
        <v>0</v>
      </c>
      <c r="I103" s="44">
        <f>MIN(门客获得情况预估!AK90,$F103-SUM(J103:$L103))</f>
        <v>0</v>
      </c>
      <c r="J103" s="44">
        <f>MIN(门客获得情况预估!AL90,$F103-SUM(K103:$L103))</f>
        <v>0</v>
      </c>
      <c r="K103" s="44">
        <f>MIN(门客获得情况预估!AM90,$F103-SUM($L103:L103))</f>
        <v>16</v>
      </c>
      <c r="L103" s="44">
        <f>MIN(门客获得情况预估!AN90,$F103)</f>
        <v>0</v>
      </c>
      <c r="N103" s="44">
        <f>IFERROR(H103/门客获得情况预估!O90,0)</f>
        <v>0</v>
      </c>
      <c r="O103" s="44">
        <f>IFERROR(I103/门客获得情况预估!P90,0)</f>
        <v>0</v>
      </c>
      <c r="P103" s="44">
        <f>IFERROR(J103/门客获得情况预估!Q90,0)</f>
        <v>0</v>
      </c>
      <c r="Q103" s="44">
        <f>IFERROR(K103/门客获得情况预估!R90,0)</f>
        <v>0</v>
      </c>
      <c r="R103" s="44">
        <f>IFERROR(L103/门客获得情况预估!S90,0)</f>
        <v>0</v>
      </c>
      <c r="S103" s="44">
        <f>MAX(N103:R103)*SUMPRODUCT(门客获得情况预估!$C$4:$G$4,门客获得情况预估!$O$6:$S$6)</f>
        <v>0</v>
      </c>
    </row>
    <row r="104" spans="2:19" x14ac:dyDescent="0.15">
      <c r="C104" s="9"/>
      <c r="D104" s="9"/>
      <c r="E104" s="9"/>
    </row>
    <row r="105" spans="2:19" x14ac:dyDescent="0.15">
      <c r="C105" s="7"/>
      <c r="D105" s="7"/>
      <c r="E105" s="7"/>
    </row>
    <row r="108" spans="2:19" x14ac:dyDescent="0.15">
      <c r="C108" s="9"/>
      <c r="D108" s="9"/>
      <c r="E108" s="9"/>
    </row>
    <row r="109" spans="2:19" x14ac:dyDescent="0.15">
      <c r="C109" s="7" t="s">
        <v>20</v>
      </c>
      <c r="E109" s="9"/>
      <c r="H109" s="130" t="s">
        <v>39</v>
      </c>
      <c r="I109" s="130"/>
      <c r="J109" s="130"/>
      <c r="K109" s="130"/>
      <c r="L109" s="130"/>
      <c r="N109" s="130" t="s">
        <v>87</v>
      </c>
      <c r="O109" s="130"/>
      <c r="P109" s="130"/>
      <c r="Q109" s="130"/>
      <c r="R109" s="130"/>
      <c r="S109" s="130"/>
    </row>
    <row r="110" spans="2:19" x14ac:dyDescent="0.15">
      <c r="C110" s="24" t="s">
        <v>90</v>
      </c>
      <c r="D110" s="24" t="s">
        <v>103</v>
      </c>
      <c r="E110" s="24" t="s">
        <v>21</v>
      </c>
      <c r="F110" s="4" t="s">
        <v>32</v>
      </c>
      <c r="H110" s="4" t="s">
        <v>33</v>
      </c>
      <c r="I110" s="4" t="s">
        <v>34</v>
      </c>
      <c r="J110" s="4" t="s">
        <v>35</v>
      </c>
      <c r="K110" s="4" t="s">
        <v>36</v>
      </c>
      <c r="L110" s="4" t="s">
        <v>37</v>
      </c>
      <c r="N110" s="18" t="s">
        <v>33</v>
      </c>
      <c r="O110" s="18" t="s">
        <v>34</v>
      </c>
      <c r="P110" s="18" t="s">
        <v>10</v>
      </c>
      <c r="Q110" s="18" t="s">
        <v>36</v>
      </c>
      <c r="R110" s="18" t="s">
        <v>37</v>
      </c>
      <c r="S110" s="18" t="s">
        <v>86</v>
      </c>
    </row>
    <row r="111" spans="2:19" x14ac:dyDescent="0.15">
      <c r="B111" s="9">
        <v>1</v>
      </c>
      <c r="C111" s="24">
        <f>C88</f>
        <v>16</v>
      </c>
      <c r="D111" s="24">
        <f>求节点(节奏总纲!H$4:H$163,节奏总纲!$C$4:$C$163,INDEX(节奏总纲!AE$4:AE$83,C111,1))</f>
        <v>14.671687356650759</v>
      </c>
      <c r="E111" s="24">
        <v>1</v>
      </c>
      <c r="F111" s="4">
        <f t="shared" ref="F111:F126" si="7">IFERROR(INT(求节点($C$2:$C$11,$D$2:$D$11,$E111)),0)</f>
        <v>1</v>
      </c>
      <c r="H111" s="23">
        <f>MIN(门客获得情况预估!AJ98,$F111-SUM(I111:$L111))</f>
        <v>0.6373182970867648</v>
      </c>
      <c r="I111" s="23">
        <f>MIN(门客获得情况预估!AK98,$F111-SUM(J111:$L111))</f>
        <v>0.3626817029132352</v>
      </c>
      <c r="J111" s="23">
        <f>MIN(门客获得情况预估!AL98,$F111-SUM(K111:$L111))</f>
        <v>0</v>
      </c>
      <c r="K111" s="23">
        <f>MIN(门客获得情况预估!AM98,$F111-SUM($L111:L111))</f>
        <v>0</v>
      </c>
      <c r="L111" s="23">
        <f>MIN(门客获得情况预估!AN98,$F111)</f>
        <v>0</v>
      </c>
      <c r="N111" s="18">
        <f>IFERROR(H111/门客获得情况预估!O98,0)</f>
        <v>0</v>
      </c>
      <c r="O111" s="18">
        <f>IFERROR(I111/门客获得情况预估!P98,0)</f>
        <v>0</v>
      </c>
      <c r="P111" s="18">
        <f>IFERROR(J111/门客获得情况预估!Q98,0)</f>
        <v>0</v>
      </c>
      <c r="Q111" s="18">
        <f>IFERROR(K111/门客获得情况预估!R98,0)</f>
        <v>0</v>
      </c>
      <c r="R111" s="18">
        <f>IFERROR(L111/门客获得情况预估!S98,0)</f>
        <v>0</v>
      </c>
      <c r="S111" s="18">
        <f>MAX(N111:R111)*SUMPRODUCT(门客获得情况预估!$C$4:$G$4,门客获得情况预估!$O$6:$S$6)</f>
        <v>0</v>
      </c>
    </row>
    <row r="112" spans="2:19" x14ac:dyDescent="0.15">
      <c r="B112" s="9">
        <v>2</v>
      </c>
      <c r="C112" s="45">
        <f t="shared" ref="C112:C126" si="8">C89</f>
        <v>19.5</v>
      </c>
      <c r="D112" s="45">
        <f>求节点(节奏总纲!H$4:H$163,节奏总纲!$C$4:$C$163,INDEX(节奏总纲!AE$4:AE$83,C112,1))</f>
        <v>19.990401674856564</v>
      </c>
      <c r="E112" s="24">
        <v>2</v>
      </c>
      <c r="F112" s="4">
        <f t="shared" si="7"/>
        <v>2</v>
      </c>
      <c r="H112" s="23">
        <f>MIN(门客获得情况预估!AJ99,$F112-SUM(I112:$L112))</f>
        <v>1.3110146382620775</v>
      </c>
      <c r="I112" s="23">
        <f>MIN(门客获得情况预估!AK99,$F112-SUM(J112:$L112))</f>
        <v>0.68898536173792246</v>
      </c>
      <c r="J112" s="23">
        <f>MIN(门客获得情况预估!AL99,$F112-SUM(K112:$L112))</f>
        <v>0</v>
      </c>
      <c r="K112" s="23">
        <f>MIN(门客获得情况预估!AM99,$F112-SUM($L112:L112))</f>
        <v>0</v>
      </c>
      <c r="L112" s="23">
        <f>MIN(门客获得情况预估!AN99,$F112)</f>
        <v>0</v>
      </c>
      <c r="N112" s="18">
        <f>IFERROR(H112/门客获得情况预估!O99,0)</f>
        <v>0</v>
      </c>
      <c r="O112" s="18">
        <f>IFERROR(I112/门客获得情况预估!P99,0)</f>
        <v>0</v>
      </c>
      <c r="P112" s="18">
        <f>IFERROR(J112/门客获得情况预估!Q99,0)</f>
        <v>0</v>
      </c>
      <c r="Q112" s="18">
        <f>IFERROR(K112/门客获得情况预估!R99,0)</f>
        <v>0</v>
      </c>
      <c r="R112" s="18">
        <f>IFERROR(L112/门客获得情况预估!S99,0)</f>
        <v>0</v>
      </c>
      <c r="S112" s="18">
        <f>MAX(N112:R112)*SUMPRODUCT(门客获得情况预估!$C$4:$G$4,门客获得情况预估!$O$6:$S$6)</f>
        <v>0</v>
      </c>
    </row>
    <row r="113" spans="2:19" x14ac:dyDescent="0.15">
      <c r="B113" s="9">
        <v>3</v>
      </c>
      <c r="C113" s="45">
        <f t="shared" si="8"/>
        <v>23.5</v>
      </c>
      <c r="D113" s="45">
        <f>求节点(节奏总纲!H$4:H$163,节奏总纲!$C$4:$C$163,INDEX(节奏总纲!AE$4:AE$83,C113,1))</f>
        <v>27.953695907743711</v>
      </c>
      <c r="E113" s="24">
        <v>3</v>
      </c>
      <c r="F113" s="4">
        <f t="shared" si="7"/>
        <v>3</v>
      </c>
      <c r="H113" s="23">
        <f>MIN(门客获得情况预估!AJ100,$F113-SUM(I113:$L113))</f>
        <v>1.6207123032629396</v>
      </c>
      <c r="I113" s="23">
        <f>MIN(门客获得情况预估!AK100,$F113-SUM(J113:$L113))</f>
        <v>1.3792876967370604</v>
      </c>
      <c r="J113" s="23">
        <f>MIN(门客获得情况预估!AL100,$F113-SUM(K113:$L113))</f>
        <v>0</v>
      </c>
      <c r="K113" s="23">
        <f>MIN(门客获得情况预估!AM100,$F113-SUM($L113:L113))</f>
        <v>0</v>
      </c>
      <c r="L113" s="23">
        <f>MIN(门客获得情况预估!AN100,$F113)</f>
        <v>0</v>
      </c>
      <c r="N113" s="18">
        <f>IFERROR(H113/门客获得情况预估!O100,0)</f>
        <v>0</v>
      </c>
      <c r="O113" s="18">
        <f>IFERROR(I113/门客获得情况预估!P100,0)</f>
        <v>0</v>
      </c>
      <c r="P113" s="18">
        <f>IFERROR(J113/门客获得情况预估!Q100,0)</f>
        <v>0</v>
      </c>
      <c r="Q113" s="18">
        <f>IFERROR(K113/门客获得情况预估!R100,0)</f>
        <v>0</v>
      </c>
      <c r="R113" s="18">
        <f>IFERROR(L113/门客获得情况预估!S100,0)</f>
        <v>0</v>
      </c>
      <c r="S113" s="18">
        <f>MAX(N113:R113)*SUMPRODUCT(门客获得情况预估!$C$4:$G$4,门客获得情况预估!$O$6:$S$6)</f>
        <v>0</v>
      </c>
    </row>
    <row r="114" spans="2:19" x14ac:dyDescent="0.15">
      <c r="B114" s="9">
        <v>4</v>
      </c>
      <c r="C114" s="45">
        <f t="shared" si="8"/>
        <v>27.5</v>
      </c>
      <c r="D114" s="45">
        <f>求节点(节奏总纲!H$4:H$163,节奏总纲!$C$4:$C$163,INDEX(节奏总纲!AE$4:AE$83,C114,1))</f>
        <v>36.474789469426575</v>
      </c>
      <c r="E114" s="24">
        <v>4</v>
      </c>
      <c r="F114" s="4">
        <f t="shared" si="7"/>
        <v>4</v>
      </c>
      <c r="H114" s="23">
        <f>MIN(门客获得情况预估!AJ101,$F114-SUM(I114:$L114))</f>
        <v>1.3042538374306596</v>
      </c>
      <c r="I114" s="23">
        <f>MIN(门客获得情况预估!AK101,$F114-SUM(J114:$L114))</f>
        <v>2.6957461625693404</v>
      </c>
      <c r="J114" s="23">
        <f>MIN(门客获得情况预估!AL101,$F114-SUM(K114:$L114))</f>
        <v>0</v>
      </c>
      <c r="K114" s="23">
        <f>MIN(门客获得情况预估!AM101,$F114-SUM($L114:L114))</f>
        <v>0</v>
      </c>
      <c r="L114" s="23">
        <f>MIN(门客获得情况预估!AN101,$F114)</f>
        <v>0</v>
      </c>
      <c r="N114" s="18">
        <f>IFERROR(H114/门客获得情况预估!O101,0)</f>
        <v>0</v>
      </c>
      <c r="O114" s="18">
        <f>IFERROR(I114/门客获得情况预估!P101,0)</f>
        <v>0</v>
      </c>
      <c r="P114" s="18">
        <f>IFERROR(J114/门客获得情况预估!Q101,0)</f>
        <v>0</v>
      </c>
      <c r="Q114" s="18">
        <f>IFERROR(K114/门客获得情况预估!R101,0)</f>
        <v>0</v>
      </c>
      <c r="R114" s="18">
        <f>IFERROR(L114/门客获得情况预估!S101,0)</f>
        <v>0</v>
      </c>
      <c r="S114" s="18">
        <f>MAX(N114:R114)*SUMPRODUCT(门客获得情况预估!$C$4:$G$4,门客获得情况预估!$O$6:$S$6)</f>
        <v>0</v>
      </c>
    </row>
    <row r="115" spans="2:19" x14ac:dyDescent="0.15">
      <c r="B115" s="9">
        <v>5</v>
      </c>
      <c r="C115" s="45">
        <f t="shared" si="8"/>
        <v>31.5</v>
      </c>
      <c r="D115" s="45">
        <f>求节点(节奏总纲!H$4:H$163,节奏总纲!$C$4:$C$163,INDEX(节奏总纲!AE$4:AE$83,C115,1))</f>
        <v>45.378719658137989</v>
      </c>
      <c r="E115" s="24">
        <v>5</v>
      </c>
      <c r="F115" s="4">
        <f t="shared" si="7"/>
        <v>5</v>
      </c>
      <c r="H115" s="23">
        <f>MIN(门客获得情况预估!AJ102,$F115-SUM(I115:$L115))</f>
        <v>0</v>
      </c>
      <c r="I115" s="23">
        <f>MIN(门客获得情况预估!AK102,$F115-SUM(J115:$L115))</f>
        <v>2.2237345506612849</v>
      </c>
      <c r="J115" s="23">
        <f>MIN(门客获得情况预估!AL102,$F115-SUM(K115:$L115))</f>
        <v>2.1841769662258099</v>
      </c>
      <c r="K115" s="23">
        <f>MIN(门客获得情况预估!AM102,$F115-SUM($L115:L115))</f>
        <v>0.59208848311290496</v>
      </c>
      <c r="L115" s="23">
        <f>MIN(门客获得情况预估!AN102,$F115)</f>
        <v>0</v>
      </c>
      <c r="N115" s="18">
        <f>IFERROR(H115/门客获得情况预估!O102,0)</f>
        <v>0</v>
      </c>
      <c r="O115" s="18">
        <f>IFERROR(I115/门客获得情况预估!P102,0)</f>
        <v>0</v>
      </c>
      <c r="P115" s="18">
        <f>IFERROR(J115/门客获得情况预估!Q102,0)</f>
        <v>0</v>
      </c>
      <c r="Q115" s="18">
        <f>IFERROR(K115/门客获得情况预估!R102,0)</f>
        <v>0</v>
      </c>
      <c r="R115" s="18">
        <f>IFERROR(L115/门客获得情况预估!S102,0)</f>
        <v>0</v>
      </c>
      <c r="S115" s="18">
        <f>MAX(N115:R115)*SUMPRODUCT(门客获得情况预估!$C$4:$G$4,门客获得情况预估!$O$6:$S$6)</f>
        <v>0</v>
      </c>
    </row>
    <row r="116" spans="2:19" x14ac:dyDescent="0.15">
      <c r="B116" s="9">
        <v>6</v>
      </c>
      <c r="C116" s="45">
        <f t="shared" si="8"/>
        <v>35.5</v>
      </c>
      <c r="D116" s="45">
        <f>求节点(节奏总纲!H$4:H$163,节奏总纲!$C$4:$C$163,INDEX(节奏总纲!AE$4:AE$83,C116,1))</f>
        <v>54.706384157580409</v>
      </c>
      <c r="E116" s="24">
        <v>6</v>
      </c>
      <c r="F116" s="4">
        <f t="shared" si="7"/>
        <v>6</v>
      </c>
      <c r="H116" s="23">
        <f>MIN(门客获得情况预估!AJ103,$F116-SUM(I116:$L116))</f>
        <v>0</v>
      </c>
      <c r="I116" s="23">
        <f>MIN(门客获得情况预估!AK103,$F116-SUM(J116:$L116))</f>
        <v>0</v>
      </c>
      <c r="J116" s="23">
        <f>MIN(门客获得情况预估!AL103,$F116-SUM(K116:$L116))</f>
        <v>3.0983263690354175</v>
      </c>
      <c r="K116" s="23">
        <f>MIN(门客获得情况预估!AM103,$F116-SUM($L116:L116))</f>
        <v>2.9016736309645825</v>
      </c>
      <c r="L116" s="23">
        <f>MIN(门客获得情况预估!AN103,$F116)</f>
        <v>0</v>
      </c>
      <c r="N116" s="18">
        <f>IFERROR(H116/门客获得情况预估!O103,0)</f>
        <v>0</v>
      </c>
      <c r="O116" s="18">
        <f>IFERROR(I116/门客获得情况预估!P103,0)</f>
        <v>0</v>
      </c>
      <c r="P116" s="18">
        <f>IFERROR(J116/门客获得情况预估!Q103,0)</f>
        <v>0</v>
      </c>
      <c r="Q116" s="18">
        <f>IFERROR(K116/门客获得情况预估!R103,0)</f>
        <v>0</v>
      </c>
      <c r="R116" s="18">
        <f>IFERROR(L116/门客获得情况预估!S103,0)</f>
        <v>0</v>
      </c>
      <c r="S116" s="18">
        <f>MAX(N116:R116)*SUMPRODUCT(门客获得情况预估!$C$4:$G$4,门客获得情况预估!$O$6:$S$6)</f>
        <v>0</v>
      </c>
    </row>
    <row r="117" spans="2:19" x14ac:dyDescent="0.15">
      <c r="B117" s="9">
        <v>7</v>
      </c>
      <c r="C117" s="45">
        <f t="shared" si="8"/>
        <v>39.5</v>
      </c>
      <c r="D117" s="45">
        <f>求节点(节奏总纲!H$4:H$163,节奏总纲!$C$4:$C$163,INDEX(节奏总纲!AE$4:AE$83,C117,1))</f>
        <v>63.227467500622204</v>
      </c>
      <c r="E117" s="24">
        <v>7</v>
      </c>
      <c r="F117" s="4">
        <f t="shared" si="7"/>
        <v>7</v>
      </c>
      <c r="H117" s="23">
        <f>MIN(门客获得情况预估!AJ104,$F117-SUM(I117:$L117))</f>
        <v>0</v>
      </c>
      <c r="I117" s="23">
        <f>MIN(门客获得情况预估!AK104,$F117-SUM(J117:$L117))</f>
        <v>0</v>
      </c>
      <c r="J117" s="23">
        <f>MIN(门客获得情况预估!AL104,$F117-SUM(K117:$L117))</f>
        <v>9.8475321929284654E-2</v>
      </c>
      <c r="K117" s="23">
        <f>MIN(门客获得情况预估!AM104,$F117-SUM($L117:L117))</f>
        <v>6.9015246780707153</v>
      </c>
      <c r="L117" s="23">
        <f>MIN(门客获得情况预估!AN104,$F117)</f>
        <v>0</v>
      </c>
      <c r="N117" s="18">
        <f>IFERROR(H117/门客获得情况预估!O104,0)</f>
        <v>0</v>
      </c>
      <c r="O117" s="18">
        <f>IFERROR(I117/门客获得情况预估!P104,0)</f>
        <v>0</v>
      </c>
      <c r="P117" s="18">
        <f>IFERROR(J117/门客获得情况预估!Q104,0)</f>
        <v>0</v>
      </c>
      <c r="Q117" s="18">
        <f>IFERROR(K117/门客获得情况预估!R104,0)</f>
        <v>0</v>
      </c>
      <c r="R117" s="18">
        <f>IFERROR(L117/门客获得情况预估!S104,0)</f>
        <v>0</v>
      </c>
      <c r="S117" s="18">
        <f>MAX(N117:R117)*SUMPRODUCT(门客获得情况预估!$C$4:$G$4,门客获得情况预估!$O$6:$S$6)</f>
        <v>0</v>
      </c>
    </row>
    <row r="118" spans="2:19" x14ac:dyDescent="0.15">
      <c r="B118" s="9">
        <v>8</v>
      </c>
      <c r="C118" s="45">
        <f t="shared" si="8"/>
        <v>43.5</v>
      </c>
      <c r="D118" s="45">
        <f>求节点(节奏总纲!H$4:H$163,节奏总纲!$C$4:$C$163,INDEX(节奏总纲!AE$4:AE$83,C118,1))</f>
        <v>71.964465094771541</v>
      </c>
      <c r="E118" s="24">
        <v>8</v>
      </c>
      <c r="F118" s="4">
        <f t="shared" si="7"/>
        <v>8</v>
      </c>
      <c r="H118" s="23">
        <f>MIN(门客获得情况预估!AJ105,$F118-SUM(I118:$L118))</f>
        <v>0</v>
      </c>
      <c r="I118" s="23">
        <f>MIN(门客获得情况预估!AK105,$F118-SUM(J118:$L118))</f>
        <v>0</v>
      </c>
      <c r="J118" s="23">
        <f>MIN(门客获得情况预估!AL105,$F118-SUM(K118:$L118))</f>
        <v>0</v>
      </c>
      <c r="K118" s="23">
        <f>MIN(门客获得情况预估!AM105,$F118-SUM($L118:L118))</f>
        <v>8</v>
      </c>
      <c r="L118" s="23">
        <f>MIN(门客获得情况预估!AN105,$F118)</f>
        <v>0</v>
      </c>
      <c r="N118" s="18">
        <f>IFERROR(H118/门客获得情况预估!O105,0)</f>
        <v>0</v>
      </c>
      <c r="O118" s="18">
        <f>IFERROR(I118/门客获得情况预估!P105,0)</f>
        <v>0</v>
      </c>
      <c r="P118" s="18">
        <f>IFERROR(J118/门客获得情况预估!Q105,0)</f>
        <v>0</v>
      </c>
      <c r="Q118" s="18">
        <f>IFERROR(K118/门客获得情况预估!R105,0)</f>
        <v>0</v>
      </c>
      <c r="R118" s="18">
        <f>IFERROR(L118/门客获得情况预估!S105,0)</f>
        <v>0</v>
      </c>
      <c r="S118" s="18">
        <f>MAX(N118:R118)*SUMPRODUCT(门客获得情况预估!$C$4:$G$4,门客获得情况预估!$O$6:$S$6)</f>
        <v>0</v>
      </c>
    </row>
    <row r="119" spans="2:19" x14ac:dyDescent="0.15">
      <c r="B119" s="9">
        <v>9</v>
      </c>
      <c r="C119" s="45">
        <f t="shared" si="8"/>
        <v>47.5</v>
      </c>
      <c r="D119" s="45">
        <f>求节点(节奏总纲!H$4:H$163,节奏总纲!$C$4:$C$163,INDEX(节奏总纲!AE$4:AE$83,C119,1))</f>
        <v>80.54663523468885</v>
      </c>
      <c r="E119" s="24">
        <v>9</v>
      </c>
      <c r="F119" s="4">
        <f t="shared" si="7"/>
        <v>9</v>
      </c>
      <c r="H119" s="23">
        <f>MIN(门客获得情况预估!AJ106,$F119-SUM(I119:$L119))</f>
        <v>0</v>
      </c>
      <c r="I119" s="23">
        <f>MIN(门客获得情况预估!AK106,$F119-SUM(J119:$L119))</f>
        <v>0</v>
      </c>
      <c r="J119" s="23">
        <f>MIN(门客获得情况预估!AL106,$F119-SUM(K119:$L119))</f>
        <v>0</v>
      </c>
      <c r="K119" s="23">
        <f>MIN(门客获得情况预估!AM106,$F119-SUM($L119:L119))</f>
        <v>9</v>
      </c>
      <c r="L119" s="23">
        <f>MIN(门客获得情况预估!AN106,$F119)</f>
        <v>0</v>
      </c>
      <c r="N119" s="18">
        <f>IFERROR(H119/门客获得情况预估!O106,0)</f>
        <v>0</v>
      </c>
      <c r="O119" s="18">
        <f>IFERROR(I119/门客获得情况预估!P106,0)</f>
        <v>0</v>
      </c>
      <c r="P119" s="18">
        <f>IFERROR(J119/门客获得情况预估!Q106,0)</f>
        <v>0</v>
      </c>
      <c r="Q119" s="18">
        <f>IFERROR(K119/门客获得情况预估!R106,0)</f>
        <v>0</v>
      </c>
      <c r="R119" s="18">
        <f>IFERROR(L119/门客获得情况预估!S106,0)</f>
        <v>0</v>
      </c>
      <c r="S119" s="18">
        <f>MAX(N119:R119)*SUMPRODUCT(门客获得情况预估!$C$4:$G$4,门客获得情况预估!$O$6:$S$6)</f>
        <v>0</v>
      </c>
    </row>
    <row r="120" spans="2:19" x14ac:dyDescent="0.15">
      <c r="B120" s="9">
        <v>10</v>
      </c>
      <c r="C120" s="45">
        <f t="shared" si="8"/>
        <v>52</v>
      </c>
      <c r="D120" s="45">
        <f>求节点(节奏总纲!H$4:H$163,节奏总纲!$C$4:$C$163,INDEX(节奏总纲!AE$4:AE$83,C120,1))</f>
        <v>92.03038330510195</v>
      </c>
      <c r="E120" s="24">
        <v>10</v>
      </c>
      <c r="F120" s="4">
        <f t="shared" si="7"/>
        <v>10</v>
      </c>
      <c r="H120" s="23">
        <f>MIN(门客获得情况预估!AJ107,$F120-SUM(I120:$L120))</f>
        <v>0</v>
      </c>
      <c r="I120" s="23">
        <f>MIN(门客获得情况预估!AK107,$F120-SUM(J120:$L120))</f>
        <v>0</v>
      </c>
      <c r="J120" s="23">
        <f>MIN(门客获得情况预估!AL107,$F120-SUM(K120:$L120))</f>
        <v>0</v>
      </c>
      <c r="K120" s="23">
        <f>MIN(门客获得情况预估!AM107,$F120-SUM($L120:L120))</f>
        <v>10</v>
      </c>
      <c r="L120" s="23">
        <f>MIN(门客获得情况预估!AN107,$F120)</f>
        <v>0</v>
      </c>
      <c r="N120" s="18">
        <f>IFERROR(H120/门客获得情况预估!O107,0)</f>
        <v>0</v>
      </c>
      <c r="O120" s="18">
        <f>IFERROR(I120/门客获得情况预估!P107,0)</f>
        <v>0</v>
      </c>
      <c r="P120" s="18">
        <f>IFERROR(J120/门客获得情况预估!Q107,0)</f>
        <v>0</v>
      </c>
      <c r="Q120" s="18">
        <f>IFERROR(K120/门客获得情况预估!R107,0)</f>
        <v>0</v>
      </c>
      <c r="R120" s="18">
        <f>IFERROR(L120/门客获得情况预估!S107,0)</f>
        <v>0</v>
      </c>
      <c r="S120" s="18">
        <f>MAX(N120:R120)*SUMPRODUCT(门客获得情况预估!$C$4:$G$4,门客获得情况预估!$O$6:$S$6)</f>
        <v>0</v>
      </c>
    </row>
    <row r="121" spans="2:19" x14ac:dyDescent="0.15">
      <c r="B121" s="9">
        <v>11</v>
      </c>
      <c r="C121" s="45">
        <f t="shared" si="8"/>
        <v>57</v>
      </c>
      <c r="D121" s="45">
        <f>求节点(节奏总纲!H$4:H$163,节奏总纲!$C$4:$C$163,INDEX(节奏总纲!AE$4:AE$83,C121,1))</f>
        <v>102.71853803916484</v>
      </c>
      <c r="E121" s="45">
        <v>11</v>
      </c>
      <c r="F121" s="44">
        <f t="shared" si="7"/>
        <v>11</v>
      </c>
      <c r="H121" s="44">
        <f>MIN(门客获得情况预估!AJ108,$F121-SUM(I121:$L121))</f>
        <v>0</v>
      </c>
      <c r="I121" s="44">
        <f>MIN(门客获得情况预估!AK108,$F121-SUM(J121:$L121))</f>
        <v>0</v>
      </c>
      <c r="J121" s="44">
        <f>MIN(门客获得情况预估!AL108,$F121-SUM(K121:$L121))</f>
        <v>0</v>
      </c>
      <c r="K121" s="44">
        <f>MIN(门客获得情况预估!AM108,$F121-SUM($L121:L121))</f>
        <v>11</v>
      </c>
      <c r="L121" s="44">
        <f>MIN(门客获得情况预估!AN108,$F121)</f>
        <v>0</v>
      </c>
      <c r="N121" s="44">
        <f>IFERROR(H121/门客获得情况预估!O108,0)</f>
        <v>0</v>
      </c>
      <c r="O121" s="44">
        <f>IFERROR(I121/门客获得情况预估!P108,0)</f>
        <v>0</v>
      </c>
      <c r="P121" s="44">
        <f>IFERROR(J121/门客获得情况预估!Q108,0)</f>
        <v>0</v>
      </c>
      <c r="Q121" s="44">
        <f>IFERROR(K121/门客获得情况预估!R108,0)</f>
        <v>0</v>
      </c>
      <c r="R121" s="44">
        <f>IFERROR(L121/门客获得情况预估!S108,0)</f>
        <v>0</v>
      </c>
      <c r="S121" s="44">
        <f>MAX(N121:R121)*SUMPRODUCT(门客获得情况预估!$C$4:$G$4,门客获得情况预估!$O$6:$S$6)</f>
        <v>0</v>
      </c>
    </row>
    <row r="122" spans="2:19" x14ac:dyDescent="0.15">
      <c r="B122" s="9">
        <v>12</v>
      </c>
      <c r="C122" s="45">
        <f t="shared" si="8"/>
        <v>62</v>
      </c>
      <c r="D122" s="45">
        <f>求节点(节奏总纲!H$4:H$163,节奏总纲!$C$4:$C$163,INDEX(节奏总纲!AE$4:AE$83,C122,1))</f>
        <v>113.4549371467006</v>
      </c>
      <c r="E122" s="45">
        <v>12</v>
      </c>
      <c r="F122" s="44">
        <f t="shared" si="7"/>
        <v>12</v>
      </c>
      <c r="H122" s="44">
        <f>MIN(门客获得情况预估!AJ109,$F122-SUM(I122:$L122))</f>
        <v>0</v>
      </c>
      <c r="I122" s="44">
        <f>MIN(门客获得情况预估!AK109,$F122-SUM(J122:$L122))</f>
        <v>0</v>
      </c>
      <c r="J122" s="44">
        <f>MIN(门客获得情况预估!AL109,$F122-SUM(K122:$L122))</f>
        <v>0</v>
      </c>
      <c r="K122" s="44">
        <f>MIN(门客获得情况预估!AM109,$F122-SUM($L122:L122))</f>
        <v>12</v>
      </c>
      <c r="L122" s="44">
        <f>MIN(门客获得情况预估!AN109,$F122)</f>
        <v>0</v>
      </c>
      <c r="N122" s="44">
        <f>IFERROR(H122/门客获得情况预估!O109,0)</f>
        <v>0</v>
      </c>
      <c r="O122" s="44">
        <f>IFERROR(I122/门客获得情况预估!P109,0)</f>
        <v>0</v>
      </c>
      <c r="P122" s="44">
        <f>IFERROR(J122/门客获得情况预估!Q109,0)</f>
        <v>0</v>
      </c>
      <c r="Q122" s="44">
        <f>IFERROR(K122/门客获得情况预估!R109,0)</f>
        <v>0</v>
      </c>
      <c r="R122" s="44">
        <f>IFERROR(L122/门客获得情况预估!S109,0)</f>
        <v>0</v>
      </c>
      <c r="S122" s="44">
        <f>MAX(N122:R122)*SUMPRODUCT(门客获得情况预估!$C$4:$G$4,门客获得情况预估!$O$6:$S$6)</f>
        <v>0</v>
      </c>
    </row>
    <row r="123" spans="2:19" x14ac:dyDescent="0.15">
      <c r="B123" s="9">
        <v>13</v>
      </c>
      <c r="C123" s="45">
        <f t="shared" si="8"/>
        <v>67</v>
      </c>
      <c r="D123" s="45">
        <f>求节点(节奏总纲!H$4:H$163,节奏总纲!$C$4:$C$163,INDEX(节奏总纲!AE$4:AE$83,C123,1))</f>
        <v>124.11624751239822</v>
      </c>
      <c r="E123" s="45">
        <v>13</v>
      </c>
      <c r="F123" s="44">
        <f t="shared" si="7"/>
        <v>13</v>
      </c>
      <c r="H123" s="44">
        <f>MIN(门客获得情况预估!AJ110,$F123-SUM(I123:$L123))</f>
        <v>0</v>
      </c>
      <c r="I123" s="44">
        <f>MIN(门客获得情况预估!AK110,$F123-SUM(J123:$L123))</f>
        <v>0</v>
      </c>
      <c r="J123" s="44">
        <f>MIN(门客获得情况预估!AL110,$F123-SUM(K123:$L123))</f>
        <v>0</v>
      </c>
      <c r="K123" s="44">
        <f>MIN(门客获得情况预估!AM110,$F123-SUM($L123:L123))</f>
        <v>13</v>
      </c>
      <c r="L123" s="44">
        <f>MIN(门客获得情况预估!AN110,$F123)</f>
        <v>0</v>
      </c>
      <c r="N123" s="44">
        <f>IFERROR(H123/门客获得情况预估!O110,0)</f>
        <v>0</v>
      </c>
      <c r="O123" s="44">
        <f>IFERROR(I123/门客获得情况预估!P110,0)</f>
        <v>0</v>
      </c>
      <c r="P123" s="44">
        <f>IFERROR(J123/门客获得情况预估!Q110,0)</f>
        <v>0</v>
      </c>
      <c r="Q123" s="44">
        <f>IFERROR(K123/门客获得情况预估!R110,0)</f>
        <v>0</v>
      </c>
      <c r="R123" s="44">
        <f>IFERROR(L123/门客获得情况预估!S110,0)</f>
        <v>0</v>
      </c>
      <c r="S123" s="44">
        <f>MAX(N123:R123)*SUMPRODUCT(门客获得情况预估!$C$4:$G$4,门客获得情况预估!$O$6:$S$6)</f>
        <v>0</v>
      </c>
    </row>
    <row r="124" spans="2:19" x14ac:dyDescent="0.15">
      <c r="B124" s="9">
        <v>14</v>
      </c>
      <c r="C124" s="45">
        <f t="shared" si="8"/>
        <v>72</v>
      </c>
      <c r="D124" s="45">
        <f>求节点(节奏总纲!H$4:H$163,节奏总纲!$C$4:$C$163,INDEX(节奏总纲!AE$4:AE$83,C124,1))</f>
        <v>134.91256595481366</v>
      </c>
      <c r="E124" s="45">
        <v>14</v>
      </c>
      <c r="F124" s="44">
        <f t="shared" si="7"/>
        <v>14</v>
      </c>
      <c r="H124" s="44">
        <f>MIN(门客获得情况预估!AJ111,$F124-SUM(I124:$L124))</f>
        <v>0</v>
      </c>
      <c r="I124" s="44">
        <f>MIN(门客获得情况预估!AK111,$F124-SUM(J124:$L124))</f>
        <v>0</v>
      </c>
      <c r="J124" s="44">
        <f>MIN(门客获得情况预估!AL111,$F124-SUM(K124:$L124))</f>
        <v>0</v>
      </c>
      <c r="K124" s="44">
        <f>MIN(门客获得情况预估!AM111,$F124-SUM($L124:L124))</f>
        <v>14</v>
      </c>
      <c r="L124" s="44">
        <f>MIN(门客获得情况预估!AN111,$F124)</f>
        <v>0</v>
      </c>
      <c r="N124" s="44">
        <f>IFERROR(H124/门客获得情况预估!O111,0)</f>
        <v>0</v>
      </c>
      <c r="O124" s="44">
        <f>IFERROR(I124/门客获得情况预估!P111,0)</f>
        <v>0</v>
      </c>
      <c r="P124" s="44">
        <f>IFERROR(J124/门客获得情况预估!Q111,0)</f>
        <v>0</v>
      </c>
      <c r="Q124" s="44">
        <f>IFERROR(K124/门客获得情况预估!R111,0)</f>
        <v>0</v>
      </c>
      <c r="R124" s="44">
        <f>IFERROR(L124/门客获得情况预估!S111,0)</f>
        <v>0</v>
      </c>
      <c r="S124" s="44">
        <f>MAX(N124:R124)*SUMPRODUCT(门客获得情况预估!$C$4:$G$4,门客获得情况预估!$O$6:$S$6)</f>
        <v>0</v>
      </c>
    </row>
    <row r="125" spans="2:19" x14ac:dyDescent="0.15">
      <c r="B125" s="9">
        <v>15</v>
      </c>
      <c r="C125" s="45">
        <f t="shared" si="8"/>
        <v>77</v>
      </c>
      <c r="D125" s="45">
        <f>求节点(节奏总纲!H$4:H$163,节奏总纲!$C$4:$C$163,INDEX(节奏总纲!AE$4:AE$83,C125,1))</f>
        <v>145.53468456757108</v>
      </c>
      <c r="E125" s="45">
        <v>15</v>
      </c>
      <c r="F125" s="44">
        <f t="shared" si="7"/>
        <v>15</v>
      </c>
      <c r="H125" s="44">
        <f>MIN(门客获得情况预估!AJ112,$F125-SUM(I125:$L125))</f>
        <v>0</v>
      </c>
      <c r="I125" s="44">
        <f>MIN(门客获得情况预估!AK112,$F125-SUM(J125:$L125))</f>
        <v>0</v>
      </c>
      <c r="J125" s="44">
        <f>MIN(门客获得情况预估!AL112,$F125-SUM(K125:$L125))</f>
        <v>0</v>
      </c>
      <c r="K125" s="44">
        <f>MIN(门客获得情况预估!AM112,$F125-SUM($L125:L125))</f>
        <v>15</v>
      </c>
      <c r="L125" s="44">
        <f>MIN(门客获得情况预估!AN112,$F125)</f>
        <v>0</v>
      </c>
      <c r="N125" s="44">
        <f>IFERROR(H125/门客获得情况预估!O112,0)</f>
        <v>0</v>
      </c>
      <c r="O125" s="44">
        <f>IFERROR(I125/门客获得情况预估!P112,0)</f>
        <v>0</v>
      </c>
      <c r="P125" s="44">
        <f>IFERROR(J125/门客获得情况预估!Q112,0)</f>
        <v>0</v>
      </c>
      <c r="Q125" s="44">
        <f>IFERROR(K125/门客获得情况预估!R112,0)</f>
        <v>0</v>
      </c>
      <c r="R125" s="44">
        <f>IFERROR(L125/门客获得情况预估!S112,0)</f>
        <v>0</v>
      </c>
      <c r="S125" s="44">
        <f>MAX(N125:R125)*SUMPRODUCT(门客获得情况预估!$C$4:$G$4,门客获得情况预估!$O$6:$S$6)</f>
        <v>0</v>
      </c>
    </row>
    <row r="126" spans="2:19" x14ac:dyDescent="0.15">
      <c r="B126" s="9">
        <v>16</v>
      </c>
      <c r="C126" s="45">
        <f t="shared" si="8"/>
        <v>80</v>
      </c>
      <c r="D126" s="45">
        <f>求节点(节奏总纲!H$4:H$163,节奏总纲!$C$4:$C$163,INDEX(节奏总纲!AE$4:AE$83,C126,1))</f>
        <v>151.0810487166913</v>
      </c>
      <c r="E126" s="45">
        <v>16</v>
      </c>
      <c r="F126" s="44">
        <f t="shared" si="7"/>
        <v>16</v>
      </c>
      <c r="H126" s="44">
        <f>MIN(门客获得情况预估!AJ113,$F126-SUM(I126:$L126))</f>
        <v>0</v>
      </c>
      <c r="I126" s="44">
        <f>MIN(门客获得情况预估!AK113,$F126-SUM(J126:$L126))</f>
        <v>0</v>
      </c>
      <c r="J126" s="44">
        <f>MIN(门客获得情况预估!AL113,$F126-SUM(K126:$L126))</f>
        <v>0</v>
      </c>
      <c r="K126" s="44">
        <f>MIN(门客获得情况预估!AM113,$F126-SUM($L126:L126))</f>
        <v>16</v>
      </c>
      <c r="L126" s="44">
        <f>MIN(门客获得情况预估!AN113,$F126)</f>
        <v>0</v>
      </c>
      <c r="N126" s="44">
        <f>IFERROR(H126/门客获得情况预估!O113,0)</f>
        <v>0</v>
      </c>
      <c r="O126" s="44">
        <f>IFERROR(I126/门客获得情况预估!P113,0)</f>
        <v>0</v>
      </c>
      <c r="P126" s="44">
        <f>IFERROR(J126/门客获得情况预估!Q113,0)</f>
        <v>0</v>
      </c>
      <c r="Q126" s="44">
        <f>IFERROR(K126/门客获得情况预估!R113,0)</f>
        <v>0</v>
      </c>
      <c r="R126" s="44">
        <f>IFERROR(L126/门客获得情况预估!S113,0)</f>
        <v>0</v>
      </c>
      <c r="S126" s="44">
        <f>MAX(N126:R126)*SUMPRODUCT(门客获得情况预估!$C$4:$G$4,门客获得情况预估!$O$6:$S$6)</f>
        <v>0</v>
      </c>
    </row>
    <row r="127" spans="2:19" x14ac:dyDescent="0.15">
      <c r="C127" s="9"/>
      <c r="D127" s="9"/>
      <c r="E127" s="9"/>
    </row>
  </sheetData>
  <mergeCells count="10">
    <mergeCell ref="N109:S109"/>
    <mergeCell ref="N17:S17"/>
    <mergeCell ref="N40:S40"/>
    <mergeCell ref="N63:S63"/>
    <mergeCell ref="N86:S86"/>
    <mergeCell ref="H109:L109"/>
    <mergeCell ref="H17:L17"/>
    <mergeCell ref="H40:L40"/>
    <mergeCell ref="H63:L63"/>
    <mergeCell ref="H86:L8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 tint="-0.249977111117893"/>
  </sheetPr>
  <dimension ref="C4:AO228"/>
  <sheetViews>
    <sheetView workbookViewId="0">
      <selection activeCell="O26" sqref="O26"/>
    </sheetView>
  </sheetViews>
  <sheetFormatPr defaultColWidth="6.625" defaultRowHeight="11.25" x14ac:dyDescent="0.15"/>
  <cols>
    <col min="1" max="3" width="6.625" style="9"/>
    <col min="4" max="4" width="6.625" style="9" customWidth="1"/>
    <col min="5" max="10" width="6.625" style="9"/>
    <col min="11" max="11" width="6.625" style="12"/>
    <col min="12" max="12" width="6.625" style="9"/>
    <col min="13" max="13" width="6.625" style="9" customWidth="1"/>
    <col min="14" max="21" width="6.625" style="9"/>
    <col min="22" max="22" width="6.625" style="12"/>
    <col min="23" max="23" width="6.625" style="9"/>
    <col min="24" max="29" width="6.625" style="9" customWidth="1"/>
    <col min="30" max="30" width="6.625" style="9"/>
    <col min="31" max="31" width="6.625" style="12"/>
    <col min="32" max="32" width="6.625" style="9"/>
    <col min="33" max="33" width="6.625" style="9" customWidth="1"/>
    <col min="34" max="37" width="6.625" style="9"/>
    <col min="38" max="40" width="6.625" style="9" customWidth="1"/>
    <col min="41" max="16384" width="6.625" style="9"/>
  </cols>
  <sheetData>
    <row r="4" spans="3:41" x14ac:dyDescent="0.15">
      <c r="C4" s="15" t="s">
        <v>7</v>
      </c>
      <c r="D4" s="19" t="s">
        <v>8</v>
      </c>
      <c r="E4" s="19" t="s">
        <v>9</v>
      </c>
      <c r="F4" s="19" t="s">
        <v>10</v>
      </c>
      <c r="G4" s="19" t="s">
        <v>11</v>
      </c>
      <c r="H4" s="19" t="s">
        <v>12</v>
      </c>
      <c r="M4" s="19" t="s">
        <v>13</v>
      </c>
      <c r="N4" s="129" t="s">
        <v>44</v>
      </c>
      <c r="O4" s="129"/>
      <c r="P4" s="129"/>
      <c r="Q4" s="129"/>
      <c r="R4" s="129"/>
      <c r="S4" s="129"/>
      <c r="W4" s="9">
        <v>1</v>
      </c>
      <c r="X4" s="19" t="s">
        <v>0</v>
      </c>
      <c r="Y4" s="131" t="s">
        <v>61</v>
      </c>
      <c r="Z4" s="132"/>
      <c r="AA4" s="129" t="s">
        <v>62</v>
      </c>
      <c r="AB4" s="129"/>
      <c r="AC4" s="129"/>
      <c r="AG4" s="19" t="s">
        <v>72</v>
      </c>
      <c r="AH4" s="130" t="s">
        <v>68</v>
      </c>
      <c r="AI4" s="130"/>
      <c r="AJ4" s="133" t="s">
        <v>77</v>
      </c>
      <c r="AL4" s="19" t="s">
        <v>0</v>
      </c>
      <c r="AM4" s="130" t="s">
        <v>69</v>
      </c>
      <c r="AN4" s="130"/>
    </row>
    <row r="5" spans="3:41" x14ac:dyDescent="0.15">
      <c r="C5" s="6" t="s">
        <v>43</v>
      </c>
      <c r="D5" s="19">
        <v>0.5</v>
      </c>
      <c r="E5" s="19">
        <v>1</v>
      </c>
      <c r="F5" s="22">
        <v>1.3333333333333333</v>
      </c>
      <c r="G5" s="22">
        <v>2</v>
      </c>
      <c r="H5" s="22">
        <v>3</v>
      </c>
      <c r="M5" s="19" t="s">
        <v>103</v>
      </c>
      <c r="N5" s="19" t="s">
        <v>33</v>
      </c>
      <c r="O5" s="19" t="s">
        <v>34</v>
      </c>
      <c r="P5" s="19" t="s">
        <v>35</v>
      </c>
      <c r="Q5" s="19" t="s">
        <v>36</v>
      </c>
      <c r="R5" s="19" t="s">
        <v>37</v>
      </c>
      <c r="S5" s="19" t="s">
        <v>45</v>
      </c>
      <c r="W5" s="9">
        <v>2</v>
      </c>
      <c r="X5" s="19" t="s">
        <v>102</v>
      </c>
      <c r="Y5" s="19" t="s">
        <v>63</v>
      </c>
      <c r="Z5" s="19"/>
      <c r="AA5" s="19" t="s">
        <v>7</v>
      </c>
      <c r="AB5" s="19"/>
      <c r="AC5" s="18" t="s">
        <v>64</v>
      </c>
      <c r="AG5" s="19" t="s">
        <v>102</v>
      </c>
      <c r="AH5" s="18" t="s">
        <v>70</v>
      </c>
      <c r="AI5" s="18"/>
      <c r="AJ5" s="133"/>
      <c r="AL5" s="19" t="s">
        <v>102</v>
      </c>
      <c r="AM5" s="18" t="s">
        <v>67</v>
      </c>
      <c r="AN5" s="19"/>
      <c r="AO5" s="19" t="s">
        <v>71</v>
      </c>
    </row>
    <row r="6" spans="3:41" x14ac:dyDescent="0.15">
      <c r="M6" s="19">
        <f>基础状态预估!D19</f>
        <v>18.226342304552581</v>
      </c>
      <c r="N6" s="19">
        <f>IF(基础状态预估!H19=0,0,门客属性!D$5*基础状态预估!H19)</f>
        <v>0.3186591485433824</v>
      </c>
      <c r="O6" s="19">
        <f>IF(基础状态预估!I19=0,0,门客属性!E$5*基础状态预估!I19)</f>
        <v>0.3626817029132352</v>
      </c>
      <c r="P6" s="19">
        <f>IF(基础状态预估!J19=0,0,门客属性!F$5*基础状态预估!J19)</f>
        <v>0</v>
      </c>
      <c r="Q6" s="19">
        <f>IF(基础状态预估!K19=0,0,门客属性!G$5*基础状态预估!K19)</f>
        <v>0</v>
      </c>
      <c r="R6" s="19">
        <f>IF(基础状态预估!L19=0,0,门客属性!H$5*基础状态预估!L19)</f>
        <v>0</v>
      </c>
      <c r="S6" s="19">
        <f t="shared" ref="S6:S15" si="0">SUM(N6:R6)</f>
        <v>0.6813408514566176</v>
      </c>
      <c r="W6" s="9">
        <v>3</v>
      </c>
      <c r="X6" s="19">
        <v>10</v>
      </c>
      <c r="Y6" s="19">
        <v>0</v>
      </c>
      <c r="Z6" s="19"/>
      <c r="AA6" s="17">
        <f>Y6*(INDEX([3]非r将兵属性验证!$V$7:$V$166,$X6,1)+INDEX([3]非r将兵属性验证!$AP$7:$AP$166,$X6,1))</f>
        <v>0</v>
      </c>
      <c r="AB6" s="19"/>
      <c r="AC6" s="18">
        <f>SUM(AA6:AB6)</f>
        <v>0</v>
      </c>
      <c r="AG6" s="19">
        <f>M6</f>
        <v>18.226342304552581</v>
      </c>
      <c r="AH6" s="18">
        <f>基础状态预估!S19</f>
        <v>0</v>
      </c>
      <c r="AI6" s="18"/>
      <c r="AJ6" s="21">
        <f>AH6/INDEX('[1]资源-钻石'!$L$4:$L$163,$AG6,1)</f>
        <v>0</v>
      </c>
      <c r="AK6" s="20"/>
      <c r="AL6" s="19">
        <v>10</v>
      </c>
      <c r="AM6" s="18" t="e">
        <f t="shared" ref="AM6:AM21" si="1">求节点($AG$6:$AG$22,$AH$6:$AH$22,$AL6)</f>
        <v>#VALUE!</v>
      </c>
      <c r="AN6" s="19"/>
      <c r="AO6" s="19" t="e">
        <f>SUM(AM6:AN6)</f>
        <v>#VALUE!</v>
      </c>
    </row>
    <row r="7" spans="3:41" x14ac:dyDescent="0.15">
      <c r="M7" s="19">
        <f>基础状态预估!D20</f>
        <v>24.310866931512376</v>
      </c>
      <c r="N7" s="19">
        <f>IF(基础状态预估!H20=0,0,门客属性!D$5*基础状态预估!H20)</f>
        <v>0.65550731913103877</v>
      </c>
      <c r="O7" s="19">
        <f>IF(基础状态预估!I20=0,0,门客属性!E$5*基础状态预估!I20)</f>
        <v>0.68898536173792246</v>
      </c>
      <c r="P7" s="19">
        <f>IF(基础状态预估!J20=0,0,门客属性!F$5*基础状态预估!J20)</f>
        <v>0</v>
      </c>
      <c r="Q7" s="19">
        <f>IF(基础状态预估!K20=0,0,门客属性!G$5*基础状态预估!K20)</f>
        <v>0</v>
      </c>
      <c r="R7" s="19">
        <f>IF(基础状态预估!L20=0,0,门客属性!H$5*基础状态预估!L20)</f>
        <v>0</v>
      </c>
      <c r="S7" s="19">
        <f t="shared" si="0"/>
        <v>1.3444926808689612</v>
      </c>
      <c r="W7" s="9">
        <v>4</v>
      </c>
      <c r="X7" s="19">
        <v>20</v>
      </c>
      <c r="Y7" s="19">
        <f t="shared" ref="Y7:Y21" si="2">求节点($M$6:$M$22,$S$6:$S$22,$X7)</f>
        <v>0.87465165511013843</v>
      </c>
      <c r="Z7" s="19"/>
      <c r="AA7" s="19">
        <f>(Y7-Y6)*(INDEX([3]非r将兵属性验证!$V$7:$V$166,$X6,1)+INDEX([3]非r将兵属性验证!$AP$7:$AP$166,$X6,1))+AA6</f>
        <v>269560.91327343381</v>
      </c>
      <c r="AB7" s="19"/>
      <c r="AC7" s="18">
        <f t="shared" ref="AC7:AC15" si="3">SUM(AA7:AB7)</f>
        <v>269560.91327343381</v>
      </c>
      <c r="AG7" s="19">
        <f t="shared" ref="AG7:AG15" si="4">M7</f>
        <v>24.310866931512376</v>
      </c>
      <c r="AH7" s="18">
        <f>基础状态预估!S20</f>
        <v>0</v>
      </c>
      <c r="AI7" s="18"/>
      <c r="AJ7" s="21">
        <f>AH7/INDEX('[1]资源-钻石'!$L$4:$L$163,$AG7,1)</f>
        <v>0</v>
      </c>
      <c r="AK7" s="20"/>
      <c r="AL7" s="19">
        <v>20</v>
      </c>
      <c r="AM7" s="18">
        <f t="shared" si="1"/>
        <v>0</v>
      </c>
      <c r="AN7" s="19"/>
      <c r="AO7" s="19">
        <f t="shared" ref="AO7:AO15" si="5">SUM(AM7:AN7)</f>
        <v>0</v>
      </c>
    </row>
    <row r="8" spans="3:41" x14ac:dyDescent="0.15">
      <c r="M8" s="19">
        <f>基础状态预估!D21</f>
        <v>32.979382606869549</v>
      </c>
      <c r="N8" s="19">
        <f>IF(基础状态预估!H21=0,0,门客属性!D$5*基础状态预估!H21)</f>
        <v>0.81035615163146979</v>
      </c>
      <c r="O8" s="19">
        <f>IF(基础状态预估!I21=0,0,门客属性!E$5*基础状态预估!I21)</f>
        <v>1.3792876967370604</v>
      </c>
      <c r="P8" s="19">
        <f>IF(基础状态预估!J21=0,0,门客属性!F$5*基础状态预估!J21)</f>
        <v>0</v>
      </c>
      <c r="Q8" s="19">
        <f>IF(基础状态预估!K21=0,0,门客属性!G$5*基础状态预估!K21)</f>
        <v>0</v>
      </c>
      <c r="R8" s="19">
        <f>IF(基础状态预估!L21=0,0,门客属性!H$5*基础状态预估!L21)</f>
        <v>0</v>
      </c>
      <c r="S8" s="19">
        <f t="shared" si="0"/>
        <v>2.1896438483685303</v>
      </c>
      <c r="W8" s="9">
        <v>5</v>
      </c>
      <c r="X8" s="19">
        <v>30</v>
      </c>
      <c r="Y8" s="19">
        <f t="shared" si="2"/>
        <v>1.8991640496433631</v>
      </c>
      <c r="Z8" s="19"/>
      <c r="AA8" s="51">
        <f>(Y8-Y7)*(INDEX([3]非r将兵属性验证!$V$7:$V$166,$X7,1)+INDEX([3]非r将兵属性验证!$AP$7:$AP$166,$X7,1))+AA7</f>
        <v>1436952.4557447336</v>
      </c>
      <c r="AB8" s="19"/>
      <c r="AC8" s="18">
        <f t="shared" si="3"/>
        <v>1436952.4557447336</v>
      </c>
      <c r="AG8" s="19">
        <f t="shared" si="4"/>
        <v>32.979382606869549</v>
      </c>
      <c r="AH8" s="18">
        <f>基础状态预估!S21</f>
        <v>0</v>
      </c>
      <c r="AI8" s="18"/>
      <c r="AJ8" s="21">
        <f>AH8/INDEX('[1]资源-钻石'!$L$4:$L$163,$AG8,1)</f>
        <v>0</v>
      </c>
      <c r="AK8" s="20"/>
      <c r="AL8" s="19">
        <v>30</v>
      </c>
      <c r="AM8" s="18">
        <f t="shared" si="1"/>
        <v>0</v>
      </c>
      <c r="AN8" s="19"/>
      <c r="AO8" s="19">
        <f t="shared" si="5"/>
        <v>0</v>
      </c>
    </row>
    <row r="9" spans="3:41" x14ac:dyDescent="0.15">
      <c r="M9" s="19">
        <f>基础状态预估!D22</f>
        <v>41.947199016886806</v>
      </c>
      <c r="N9" s="19">
        <f>IF(基础状态预估!H22=0,0,门客属性!D$5*基础状态预估!H22)</f>
        <v>0.6521269187153298</v>
      </c>
      <c r="O9" s="19">
        <f>IF(基础状态预估!I22=0,0,门客属性!E$5*基础状态预估!I22)</f>
        <v>2.6957461625693404</v>
      </c>
      <c r="P9" s="19">
        <f>IF(基础状态预估!J22=0,0,门客属性!F$5*基础状态预估!J22)</f>
        <v>0</v>
      </c>
      <c r="Q9" s="19">
        <f>IF(基础状态预估!K22=0,0,门客属性!G$5*基础状态预估!K22)</f>
        <v>0</v>
      </c>
      <c r="R9" s="19">
        <f>IF(基础状态预估!L22=0,0,门客属性!H$5*基础状态预估!L22)</f>
        <v>0</v>
      </c>
      <c r="S9" s="19">
        <f t="shared" si="0"/>
        <v>3.3478730812846704</v>
      </c>
      <c r="W9" s="9">
        <v>6</v>
      </c>
      <c r="X9" s="19">
        <v>40</v>
      </c>
      <c r="Y9" s="19">
        <f t="shared" si="2"/>
        <v>3.0963845671861163</v>
      </c>
      <c r="Z9" s="19"/>
      <c r="AA9" s="51">
        <f>(Y9-Y8)*(INDEX([3]非r将兵属性验证!$V$7:$V$166,$X8,1)+INDEX([3]非r将兵属性验证!$AP$7:$AP$166,$X8,1))+AA8</f>
        <v>4957660.8570736274</v>
      </c>
      <c r="AB9" s="19"/>
      <c r="AC9" s="18">
        <f t="shared" si="3"/>
        <v>4957660.8570736274</v>
      </c>
      <c r="AG9" s="19">
        <f t="shared" si="4"/>
        <v>41.947199016886806</v>
      </c>
      <c r="AH9" s="18">
        <f>基础状态预估!S22</f>
        <v>0</v>
      </c>
      <c r="AI9" s="18"/>
      <c r="AJ9" s="21">
        <f>AH9/INDEX('[1]资源-钻石'!$L$4:$L$163,$AG9,1)</f>
        <v>0</v>
      </c>
      <c r="AK9" s="20"/>
      <c r="AL9" s="19">
        <v>40</v>
      </c>
      <c r="AM9" s="18">
        <f t="shared" si="1"/>
        <v>0</v>
      </c>
      <c r="AN9" s="19"/>
      <c r="AO9" s="19">
        <f t="shared" si="5"/>
        <v>0</v>
      </c>
    </row>
    <row r="10" spans="3:41" x14ac:dyDescent="0.15">
      <c r="M10" s="19">
        <f>基础状态预估!D23</f>
        <v>51.024751728602688</v>
      </c>
      <c r="N10" s="19">
        <f>IF(基础状态预估!H23=0,0,门客属性!D$5*基础状态预估!H23)</f>
        <v>0</v>
      </c>
      <c r="O10" s="19">
        <f>IF(基础状态预估!I23=0,0,门客属性!E$5*基础状态预估!I23)</f>
        <v>2.2237345506612849</v>
      </c>
      <c r="P10" s="19">
        <f>IF(基础状态预估!J23=0,0,门客属性!F$5*基础状态预估!J23)</f>
        <v>2.9122359549677466</v>
      </c>
      <c r="Q10" s="19">
        <f>IF(基础状态预估!K23=0,0,门客属性!G$5*基础状态预估!K23)</f>
        <v>1.1841769662258099</v>
      </c>
      <c r="R10" s="19">
        <f>IF(基础状态预估!L23=0,0,门客属性!H$5*基础状态预估!L23)</f>
        <v>0</v>
      </c>
      <c r="S10" s="19">
        <f t="shared" si="0"/>
        <v>6.3201474718548418</v>
      </c>
      <c r="W10" s="9">
        <v>7</v>
      </c>
      <c r="X10" s="19">
        <v>50</v>
      </c>
      <c r="Y10" s="19">
        <f t="shared" si="2"/>
        <v>5.9846117370210266</v>
      </c>
      <c r="Z10" s="19"/>
      <c r="AA10" s="51">
        <f>(Y10-Y9)*(INDEX([3]非r将兵属性验证!$V$7:$V$166,$X9,1)+INDEX([3]非r将兵属性验证!$AP$7:$AP$166,$X9,1))+AA9</f>
        <v>29797493.286818251</v>
      </c>
      <c r="AB10" s="19"/>
      <c r="AC10" s="18">
        <f t="shared" si="3"/>
        <v>29797493.286818251</v>
      </c>
      <c r="AG10" s="19">
        <f t="shared" si="4"/>
        <v>51.024751728602688</v>
      </c>
      <c r="AH10" s="18">
        <f>基础状态预估!S23</f>
        <v>0</v>
      </c>
      <c r="AI10" s="18"/>
      <c r="AJ10" s="21">
        <f>AH10/INDEX('[1]资源-钻石'!$L$4:$L$163,$AG10,1)</f>
        <v>0</v>
      </c>
      <c r="AK10" s="20"/>
      <c r="AL10" s="19">
        <v>50</v>
      </c>
      <c r="AM10" s="18">
        <f t="shared" si="1"/>
        <v>0</v>
      </c>
      <c r="AN10" s="19"/>
      <c r="AO10" s="19">
        <f t="shared" si="5"/>
        <v>0</v>
      </c>
    </row>
    <row r="11" spans="3:41" x14ac:dyDescent="0.15">
      <c r="M11" s="19">
        <f>基础状态预估!D24</f>
        <v>60.108849423225884</v>
      </c>
      <c r="N11" s="19">
        <f>IF(基础状态预估!H24=0,0,门客属性!D$5*基础状态预估!H24)</f>
        <v>0</v>
      </c>
      <c r="O11" s="19">
        <f>IF(基础状态预估!I24=0,0,门客属性!E$5*基础状态预估!I24)</f>
        <v>0</v>
      </c>
      <c r="P11" s="19">
        <f>IF(基础状态预估!J24=0,0,门客属性!F$5*基础状态预估!J24)</f>
        <v>4.131101825380556</v>
      </c>
      <c r="Q11" s="19">
        <f>IF(基础状态预估!K24=0,0,门客属性!G$5*基础状态预估!K24)</f>
        <v>5.8033472619291651</v>
      </c>
      <c r="R11" s="19">
        <f>IF(基础状态预估!L24=0,0,门客属性!H$5*基础状态预估!L24)</f>
        <v>0</v>
      </c>
      <c r="S11" s="19">
        <f t="shared" si="0"/>
        <v>9.9344490873097211</v>
      </c>
      <c r="W11" s="9">
        <v>8</v>
      </c>
      <c r="X11" s="19">
        <v>60</v>
      </c>
      <c r="Y11" s="19">
        <f t="shared" si="2"/>
        <v>9.8911410275076452</v>
      </c>
      <c r="Z11" s="19"/>
      <c r="AA11" s="51">
        <f>(Y11-Y10)*(INDEX([3]非r将兵属性验证!$V$7:$V$166,$X10,1)+INDEX([3]非r将兵属性验证!$AP$7:$AP$166,$X10,1))+AA10</f>
        <v>93715504.992148489</v>
      </c>
      <c r="AB11" s="19"/>
      <c r="AC11" s="18">
        <f t="shared" si="3"/>
        <v>93715504.992148489</v>
      </c>
      <c r="AG11" s="19">
        <f t="shared" si="4"/>
        <v>60.108849423225884</v>
      </c>
      <c r="AH11" s="18">
        <f>基础状态预估!S24</f>
        <v>0</v>
      </c>
      <c r="AI11" s="18"/>
      <c r="AJ11" s="21">
        <f>AH11/INDEX('[1]资源-钻石'!$L$4:$L$163,$AG11,1)</f>
        <v>0</v>
      </c>
      <c r="AK11" s="20"/>
      <c r="AL11" s="19">
        <v>60</v>
      </c>
      <c r="AM11" s="18">
        <f t="shared" si="1"/>
        <v>0</v>
      </c>
      <c r="AN11" s="19"/>
      <c r="AO11" s="19">
        <f t="shared" si="5"/>
        <v>0</v>
      </c>
    </row>
    <row r="12" spans="3:41" x14ac:dyDescent="0.15">
      <c r="M12" s="19">
        <f>基础状态预估!D25</f>
        <v>68.617325920549462</v>
      </c>
      <c r="N12" s="19">
        <f>IF(基础状态预估!H25=0,0,门客属性!D$5*基础状态预估!H25)</f>
        <v>0</v>
      </c>
      <c r="O12" s="19">
        <f>IF(基础状态预估!I25=0,0,门客属性!E$5*基础状态预估!I25)</f>
        <v>0</v>
      </c>
      <c r="P12" s="19">
        <f>IF(基础状态预估!J25=0,0,门客属性!F$5*基础状态预估!J25)</f>
        <v>0.1313004292390462</v>
      </c>
      <c r="Q12" s="19">
        <f>IF(基础状态预估!K25=0,0,门客属性!G$5*基础状态预估!K25)</f>
        <v>13.803049356141431</v>
      </c>
      <c r="R12" s="19">
        <f>IF(基础状态预估!L25=0,0,门客属性!H$5*基础状态预估!L25)</f>
        <v>0</v>
      </c>
      <c r="S12" s="19">
        <f t="shared" si="0"/>
        <v>13.934349785380476</v>
      </c>
      <c r="W12" s="9">
        <v>9</v>
      </c>
      <c r="X12" s="19">
        <v>70</v>
      </c>
      <c r="Y12" s="19">
        <f t="shared" si="2"/>
        <v>14.269557996035264</v>
      </c>
      <c r="Z12" s="19"/>
      <c r="AA12" s="51">
        <f>(Y12-Y11)*(INDEX([3]非r将兵属性验证!$V$7:$V$166,$X11,1)+INDEX([3]非r将兵属性验证!$AP$7:$AP$166,$X11,1))+AA11</f>
        <v>254409764.43439534</v>
      </c>
      <c r="AB12" s="19"/>
      <c r="AC12" s="18">
        <f t="shared" si="3"/>
        <v>254409764.43439534</v>
      </c>
      <c r="AG12" s="19">
        <f t="shared" si="4"/>
        <v>68.617325920549462</v>
      </c>
      <c r="AH12" s="18">
        <f>基础状态预估!S25</f>
        <v>0</v>
      </c>
      <c r="AI12" s="18"/>
      <c r="AJ12" s="21">
        <f>AH12/INDEX('[1]资源-钻石'!$L$4:$L$163,$AG12,1)</f>
        <v>0</v>
      </c>
      <c r="AK12" s="20"/>
      <c r="AL12" s="19">
        <v>70</v>
      </c>
      <c r="AM12" s="18">
        <f t="shared" si="1"/>
        <v>0</v>
      </c>
      <c r="AN12" s="19"/>
      <c r="AO12" s="19">
        <f t="shared" si="5"/>
        <v>0</v>
      </c>
    </row>
    <row r="13" spans="3:41" x14ac:dyDescent="0.15">
      <c r="M13" s="19">
        <f>基础状态预估!D26</f>
        <v>77.137764615612369</v>
      </c>
      <c r="N13" s="19">
        <f>IF(基础状态预估!H26=0,0,门客属性!D$5*基础状态预估!H26)</f>
        <v>0</v>
      </c>
      <c r="O13" s="19">
        <f>IF(基础状态预估!I26=0,0,门客属性!E$5*基础状态预估!I26)</f>
        <v>0</v>
      </c>
      <c r="P13" s="19">
        <f>IF(基础状态预估!J26=0,0,门客属性!F$5*基础状态预估!J26)</f>
        <v>0</v>
      </c>
      <c r="Q13" s="19">
        <f>IF(基础状态预估!K26=0,0,门客属性!G$5*基础状态预估!K26)</f>
        <v>16</v>
      </c>
      <c r="R13" s="19">
        <f>IF(基础状态预估!L26=0,0,门客属性!H$5*基础状态预估!L26)</f>
        <v>0</v>
      </c>
      <c r="S13" s="19">
        <f t="shared" si="0"/>
        <v>16</v>
      </c>
      <c r="W13" s="9">
        <v>10</v>
      </c>
      <c r="X13" s="19">
        <v>80</v>
      </c>
      <c r="Y13" s="19">
        <f t="shared" si="2"/>
        <v>16.67298429720827</v>
      </c>
      <c r="Z13" s="19"/>
      <c r="AA13" s="51">
        <f>(Y13-Y12)*(INDEX([3]非r将兵属性验证!$V$7:$V$166,$X12,1)+INDEX([3]非r将兵属性验证!$AP$7:$AP$166,$X12,1))+AA12</f>
        <v>483376178.15863532</v>
      </c>
      <c r="AB13" s="19"/>
      <c r="AC13" s="18">
        <f t="shared" si="3"/>
        <v>483376178.15863532</v>
      </c>
      <c r="AG13" s="19">
        <f t="shared" si="4"/>
        <v>77.137764615612369</v>
      </c>
      <c r="AH13" s="18">
        <f>基础状态预估!S26</f>
        <v>0</v>
      </c>
      <c r="AI13" s="18"/>
      <c r="AJ13" s="21">
        <f>AH13/INDEX('[1]资源-钻石'!$L$4:$L$163,$AG13,1)</f>
        <v>0</v>
      </c>
      <c r="AK13" s="20"/>
      <c r="AL13" s="19">
        <v>80</v>
      </c>
      <c r="AM13" s="18">
        <f t="shared" si="1"/>
        <v>0</v>
      </c>
      <c r="AN13" s="19"/>
      <c r="AO13" s="19">
        <f t="shared" si="5"/>
        <v>0</v>
      </c>
    </row>
    <row r="14" spans="3:41" x14ac:dyDescent="0.15">
      <c r="M14" s="19">
        <f>基础状态预估!D27</f>
        <v>85.643863186592412</v>
      </c>
      <c r="N14" s="19">
        <f>IF(基础状态预估!H27=0,0,门客属性!D$5*基础状态预估!H27)</f>
        <v>0</v>
      </c>
      <c r="O14" s="19">
        <f>IF(基础状态预估!I27=0,0,门客属性!E$5*基础状态预估!I27)</f>
        <v>0</v>
      </c>
      <c r="P14" s="19">
        <f>IF(基础状态预估!J27=0,0,门客属性!F$5*基础状态预估!J27)</f>
        <v>0</v>
      </c>
      <c r="Q14" s="19">
        <f>IF(基础状态预估!K27=0,0,门客属性!G$5*基础状态预估!K27)</f>
        <v>18</v>
      </c>
      <c r="R14" s="19">
        <f>IF(基础状态预估!L27=0,0,门客属性!H$5*基础状态预估!L27)</f>
        <v>0</v>
      </c>
      <c r="S14" s="19">
        <f t="shared" si="0"/>
        <v>18</v>
      </c>
      <c r="W14" s="9">
        <v>11</v>
      </c>
      <c r="X14" s="19">
        <v>90</v>
      </c>
      <c r="Y14" s="19">
        <f t="shared" si="2"/>
        <v>18.820213511629081</v>
      </c>
      <c r="Z14" s="19"/>
      <c r="AA14" s="51">
        <f>(Y14-Y13)*(INDEX([3]非r将兵属性验证!$V$7:$V$166,$X13,1)+INDEX([3]非r将兵属性验证!$AP$7:$AP$166,$X13,1))+AA13</f>
        <v>1008051217.905303</v>
      </c>
      <c r="AB14" s="19"/>
      <c r="AC14" s="18">
        <f t="shared" si="3"/>
        <v>1008051217.905303</v>
      </c>
      <c r="AG14" s="19">
        <f t="shared" si="4"/>
        <v>85.643863186592412</v>
      </c>
      <c r="AH14" s="18">
        <f>基础状态预估!S27</f>
        <v>0</v>
      </c>
      <c r="AI14" s="18"/>
      <c r="AJ14" s="21">
        <f>AH14/INDEX('[1]资源-钻石'!$L$4:$L$163,$AG14,1)</f>
        <v>0</v>
      </c>
      <c r="AK14" s="20"/>
      <c r="AL14" s="19">
        <v>90</v>
      </c>
      <c r="AM14" s="18">
        <f t="shared" si="1"/>
        <v>0</v>
      </c>
      <c r="AN14" s="19"/>
      <c r="AO14" s="19">
        <f t="shared" si="5"/>
        <v>0</v>
      </c>
    </row>
    <row r="15" spans="3:41" x14ac:dyDescent="0.15">
      <c r="M15" s="19">
        <f>基础状态预估!D28</f>
        <v>96.265821375882837</v>
      </c>
      <c r="N15" s="19">
        <f>IF(基础状态预估!H28=0,0,门客属性!D$5*基础状态预估!H28)</f>
        <v>0</v>
      </c>
      <c r="O15" s="19">
        <f>IF(基础状态预估!I28=0,0,门客属性!E$5*基础状态预估!I28)</f>
        <v>0</v>
      </c>
      <c r="P15" s="19">
        <f>IF(基础状态预估!J28=0,0,门客属性!F$5*基础状态预估!J28)</f>
        <v>0</v>
      </c>
      <c r="Q15" s="19">
        <f>IF(基础状态预估!K28=0,0,门客属性!G$5*基础状态预估!K28)</f>
        <v>20</v>
      </c>
      <c r="R15" s="19">
        <f>IF(基础状态预估!L28=0,0,门客属性!H$5*基础状态预估!L28)</f>
        <v>0</v>
      </c>
      <c r="S15" s="19">
        <f t="shared" si="0"/>
        <v>20</v>
      </c>
      <c r="W15" s="9">
        <v>12</v>
      </c>
      <c r="X15" s="19">
        <v>100</v>
      </c>
      <c r="Y15" s="19">
        <f t="shared" si="2"/>
        <v>20.704395383820096</v>
      </c>
      <c r="Z15" s="19"/>
      <c r="AA15" s="51">
        <f>(Y15-Y14)*(INDEX([3]非r将兵属性验证!$V$7:$V$166,$X14,1)+INDEX([3]非r将兵属性验证!$AP$7:$AP$166,$X14,1))+AA14</f>
        <v>1998131799.5759599</v>
      </c>
      <c r="AB15" s="19"/>
      <c r="AC15" s="18">
        <f t="shared" si="3"/>
        <v>1998131799.5759599</v>
      </c>
      <c r="AG15" s="19">
        <f t="shared" si="4"/>
        <v>96.265821375882837</v>
      </c>
      <c r="AH15" s="18">
        <f>基础状态预估!S28</f>
        <v>0</v>
      </c>
      <c r="AI15" s="18"/>
      <c r="AJ15" s="21">
        <f>AH15/INDEX('[1]资源-钻石'!$L$4:$L$163,$AG15,1)</f>
        <v>0</v>
      </c>
      <c r="AK15" s="20"/>
      <c r="AL15" s="19">
        <v>100</v>
      </c>
      <c r="AM15" s="18">
        <f t="shared" si="1"/>
        <v>0</v>
      </c>
      <c r="AN15" s="19"/>
      <c r="AO15" s="19">
        <f t="shared" si="5"/>
        <v>0</v>
      </c>
    </row>
    <row r="16" spans="3:41" x14ac:dyDescent="0.15">
      <c r="M16" s="45">
        <f>基础状态预估!D29</f>
        <v>106.86832874572353</v>
      </c>
      <c r="N16" s="45">
        <f>IF(基础状态预估!H29=0,0,门客属性!D$5*基础状态预估!H29)</f>
        <v>0</v>
      </c>
      <c r="O16" s="45">
        <f>IF(基础状态预估!I29=0,0,门客属性!E$5*基础状态预估!I29)</f>
        <v>0</v>
      </c>
      <c r="P16" s="45">
        <f>IF(基础状态预估!J29=0,0,门客属性!F$5*基础状态预估!J29)</f>
        <v>0</v>
      </c>
      <c r="Q16" s="45">
        <f>IF(基础状态预估!K29=0,0,门客属性!G$5*基础状态预估!K29)</f>
        <v>22</v>
      </c>
      <c r="R16" s="45">
        <f>IF(基础状态预估!L29=0,0,门客属性!H$5*基础状态预估!L29)</f>
        <v>0</v>
      </c>
      <c r="S16" s="45">
        <f t="shared" ref="S16:S21" si="6">SUM(N16:R16)</f>
        <v>22</v>
      </c>
      <c r="W16" s="9">
        <v>13</v>
      </c>
      <c r="X16" s="49">
        <v>110</v>
      </c>
      <c r="Y16" s="49">
        <f t="shared" si="2"/>
        <v>22.592394533981754</v>
      </c>
      <c r="Z16" s="49"/>
      <c r="AA16" s="51">
        <f>(Y16-Y15)*(INDEX([3]非r将兵属性验证!$V$7:$V$166,$X15,1)+INDEX([3]非r将兵属性验证!$AP$7:$AP$166,$X15,1))+AA15</f>
        <v>3971283270.6215515</v>
      </c>
      <c r="AB16" s="49"/>
      <c r="AC16" s="48">
        <f t="shared" ref="AC16:AC21" si="7">SUM(AA16:AB16)</f>
        <v>3971283270.6215515</v>
      </c>
      <c r="AG16" s="49">
        <f t="shared" ref="AG16:AG21" si="8">M16</f>
        <v>106.86832874572353</v>
      </c>
      <c r="AH16" s="48">
        <f>基础状态预估!S29</f>
        <v>0</v>
      </c>
      <c r="AI16" s="48"/>
      <c r="AJ16" s="21">
        <f>AH16/INDEX('[1]资源-钻石'!$L$4:$L$163,$AG16,1)</f>
        <v>0</v>
      </c>
      <c r="AK16" s="20"/>
      <c r="AL16" s="49">
        <v>110</v>
      </c>
      <c r="AM16" s="48">
        <f t="shared" si="1"/>
        <v>0</v>
      </c>
      <c r="AN16" s="49"/>
      <c r="AO16" s="49">
        <f t="shared" ref="AO16:AO21" si="9">SUM(AM16:AN16)</f>
        <v>0</v>
      </c>
    </row>
    <row r="17" spans="13:41" x14ac:dyDescent="0.15">
      <c r="M17" s="45">
        <f>基础状态预估!D30</f>
        <v>117.44125295293078</v>
      </c>
      <c r="N17" s="45">
        <f>IF(基础状态预估!H30=0,0,门客属性!D$5*基础状态预估!H30)</f>
        <v>0</v>
      </c>
      <c r="O17" s="45">
        <f>IF(基础状态预估!I30=0,0,门客属性!E$5*基础状态预估!I30)</f>
        <v>0</v>
      </c>
      <c r="P17" s="45">
        <f>IF(基础状态预估!J30=0,0,门客属性!F$5*基础状态预估!J30)</f>
        <v>0</v>
      </c>
      <c r="Q17" s="45">
        <f>IF(基础状态预估!K30=0,0,门客属性!G$5*基础状态预估!K30)</f>
        <v>24</v>
      </c>
      <c r="R17" s="45">
        <f>IF(基础状态预估!L30=0,0,门客属性!H$5*基础状态预估!L30)</f>
        <v>0</v>
      </c>
      <c r="S17" s="45">
        <f t="shared" si="6"/>
        <v>24</v>
      </c>
      <c r="W17" s="9">
        <v>14</v>
      </c>
      <c r="X17" s="49">
        <v>120</v>
      </c>
      <c r="Y17" s="49">
        <f t="shared" si="2"/>
        <v>24.48439984160764</v>
      </c>
      <c r="Z17" s="49"/>
      <c r="AA17" s="51">
        <f>(Y17-Y16)*(INDEX([3]非r将兵属性验证!$V$7:$V$166,$X16,1)+INDEX([3]非r将兵属性验证!$AP$7:$AP$166,$X16,1))+AA16</f>
        <v>7472746685.3637066</v>
      </c>
      <c r="AB17" s="49"/>
      <c r="AC17" s="48">
        <f t="shared" si="7"/>
        <v>7472746685.3637066</v>
      </c>
      <c r="AG17" s="49">
        <f t="shared" si="8"/>
        <v>117.44125295293078</v>
      </c>
      <c r="AH17" s="48">
        <f>基础状态预估!S30</f>
        <v>0</v>
      </c>
      <c r="AI17" s="48"/>
      <c r="AJ17" s="21">
        <f>AH17/INDEX('[1]资源-钻石'!$L$4:$L$163,$AG17,1)</f>
        <v>0</v>
      </c>
      <c r="AK17" s="20"/>
      <c r="AL17" s="49">
        <v>120</v>
      </c>
      <c r="AM17" s="48">
        <f t="shared" si="1"/>
        <v>0</v>
      </c>
      <c r="AN17" s="49"/>
      <c r="AO17" s="49">
        <f t="shared" si="9"/>
        <v>0</v>
      </c>
    </row>
    <row r="18" spans="13:41" x14ac:dyDescent="0.15">
      <c r="M18" s="45">
        <f>基础状态预估!D31</f>
        <v>128.00586023511804</v>
      </c>
      <c r="N18" s="45">
        <f>IF(基础状态预估!H31=0,0,门客属性!D$5*基础状态预估!H31)</f>
        <v>0</v>
      </c>
      <c r="O18" s="45">
        <f>IF(基础状态预估!I31=0,0,门客属性!E$5*基础状态预估!I31)</f>
        <v>0</v>
      </c>
      <c r="P18" s="45">
        <f>IF(基础状态预估!J31=0,0,门客属性!F$5*基础状态预估!J31)</f>
        <v>0</v>
      </c>
      <c r="Q18" s="45">
        <f>IF(基础状态预估!K31=0,0,门客属性!G$5*基础状态预估!K31)</f>
        <v>26</v>
      </c>
      <c r="R18" s="45">
        <f>IF(基础状态预估!L31=0,0,门客属性!H$5*基础状态预估!L31)</f>
        <v>0</v>
      </c>
      <c r="S18" s="45">
        <f t="shared" si="6"/>
        <v>26</v>
      </c>
      <c r="W18" s="9">
        <v>15</v>
      </c>
      <c r="X18" s="49">
        <v>130</v>
      </c>
      <c r="Y18" s="49">
        <f t="shared" si="2"/>
        <v>26.378840514885248</v>
      </c>
      <c r="Z18" s="49"/>
      <c r="AA18" s="51">
        <f>(Y18-Y17)*(INDEX([3]非r将兵属性验证!$V$7:$V$166,$X17,1)+INDEX([3]非r将兵属性验证!$AP$7:$AP$166,$X17,1))+AA17</f>
        <v>13543182064.697863</v>
      </c>
      <c r="AB18" s="49"/>
      <c r="AC18" s="48">
        <f t="shared" si="7"/>
        <v>13543182064.697863</v>
      </c>
      <c r="AG18" s="49">
        <f t="shared" si="8"/>
        <v>128.00586023511804</v>
      </c>
      <c r="AH18" s="48">
        <f>基础状态预估!S31</f>
        <v>0</v>
      </c>
      <c r="AI18" s="48"/>
      <c r="AJ18" s="21">
        <f>AH18/INDEX('[1]资源-钻石'!$L$4:$L$163,$AG18,1)</f>
        <v>0</v>
      </c>
      <c r="AK18" s="20"/>
      <c r="AL18" s="49">
        <v>130</v>
      </c>
      <c r="AM18" s="48">
        <f t="shared" si="1"/>
        <v>0</v>
      </c>
      <c r="AN18" s="49"/>
      <c r="AO18" s="49">
        <f t="shared" si="9"/>
        <v>0</v>
      </c>
    </row>
    <row r="19" spans="13:41" x14ac:dyDescent="0.15">
      <c r="M19" s="45">
        <f>基础状态预估!D32</f>
        <v>138.53345528648683</v>
      </c>
      <c r="N19" s="45">
        <f>IF(基础状态预估!H32=0,0,门客属性!D$5*基础状态预估!H32)</f>
        <v>0</v>
      </c>
      <c r="O19" s="45">
        <f>IF(基础状态预估!I32=0,0,门客属性!E$5*基础状态预估!I32)</f>
        <v>0</v>
      </c>
      <c r="P19" s="45">
        <f>IF(基础状态预估!J32=0,0,门客属性!F$5*基础状态预估!J32)</f>
        <v>0</v>
      </c>
      <c r="Q19" s="45">
        <f>IF(基础状态预估!K32=0,0,门客属性!G$5*基础状态预估!K32)</f>
        <v>28</v>
      </c>
      <c r="R19" s="45">
        <f>IF(基础状态预估!L32=0,0,门客属性!H$5*基础状态预估!L32)</f>
        <v>0</v>
      </c>
      <c r="S19" s="45">
        <f t="shared" si="6"/>
        <v>28</v>
      </c>
      <c r="W19" s="9">
        <v>16</v>
      </c>
      <c r="X19" s="49">
        <v>140</v>
      </c>
      <c r="Y19" s="49">
        <f t="shared" si="2"/>
        <v>28.27871316831251</v>
      </c>
      <c r="Z19" s="49"/>
      <c r="AA19" s="51">
        <f>(Y19-Y18)*(INDEX([3]非r将兵属性验证!$V$7:$V$166,$X18,1)+INDEX([3]非r将兵属性验证!$AP$7:$AP$166,$X18,1))+AA18</f>
        <v>22969273064.027466</v>
      </c>
      <c r="AB19" s="49"/>
      <c r="AC19" s="48">
        <f t="shared" si="7"/>
        <v>22969273064.027466</v>
      </c>
      <c r="AG19" s="49">
        <f t="shared" si="8"/>
        <v>138.53345528648683</v>
      </c>
      <c r="AH19" s="48">
        <f>基础状态预估!S32</f>
        <v>0</v>
      </c>
      <c r="AI19" s="48"/>
      <c r="AJ19" s="21">
        <f>AH19/INDEX('[1]资源-钻石'!$L$4:$L$163,$AG19,1)</f>
        <v>0</v>
      </c>
      <c r="AK19" s="20"/>
      <c r="AL19" s="49">
        <v>140</v>
      </c>
      <c r="AM19" s="48">
        <f t="shared" si="1"/>
        <v>0</v>
      </c>
      <c r="AN19" s="49"/>
      <c r="AO19" s="49">
        <f t="shared" si="9"/>
        <v>0</v>
      </c>
    </row>
    <row r="20" spans="13:41" x14ac:dyDescent="0.15">
      <c r="M20" s="45">
        <f>基础状态预估!D33</f>
        <v>149.05713970651243</v>
      </c>
      <c r="N20" s="45">
        <f>IF(基础状态预估!H33=0,0,门客属性!D$5*基础状态预估!H33)</f>
        <v>0</v>
      </c>
      <c r="O20" s="45">
        <f>IF(基础状态预估!I33=0,0,门客属性!E$5*基础状态预估!I33)</f>
        <v>0</v>
      </c>
      <c r="P20" s="45">
        <f>IF(基础状态预估!J33=0,0,门客属性!F$5*基础状态预估!J33)</f>
        <v>0</v>
      </c>
      <c r="Q20" s="45">
        <f>IF(基础状态预估!K33=0,0,门客属性!G$5*基础状态预估!K33)</f>
        <v>30</v>
      </c>
      <c r="R20" s="45">
        <f>IF(基础状态预估!L33=0,0,门客属性!H$5*基础状态预估!L33)</f>
        <v>0</v>
      </c>
      <c r="S20" s="45">
        <f t="shared" si="6"/>
        <v>30</v>
      </c>
      <c r="W20" s="9">
        <v>17</v>
      </c>
      <c r="X20" s="49">
        <v>150</v>
      </c>
      <c r="Y20" s="49">
        <f t="shared" si="2"/>
        <v>30.299534287514405</v>
      </c>
      <c r="Z20" s="49"/>
      <c r="AA20" s="51">
        <f>(Y20-Y19)*(INDEX([3]非r将兵属性验证!$V$7:$V$166,$X19,1)+INDEX([3]非r将兵属性验证!$AP$7:$AP$166,$X19,1))+AA19</f>
        <v>37697213645.524353</v>
      </c>
      <c r="AB20" s="49"/>
      <c r="AC20" s="48">
        <f t="shared" si="7"/>
        <v>37697213645.524353</v>
      </c>
      <c r="AG20" s="49">
        <f t="shared" si="8"/>
        <v>149.05713970651243</v>
      </c>
      <c r="AH20" s="48">
        <f>基础状态预估!S33</f>
        <v>0</v>
      </c>
      <c r="AI20" s="48"/>
      <c r="AJ20" s="21">
        <f>AH20/INDEX('[1]资源-钻石'!$L$4:$L$163,$AG20,1)</f>
        <v>0</v>
      </c>
      <c r="AK20" s="20"/>
      <c r="AL20" s="49">
        <v>150</v>
      </c>
      <c r="AM20" s="48">
        <f t="shared" si="1"/>
        <v>0</v>
      </c>
      <c r="AN20" s="49"/>
      <c r="AO20" s="49">
        <f t="shared" si="9"/>
        <v>0</v>
      </c>
    </row>
    <row r="21" spans="13:41" x14ac:dyDescent="0.15">
      <c r="M21" s="45">
        <f>基础状态预估!D34</f>
        <v>155.35264798579232</v>
      </c>
      <c r="N21" s="45">
        <f>IF(基础状态预估!H34=0,0,门客属性!D$5*基础状态预估!H34)</f>
        <v>0</v>
      </c>
      <c r="O21" s="45">
        <f>IF(基础状态预估!I34=0,0,门客属性!E$5*基础状态预估!I34)</f>
        <v>0</v>
      </c>
      <c r="P21" s="45">
        <f>IF(基础状态预估!J34=0,0,门客属性!F$5*基础状态预估!J34)</f>
        <v>0</v>
      </c>
      <c r="Q21" s="45">
        <f>IF(基础状态预估!K34=0,0,门客属性!G$5*基础状态预估!K34)</f>
        <v>32</v>
      </c>
      <c r="R21" s="45">
        <f>IF(基础状态预估!L34=0,0,门客属性!H$5*基础状态预估!L34)</f>
        <v>0</v>
      </c>
      <c r="S21" s="45">
        <f t="shared" si="6"/>
        <v>32</v>
      </c>
      <c r="W21" s="9">
        <v>18</v>
      </c>
      <c r="X21" s="49">
        <v>160</v>
      </c>
      <c r="Y21" s="49">
        <f t="shared" si="2"/>
        <v>32.957275375623119</v>
      </c>
      <c r="Z21" s="49"/>
      <c r="AA21" s="51">
        <f>(Y21-Y20)*(INDEX([3]非r将兵属性验证!$V$7:$V$166,$X20,1)+INDEX([3]非r将兵属性验证!$AP$7:$AP$166,$X20,1))+AA20</f>
        <v>65576910451.530373</v>
      </c>
      <c r="AB21" s="49"/>
      <c r="AC21" s="48">
        <f t="shared" si="7"/>
        <v>65576910451.530373</v>
      </c>
      <c r="AG21" s="49">
        <f t="shared" si="8"/>
        <v>155.35264798579232</v>
      </c>
      <c r="AH21" s="48">
        <f>基础状态预估!S34</f>
        <v>0</v>
      </c>
      <c r="AI21" s="48"/>
      <c r="AJ21" s="21">
        <f>AH21/INDEX('[1]资源-钻石'!$L$4:$L$163,$AG21,1)</f>
        <v>0</v>
      </c>
      <c r="AK21" s="20"/>
      <c r="AL21" s="49">
        <v>160</v>
      </c>
      <c r="AM21" s="48">
        <f t="shared" si="1"/>
        <v>0</v>
      </c>
      <c r="AN21" s="49"/>
      <c r="AO21" s="49">
        <f t="shared" si="9"/>
        <v>0</v>
      </c>
    </row>
    <row r="22" spans="13:41" x14ac:dyDescent="0.15">
      <c r="M22" s="45"/>
      <c r="N22" s="45"/>
      <c r="O22" s="45"/>
      <c r="P22" s="45"/>
      <c r="Q22" s="45"/>
      <c r="R22" s="45"/>
      <c r="S22" s="45"/>
      <c r="W22" s="9">
        <v>19</v>
      </c>
      <c r="X22" s="50"/>
      <c r="Y22" s="50"/>
    </row>
    <row r="23" spans="13:41" x14ac:dyDescent="0.15">
      <c r="W23" s="9">
        <v>20</v>
      </c>
      <c r="X23" s="16"/>
      <c r="Y23" s="16"/>
    </row>
    <row r="24" spans="13:41" x14ac:dyDescent="0.15">
      <c r="M24" s="16"/>
      <c r="W24" s="9">
        <v>21</v>
      </c>
      <c r="X24" s="16"/>
      <c r="Y24" s="16"/>
      <c r="AG24" s="16"/>
      <c r="AL24" s="16"/>
    </row>
    <row r="25" spans="13:41" x14ac:dyDescent="0.15">
      <c r="M25" s="16"/>
      <c r="W25" s="9">
        <v>22</v>
      </c>
      <c r="AG25" s="16"/>
    </row>
    <row r="26" spans="13:41" x14ac:dyDescent="0.15">
      <c r="W26" s="9">
        <v>23</v>
      </c>
    </row>
    <row r="27" spans="13:41" x14ac:dyDescent="0.15">
      <c r="M27" s="19" t="s">
        <v>17</v>
      </c>
      <c r="N27" s="129" t="s">
        <v>44</v>
      </c>
      <c r="O27" s="129"/>
      <c r="P27" s="129"/>
      <c r="Q27" s="129"/>
      <c r="R27" s="129"/>
      <c r="S27" s="129"/>
      <c r="W27" s="9">
        <v>24</v>
      </c>
    </row>
    <row r="28" spans="13:41" x14ac:dyDescent="0.15">
      <c r="M28" s="19" t="s">
        <v>103</v>
      </c>
      <c r="N28" s="19" t="s">
        <v>33</v>
      </c>
      <c r="O28" s="19" t="s">
        <v>34</v>
      </c>
      <c r="P28" s="19" t="s">
        <v>35</v>
      </c>
      <c r="Q28" s="19" t="s">
        <v>36</v>
      </c>
      <c r="R28" s="19" t="s">
        <v>37</v>
      </c>
      <c r="S28" s="19" t="s">
        <v>45</v>
      </c>
      <c r="W28" s="9">
        <v>25</v>
      </c>
    </row>
    <row r="29" spans="13:41" x14ac:dyDescent="0.15">
      <c r="M29" s="19">
        <f>基础状态预估!D42</f>
        <v>17.420973982667814</v>
      </c>
      <c r="N29" s="19">
        <f>IF(基础状态预估!H42=0,0,门客属性!D$5*基础状态预估!H42)</f>
        <v>0.3186591485433824</v>
      </c>
      <c r="O29" s="19">
        <f>IF(基础状态预估!I42=0,0,门客属性!E$5*基础状态预估!I42)</f>
        <v>0.3626817029132352</v>
      </c>
      <c r="P29" s="19">
        <f>IF(基础状态预估!J42=0,0,门客属性!F$5*基础状态预估!J42)</f>
        <v>0</v>
      </c>
      <c r="Q29" s="19">
        <f>IF(基础状态预估!K42=0,0,门客属性!G$5*基础状态预估!K42)</f>
        <v>0</v>
      </c>
      <c r="R29" s="19">
        <f>IF(基础状态预估!L42=0,0,门客属性!H$5*基础状态预估!L42)</f>
        <v>0</v>
      </c>
      <c r="S29" s="19">
        <f t="shared" ref="S29:S38" si="10">SUM(N29:R29)</f>
        <v>0.6813408514566176</v>
      </c>
      <c r="W29" s="9">
        <v>26</v>
      </c>
    </row>
    <row r="30" spans="13:41" x14ac:dyDescent="0.15">
      <c r="M30" s="19">
        <f>基础状态预估!D43</f>
        <v>23.346355732194773</v>
      </c>
      <c r="N30" s="19">
        <f>IF(基础状态预估!H43=0,0,门客属性!D$5*基础状态预估!H43)</f>
        <v>0.65550731913103877</v>
      </c>
      <c r="O30" s="19">
        <f>IF(基础状态预估!I43=0,0,门客属性!E$5*基础状态预估!I43)</f>
        <v>0.68898536173792246</v>
      </c>
      <c r="P30" s="19">
        <f>IF(基础状态预估!J43=0,0,门客属性!F$5*基础状态预估!J43)</f>
        <v>0</v>
      </c>
      <c r="Q30" s="19">
        <f>IF(基础状态预估!K43=0,0,门客属性!G$5*基础状态预估!K43)</f>
        <v>0</v>
      </c>
      <c r="R30" s="19">
        <f>IF(基础状态预估!L43=0,0,门客属性!H$5*基础状态预估!L43)</f>
        <v>0</v>
      </c>
      <c r="S30" s="19">
        <f t="shared" si="10"/>
        <v>1.3444926808689612</v>
      </c>
      <c r="W30" s="9">
        <v>27</v>
      </c>
    </row>
    <row r="31" spans="13:41" x14ac:dyDescent="0.15">
      <c r="M31" s="19">
        <f>基础状态预估!D44</f>
        <v>31.845462834406923</v>
      </c>
      <c r="N31" s="19">
        <f>IF(基础状态预估!H44=0,0,门客属性!D$5*基础状态预估!H44)</f>
        <v>0.81035615163146979</v>
      </c>
      <c r="O31" s="19">
        <f>IF(基础状态预估!I44=0,0,门客属性!E$5*基础状态预估!I44)</f>
        <v>1.3792876967370604</v>
      </c>
      <c r="P31" s="19">
        <f>IF(基础状态预估!J44=0,0,门客属性!F$5*基础状态预估!J44)</f>
        <v>0</v>
      </c>
      <c r="Q31" s="19">
        <f>IF(基础状态预估!K44=0,0,门客属性!G$5*基础状态预估!K44)</f>
        <v>0</v>
      </c>
      <c r="R31" s="19">
        <f>IF(基础状态预估!L44=0,0,门客属性!H$5*基础状态预估!L44)</f>
        <v>0</v>
      </c>
      <c r="S31" s="19">
        <f t="shared" si="10"/>
        <v>2.1896438483685303</v>
      </c>
      <c r="W31" s="9">
        <v>28</v>
      </c>
    </row>
    <row r="32" spans="13:41" x14ac:dyDescent="0.15">
      <c r="M32" s="19">
        <f>基础状态预估!D45</f>
        <v>40.787439392565133</v>
      </c>
      <c r="N32" s="19">
        <f>IF(基础状态预估!H45=0,0,门客属性!D$5*基础状态预估!H45)</f>
        <v>0.6521269187153298</v>
      </c>
      <c r="O32" s="19">
        <f>IF(基础状态预估!I45=0,0,门客属性!E$5*基础状态预估!I45)</f>
        <v>2.6957461625693404</v>
      </c>
      <c r="P32" s="19">
        <f>IF(基础状态预估!J45=0,0,门客属性!F$5*基础状态预估!J45)</f>
        <v>0</v>
      </c>
      <c r="Q32" s="19">
        <f>IF(基础状态预估!K45=0,0,门客属性!G$5*基础状态预估!K45)</f>
        <v>0</v>
      </c>
      <c r="R32" s="19">
        <f>IF(基础状态预估!L45=0,0,门客属性!H$5*基础状态预估!L45)</f>
        <v>0</v>
      </c>
      <c r="S32" s="19">
        <f t="shared" si="10"/>
        <v>3.3478730812846704</v>
      </c>
      <c r="W32" s="9">
        <v>29</v>
      </c>
    </row>
    <row r="33" spans="13:23" x14ac:dyDescent="0.15">
      <c r="M33" s="19">
        <f>基础状态预估!D46</f>
        <v>49.81327866937707</v>
      </c>
      <c r="N33" s="19">
        <f>IF(基础状态预估!H46=0,0,门客属性!D$5*基础状态预估!H46)</f>
        <v>0</v>
      </c>
      <c r="O33" s="19">
        <f>IF(基础状态预估!I46=0,0,门客属性!E$5*基础状态预估!I46)</f>
        <v>2.2237345506612849</v>
      </c>
      <c r="P33" s="19">
        <f>IF(基础状态预估!J46=0,0,门客属性!F$5*基础状态预估!J46)</f>
        <v>2.9122359549677466</v>
      </c>
      <c r="Q33" s="19">
        <f>IF(基础状态预估!K46=0,0,门客属性!G$5*基础状态预估!K46)</f>
        <v>1.1841769662258099</v>
      </c>
      <c r="R33" s="19">
        <f>IF(基础状态预估!L46=0,0,门客属性!H$5*基础状态预估!L46)</f>
        <v>0</v>
      </c>
      <c r="S33" s="19">
        <f t="shared" si="10"/>
        <v>6.3201474718548418</v>
      </c>
      <c r="W33" s="9">
        <v>30</v>
      </c>
    </row>
    <row r="34" spans="13:23" x14ac:dyDescent="0.15">
      <c r="M34" s="19">
        <f>基础状态预估!D47</f>
        <v>58.959670032750353</v>
      </c>
      <c r="N34" s="19">
        <f>IF(基础状态预估!H47=0,0,门客属性!D$5*基础状态预估!H47)</f>
        <v>0</v>
      </c>
      <c r="O34" s="19">
        <f>IF(基础状态预估!I47=0,0,门客属性!E$5*基础状态预估!I47)</f>
        <v>0</v>
      </c>
      <c r="P34" s="19">
        <f>IF(基础状态预估!J47=0,0,门客属性!F$5*基础状态预估!J47)</f>
        <v>4.131101825380556</v>
      </c>
      <c r="Q34" s="19">
        <f>IF(基础状态预估!K47=0,0,门客属性!G$5*基础状态预估!K47)</f>
        <v>5.8033472619291651</v>
      </c>
      <c r="R34" s="19">
        <f>IF(基础状态预估!L47=0,0,门客属性!H$5*基础状态预估!L47)</f>
        <v>0</v>
      </c>
      <c r="S34" s="19">
        <f t="shared" si="10"/>
        <v>9.9344490873097211</v>
      </c>
      <c r="W34" s="9">
        <v>31</v>
      </c>
    </row>
    <row r="35" spans="13:23" x14ac:dyDescent="0.15">
      <c r="M35" s="19">
        <f>基础状态预估!D48</f>
        <v>67.444013295864096</v>
      </c>
      <c r="N35" s="19">
        <f>IF(基础状态预估!H48=0,0,门客属性!D$5*基础状态预估!H48)</f>
        <v>0</v>
      </c>
      <c r="O35" s="19">
        <f>IF(基础状态预估!I48=0,0,门客属性!E$5*基础状态预估!I48)</f>
        <v>0</v>
      </c>
      <c r="P35" s="19">
        <f>IF(基础状态预估!J48=0,0,门客属性!F$5*基础状态预估!J48)</f>
        <v>0.1313004292390462</v>
      </c>
      <c r="Q35" s="19">
        <f>IF(基础状态预估!K48=0,0,门客属性!G$5*基础状态预估!K48)</f>
        <v>13.803049356141431</v>
      </c>
      <c r="R35" s="19">
        <f>IF(基础状态预估!L48=0,0,门客属性!H$5*基础状态预估!L48)</f>
        <v>0</v>
      </c>
      <c r="S35" s="19">
        <f t="shared" si="10"/>
        <v>13.934349785380476</v>
      </c>
      <c r="W35" s="9">
        <v>32</v>
      </c>
    </row>
    <row r="36" spans="13:23" x14ac:dyDescent="0.15">
      <c r="M36" s="19">
        <f>基础状态预估!D49</f>
        <v>76.018081402346411</v>
      </c>
      <c r="N36" s="19">
        <f>IF(基础状态预估!H49=0,0,门客属性!D$5*基础状态预估!H49)</f>
        <v>0</v>
      </c>
      <c r="O36" s="19">
        <f>IF(基础状态预估!I49=0,0,门客属性!E$5*基础状态预估!I49)</f>
        <v>0</v>
      </c>
      <c r="P36" s="19">
        <f>IF(基础状态预估!J49=0,0,门客属性!F$5*基础状态预估!J49)</f>
        <v>0</v>
      </c>
      <c r="Q36" s="19">
        <f>IF(基础状态预估!K49=0,0,门客属性!G$5*基础状态预估!K49)</f>
        <v>16</v>
      </c>
      <c r="R36" s="19">
        <f>IF(基础状态预估!L49=0,0,门客属性!H$5*基础状态预估!L49)</f>
        <v>0</v>
      </c>
      <c r="S36" s="19">
        <f t="shared" si="10"/>
        <v>16</v>
      </c>
      <c r="W36" s="9">
        <v>33</v>
      </c>
    </row>
    <row r="37" spans="13:23" x14ac:dyDescent="0.15">
      <c r="M37" s="19">
        <f>基础状态预估!D50</f>
        <v>84.53544812855209</v>
      </c>
      <c r="N37" s="19">
        <f>IF(基础状态预估!H50=0,0,门客属性!D$5*基础状态预估!H50)</f>
        <v>0</v>
      </c>
      <c r="O37" s="19">
        <f>IF(基础状态预估!I50=0,0,门客属性!E$5*基础状态预估!I50)</f>
        <v>0</v>
      </c>
      <c r="P37" s="19">
        <f>IF(基础状态预估!J50=0,0,门客属性!F$5*基础状态预估!J50)</f>
        <v>0</v>
      </c>
      <c r="Q37" s="19">
        <f>IF(基础状态预估!K50=0,0,门客属性!G$5*基础状态预估!K50)</f>
        <v>18</v>
      </c>
      <c r="R37" s="19">
        <f>IF(基础状态预估!L50=0,0,门客属性!H$5*基础状态预估!L50)</f>
        <v>0</v>
      </c>
      <c r="S37" s="19">
        <f t="shared" si="10"/>
        <v>18</v>
      </c>
      <c r="W37" s="9">
        <v>34</v>
      </c>
    </row>
    <row r="38" spans="13:23" x14ac:dyDescent="0.15">
      <c r="M38" s="19">
        <f>基础状态预估!D51</f>
        <v>95.320056465518832</v>
      </c>
      <c r="N38" s="19">
        <f>IF(基础状态预估!H51=0,0,门客属性!D$5*基础状态预估!H51)</f>
        <v>0</v>
      </c>
      <c r="O38" s="19">
        <f>IF(基础状态预估!I51=0,0,门客属性!E$5*基础状态预估!I51)</f>
        <v>0</v>
      </c>
      <c r="P38" s="19">
        <f>IF(基础状态预估!J51=0,0,门客属性!F$5*基础状态预估!J51)</f>
        <v>0</v>
      </c>
      <c r="Q38" s="19">
        <f>IF(基础状态预估!K51=0,0,门客属性!G$5*基础状态预估!K51)</f>
        <v>20</v>
      </c>
      <c r="R38" s="19">
        <f>IF(基础状态预估!L51=0,0,门客属性!H$5*基础状态预估!L51)</f>
        <v>0</v>
      </c>
      <c r="S38" s="19">
        <f t="shared" si="10"/>
        <v>20</v>
      </c>
      <c r="W38" s="9">
        <v>35</v>
      </c>
    </row>
    <row r="39" spans="13:23" x14ac:dyDescent="0.15">
      <c r="M39" s="45">
        <f>基础状态预估!D52</f>
        <v>105.93060744042049</v>
      </c>
      <c r="N39" s="45">
        <f>IF(基础状态预估!H52=0,0,门客属性!D$5*基础状态预估!H52)</f>
        <v>0</v>
      </c>
      <c r="O39" s="45">
        <f>IF(基础状态预估!I52=0,0,门客属性!E$5*基础状态预估!I52)</f>
        <v>0</v>
      </c>
      <c r="P39" s="45">
        <f>IF(基础状态预估!J52=0,0,门客属性!F$5*基础状态预估!J52)</f>
        <v>0</v>
      </c>
      <c r="Q39" s="45">
        <f>IF(基础状态预估!K52=0,0,门客属性!G$5*基础状态预估!K52)</f>
        <v>22</v>
      </c>
      <c r="R39" s="45">
        <f>IF(基础状态预估!L52=0,0,门客属性!H$5*基础状态预估!L52)</f>
        <v>0</v>
      </c>
      <c r="S39" s="45">
        <f t="shared" ref="S39:S44" si="11">SUM(N39:R39)</f>
        <v>22</v>
      </c>
      <c r="W39" s="9">
        <v>36</v>
      </c>
    </row>
    <row r="40" spans="13:23" x14ac:dyDescent="0.15">
      <c r="M40" s="45">
        <f>基础状态预估!D53</f>
        <v>116.57008716694446</v>
      </c>
      <c r="N40" s="45">
        <f>IF(基础状态预估!H53=0,0,门客属性!D$5*基础状态预估!H53)</f>
        <v>0</v>
      </c>
      <c r="O40" s="45">
        <f>IF(基础状态预估!I53=0,0,门客属性!E$5*基础状态预估!I53)</f>
        <v>0</v>
      </c>
      <c r="P40" s="45">
        <f>IF(基础状态预估!J53=0,0,门客属性!F$5*基础状态预估!J53)</f>
        <v>0</v>
      </c>
      <c r="Q40" s="45">
        <f>IF(基础状态预估!K53=0,0,门客属性!G$5*基础状态预估!K53)</f>
        <v>24</v>
      </c>
      <c r="R40" s="45">
        <f>IF(基础状态预估!L53=0,0,门客属性!H$5*基础状态预估!L53)</f>
        <v>0</v>
      </c>
      <c r="S40" s="45">
        <f t="shared" si="11"/>
        <v>24</v>
      </c>
      <c r="W40" s="9">
        <v>37</v>
      </c>
    </row>
    <row r="41" spans="13:23" x14ac:dyDescent="0.15">
      <c r="M41" s="45">
        <f>基础状态预估!D54</f>
        <v>127.12838978012395</v>
      </c>
      <c r="N41" s="45">
        <f>IF(基础状态预估!H54=0,0,门客属性!D$5*基础状态预估!H54)</f>
        <v>0</v>
      </c>
      <c r="O41" s="45">
        <f>IF(基础状态预估!I54=0,0,门客属性!E$5*基础状态预估!I54)</f>
        <v>0</v>
      </c>
      <c r="P41" s="45">
        <f>IF(基础状态预估!J54=0,0,门客属性!F$5*基础状态预估!J54)</f>
        <v>0</v>
      </c>
      <c r="Q41" s="45">
        <f>IF(基础状态预估!K54=0,0,门客属性!G$5*基础状态预估!K54)</f>
        <v>26</v>
      </c>
      <c r="R41" s="45">
        <f>IF(基础状态预估!L54=0,0,门客属性!H$5*基础状态预估!L54)</f>
        <v>0</v>
      </c>
      <c r="S41" s="45">
        <f t="shared" si="11"/>
        <v>26</v>
      </c>
      <c r="W41" s="9">
        <v>38</v>
      </c>
    </row>
    <row r="42" spans="13:23" x14ac:dyDescent="0.15">
      <c r="M42" s="45">
        <f>基础状态预估!D55</f>
        <v>137.70627422196659</v>
      </c>
      <c r="N42" s="45">
        <f>IF(基础状态预估!H55=0,0,门客属性!D$5*基础状态预估!H55)</f>
        <v>0</v>
      </c>
      <c r="O42" s="45">
        <f>IF(基础状态预估!I55=0,0,门客属性!E$5*基础状态预估!I55)</f>
        <v>0</v>
      </c>
      <c r="P42" s="45">
        <f>IF(基础状态预估!J55=0,0,门客属性!F$5*基础状态预估!J55)</f>
        <v>0</v>
      </c>
      <c r="Q42" s="45">
        <f>IF(基础状态预估!K55=0,0,门客属性!G$5*基础状态预估!K55)</f>
        <v>28</v>
      </c>
      <c r="R42" s="45">
        <f>IF(基础状态预估!L55=0,0,门客属性!H$5*基础状态预估!L55)</f>
        <v>0</v>
      </c>
      <c r="S42" s="45">
        <f t="shared" si="11"/>
        <v>28</v>
      </c>
      <c r="W42" s="9">
        <v>39</v>
      </c>
    </row>
    <row r="43" spans="13:23" x14ac:dyDescent="0.15">
      <c r="M43" s="45">
        <f>基础状态预估!D56</f>
        <v>148.27357279823164</v>
      </c>
      <c r="N43" s="45">
        <f>IF(基础状态预估!H56=0,0,门客属性!D$5*基础状态预估!H56)</f>
        <v>0</v>
      </c>
      <c r="O43" s="45">
        <f>IF(基础状态预估!I56=0,0,门客属性!E$5*基础状态预估!I56)</f>
        <v>0</v>
      </c>
      <c r="P43" s="45">
        <f>IF(基础状态预估!J56=0,0,门客属性!F$5*基础状态预估!J56)</f>
        <v>0</v>
      </c>
      <c r="Q43" s="45">
        <f>IF(基础状态预估!K56=0,0,门客属性!G$5*基础状态预估!K56)</f>
        <v>30</v>
      </c>
      <c r="R43" s="45">
        <f>IF(基础状态预估!L56=0,0,门客属性!H$5*基础状态预估!L56)</f>
        <v>0</v>
      </c>
      <c r="S43" s="45">
        <f t="shared" si="11"/>
        <v>30</v>
      </c>
      <c r="W43" s="9">
        <v>40</v>
      </c>
    </row>
    <row r="44" spans="13:23" x14ac:dyDescent="0.15">
      <c r="M44" s="45">
        <f>基础状态预估!D57</f>
        <v>154.14666602127767</v>
      </c>
      <c r="N44" s="45">
        <f>IF(基础状态预估!H57=0,0,门客属性!D$5*基础状态预估!H57)</f>
        <v>0</v>
      </c>
      <c r="O44" s="45">
        <f>IF(基础状态预估!I57=0,0,门客属性!E$5*基础状态预估!I57)</f>
        <v>0</v>
      </c>
      <c r="P44" s="45">
        <f>IF(基础状态预估!J57=0,0,门客属性!F$5*基础状态预估!J57)</f>
        <v>0</v>
      </c>
      <c r="Q44" s="45">
        <f>IF(基础状态预估!K57=0,0,门客属性!G$5*基础状态预估!K57)</f>
        <v>32</v>
      </c>
      <c r="R44" s="45">
        <f>IF(基础状态预估!L57=0,0,门客属性!H$5*基础状态预估!L57)</f>
        <v>0</v>
      </c>
      <c r="S44" s="45">
        <f t="shared" si="11"/>
        <v>32</v>
      </c>
      <c r="W44" s="9">
        <v>41</v>
      </c>
    </row>
    <row r="45" spans="13:23" x14ac:dyDescent="0.15">
      <c r="M45" s="19"/>
      <c r="N45" s="19"/>
      <c r="O45" s="19"/>
      <c r="P45" s="19"/>
      <c r="Q45" s="19"/>
      <c r="R45" s="19"/>
      <c r="S45" s="19"/>
      <c r="W45" s="9">
        <v>42</v>
      </c>
    </row>
    <row r="46" spans="13:23" x14ac:dyDescent="0.15">
      <c r="M46" s="16"/>
      <c r="W46" s="9">
        <v>43</v>
      </c>
    </row>
    <row r="47" spans="13:23" x14ac:dyDescent="0.15">
      <c r="M47" s="16"/>
      <c r="W47" s="9">
        <v>44</v>
      </c>
    </row>
    <row r="48" spans="13:23" x14ac:dyDescent="0.15">
      <c r="M48" s="16"/>
      <c r="W48" s="9">
        <v>45</v>
      </c>
    </row>
    <row r="49" spans="13:41" x14ac:dyDescent="0.15">
      <c r="W49" s="9">
        <v>1</v>
      </c>
      <c r="X49" s="19" t="s">
        <v>1</v>
      </c>
      <c r="Y49" s="131" t="s">
        <v>61</v>
      </c>
      <c r="Z49" s="132"/>
      <c r="AA49" s="129" t="s">
        <v>62</v>
      </c>
      <c r="AB49" s="129"/>
      <c r="AC49" s="129"/>
      <c r="AG49" s="19" t="s">
        <v>73</v>
      </c>
      <c r="AH49" s="130" t="s">
        <v>68</v>
      </c>
      <c r="AI49" s="130"/>
      <c r="AJ49" s="133" t="s">
        <v>77</v>
      </c>
      <c r="AL49" s="19" t="s">
        <v>1</v>
      </c>
      <c r="AM49" s="130" t="s">
        <v>69</v>
      </c>
      <c r="AN49" s="130"/>
    </row>
    <row r="50" spans="13:41" x14ac:dyDescent="0.15">
      <c r="M50" s="19" t="s">
        <v>18</v>
      </c>
      <c r="N50" s="129" t="s">
        <v>44</v>
      </c>
      <c r="O50" s="129"/>
      <c r="P50" s="129"/>
      <c r="Q50" s="129"/>
      <c r="R50" s="129"/>
      <c r="S50" s="129"/>
      <c r="W50" s="9">
        <v>2</v>
      </c>
      <c r="X50" s="19" t="s">
        <v>102</v>
      </c>
      <c r="Y50" s="19" t="s">
        <v>63</v>
      </c>
      <c r="Z50" s="19"/>
      <c r="AA50" s="19" t="s">
        <v>65</v>
      </c>
      <c r="AB50" s="19"/>
      <c r="AC50" s="18" t="s">
        <v>64</v>
      </c>
      <c r="AG50" s="19" t="s">
        <v>102</v>
      </c>
      <c r="AH50" s="18" t="s">
        <v>70</v>
      </c>
      <c r="AI50" s="18"/>
      <c r="AJ50" s="133"/>
      <c r="AL50" s="19" t="s">
        <v>102</v>
      </c>
      <c r="AM50" s="18" t="s">
        <v>67</v>
      </c>
      <c r="AN50" s="19"/>
      <c r="AO50" s="19" t="s">
        <v>71</v>
      </c>
    </row>
    <row r="51" spans="13:41" x14ac:dyDescent="0.15">
      <c r="M51" s="19" t="s">
        <v>103</v>
      </c>
      <c r="N51" s="19" t="s">
        <v>33</v>
      </c>
      <c r="O51" s="19" t="s">
        <v>34</v>
      </c>
      <c r="P51" s="19" t="s">
        <v>35</v>
      </c>
      <c r="Q51" s="19" t="s">
        <v>36</v>
      </c>
      <c r="R51" s="19" t="s">
        <v>37</v>
      </c>
      <c r="S51" s="19" t="s">
        <v>45</v>
      </c>
      <c r="W51" s="9">
        <v>3</v>
      </c>
      <c r="X51" s="19">
        <v>10</v>
      </c>
      <c r="Y51" s="19">
        <v>0</v>
      </c>
      <c r="Z51" s="19"/>
      <c r="AA51" s="17">
        <f>Y51*(INDEX([3]小r将兵属性验证!$V$7:$V$166,$X51,1)+INDEX([3]小r将兵属性验证!$AP$7:$AP$166,$X51,1))</f>
        <v>0</v>
      </c>
      <c r="AB51" s="19"/>
      <c r="AC51" s="18">
        <f t="shared" ref="AC51:AC60" si="12">SUM(AA51:AB51)</f>
        <v>0</v>
      </c>
      <c r="AG51" s="19">
        <f t="shared" ref="AG51:AG60" si="13">M29</f>
        <v>17.420973982667814</v>
      </c>
      <c r="AH51" s="18">
        <f>基础状态预估!S42</f>
        <v>0</v>
      </c>
      <c r="AI51" s="18"/>
      <c r="AJ51" s="21">
        <f>AH51/INDEX('[1]资源-钻石'!$M$4:$M$163,$AG51,1)</f>
        <v>0</v>
      </c>
      <c r="AL51" s="19">
        <v>10</v>
      </c>
      <c r="AM51" s="18" t="e">
        <f t="shared" ref="AM51:AM66" si="14">求节点($AG$51:$AG$67,$AH$51:$AH$67,$AL51)</f>
        <v>#VALUE!</v>
      </c>
      <c r="AN51" s="19"/>
      <c r="AO51" s="19" t="e">
        <f>SUM(AM51:AN51)</f>
        <v>#VALUE!</v>
      </c>
    </row>
    <row r="52" spans="13:41" x14ac:dyDescent="0.15">
      <c r="M52" s="19">
        <f>基础状态预估!D65</f>
        <v>16.55360159735687</v>
      </c>
      <c r="N52" s="19">
        <f>IF(基础状态预估!H65=0,0,门客属性!D$5*基础状态预估!H65)</f>
        <v>0.3186591485433824</v>
      </c>
      <c r="O52" s="19">
        <f>IF(基础状态预估!I65=0,0,门客属性!E$5*基础状态预估!I65)</f>
        <v>0.3626817029132352</v>
      </c>
      <c r="P52" s="19">
        <f>IF(基础状态预估!J65=0,0,门客属性!F$5*基础状态预估!J65)</f>
        <v>0</v>
      </c>
      <c r="Q52" s="19">
        <f>IF(基础状态预估!K65=0,0,门客属性!G$5*基础状态预估!K65)</f>
        <v>0</v>
      </c>
      <c r="R52" s="19">
        <f>IF(基础状态预估!L65=0,0,门客属性!H$5*基础状态预估!L65)</f>
        <v>0</v>
      </c>
      <c r="S52" s="19">
        <f t="shared" ref="S52:S61" si="15">SUM(N52:R52)</f>
        <v>0.6813408514566176</v>
      </c>
      <c r="W52" s="9">
        <v>4</v>
      </c>
      <c r="X52" s="19">
        <v>20</v>
      </c>
      <c r="Y52" s="19">
        <f t="shared" ref="Y52:Y66" si="16">求节点($M$29:$M$45,$S$29:$S$45,$X52)</f>
        <v>0.96997808932444052</v>
      </c>
      <c r="Z52" s="19"/>
      <c r="AA52" s="19">
        <f>(Y52-Y51)*(INDEX([3]小r将兵属性验证!$V$7:$V$166,$X51,1)+INDEX([3]小r将兵属性验证!$AP$7:$AP$166,$X51,1))+AA51</f>
        <v>312052.38250246138</v>
      </c>
      <c r="AB52" s="19"/>
      <c r="AC52" s="18">
        <f t="shared" si="12"/>
        <v>312052.38250246138</v>
      </c>
      <c r="AG52" s="19">
        <f t="shared" si="13"/>
        <v>23.346355732194773</v>
      </c>
      <c r="AH52" s="18">
        <f>基础状态预估!S43</f>
        <v>0</v>
      </c>
      <c r="AI52" s="18"/>
      <c r="AJ52" s="21">
        <f>AH52/INDEX('[1]资源-钻石'!$M$4:$M$163,$AG52,1)</f>
        <v>0</v>
      </c>
      <c r="AL52" s="19">
        <v>20</v>
      </c>
      <c r="AM52" s="18">
        <f t="shared" si="14"/>
        <v>0</v>
      </c>
      <c r="AN52" s="19"/>
      <c r="AO52" s="19">
        <f t="shared" ref="AO52:AO60" si="17">SUM(AM52:AN52)</f>
        <v>0</v>
      </c>
    </row>
    <row r="53" spans="13:41" x14ac:dyDescent="0.15">
      <c r="M53" s="19">
        <f>基础状态预估!D66</f>
        <v>22.270075478919804</v>
      </c>
      <c r="N53" s="19">
        <f>IF(基础状态预估!H66=0,0,门客属性!D$5*基础状态预估!H66)</f>
        <v>0.65550731913103877</v>
      </c>
      <c r="O53" s="19">
        <f>IF(基础状态预估!I66=0,0,门客属性!E$5*基础状态预估!I66)</f>
        <v>0.68898536173792246</v>
      </c>
      <c r="P53" s="19">
        <f>IF(基础状态预估!J66=0,0,门客属性!F$5*基础状态预估!J66)</f>
        <v>0</v>
      </c>
      <c r="Q53" s="19">
        <f>IF(基础状态预估!K66=0,0,门客属性!G$5*基础状态预估!K66)</f>
        <v>0</v>
      </c>
      <c r="R53" s="19">
        <f>IF(基础状态预估!L66=0,0,门客属性!H$5*基础状态预估!L66)</f>
        <v>0</v>
      </c>
      <c r="S53" s="19">
        <f t="shared" si="15"/>
        <v>1.3444926808689612</v>
      </c>
      <c r="W53" s="9">
        <v>5</v>
      </c>
      <c r="X53" s="19">
        <v>30</v>
      </c>
      <c r="Y53" s="19">
        <f t="shared" si="16"/>
        <v>2.0061310333964588</v>
      </c>
      <c r="Z53" s="19"/>
      <c r="AA53" s="51">
        <f>(Y53-Y52)*(INDEX([3]小r将兵属性验证!$V$7:$V$166,$X52,1)+INDEX([3]小r将兵属性验证!$AP$7:$AP$166,$X52,1))+AA52</f>
        <v>1544716.3965253972</v>
      </c>
      <c r="AB53" s="19"/>
      <c r="AC53" s="18">
        <f t="shared" si="12"/>
        <v>1544716.3965253972</v>
      </c>
      <c r="AG53" s="19">
        <f t="shared" si="13"/>
        <v>31.845462834406923</v>
      </c>
      <c r="AH53" s="18">
        <f>基础状态预估!S44</f>
        <v>0</v>
      </c>
      <c r="AI53" s="18"/>
      <c r="AJ53" s="21">
        <f>AH53/INDEX('[1]资源-钻石'!$M$4:$M$163,$AG53,1)</f>
        <v>0</v>
      </c>
      <c r="AL53" s="19">
        <v>30</v>
      </c>
      <c r="AM53" s="18">
        <f t="shared" si="14"/>
        <v>0</v>
      </c>
      <c r="AN53" s="19"/>
      <c r="AO53" s="19">
        <f t="shared" si="17"/>
        <v>0</v>
      </c>
    </row>
    <row r="54" spans="13:41" x14ac:dyDescent="0.15">
      <c r="M54" s="19">
        <f>基础状态预估!D67</f>
        <v>30.615521552489891</v>
      </c>
      <c r="N54" s="19">
        <f>IF(基础状态预估!H67=0,0,门客属性!D$5*基础状态预估!H67)</f>
        <v>0.81035615163146979</v>
      </c>
      <c r="O54" s="19">
        <f>IF(基础状态预估!I67=0,0,门客属性!E$5*基础状态预估!I67)</f>
        <v>1.3792876967370604</v>
      </c>
      <c r="P54" s="19">
        <f>IF(基础状态预估!J67=0,0,门客属性!F$5*基础状态预估!J67)</f>
        <v>0</v>
      </c>
      <c r="Q54" s="19">
        <f>IF(基础状态预估!K67=0,0,门客属性!G$5*基础状态预估!K67)</f>
        <v>0</v>
      </c>
      <c r="R54" s="19">
        <f>IF(基础状态预估!L67=0,0,门客属性!H$5*基础状态预估!L67)</f>
        <v>0</v>
      </c>
      <c r="S54" s="19">
        <f t="shared" si="15"/>
        <v>2.1896438483685303</v>
      </c>
      <c r="W54" s="9">
        <v>6</v>
      </c>
      <c r="X54" s="19">
        <v>40</v>
      </c>
      <c r="Y54" s="19">
        <f t="shared" si="16"/>
        <v>3.2458782574683891</v>
      </c>
      <c r="Z54" s="19"/>
      <c r="AA54" s="51">
        <f>(Y54-Y53)*(INDEX([3]小r将兵属性验证!$V$7:$V$166,$X53,1)+INDEX([3]小r将兵属性验证!$AP$7:$AP$166,$X53,1))+AA53</f>
        <v>5488543.8822709238</v>
      </c>
      <c r="AB54" s="19"/>
      <c r="AC54" s="18">
        <f t="shared" si="12"/>
        <v>5488543.8822709238</v>
      </c>
      <c r="AG54" s="19">
        <f t="shared" si="13"/>
        <v>40.787439392565133</v>
      </c>
      <c r="AH54" s="18">
        <f>基础状态预估!S45</f>
        <v>0</v>
      </c>
      <c r="AI54" s="18"/>
      <c r="AJ54" s="21">
        <f>AH54/INDEX('[1]资源-钻石'!$M$4:$M$163,$AG54,1)</f>
        <v>0</v>
      </c>
      <c r="AL54" s="19">
        <v>40</v>
      </c>
      <c r="AM54" s="18">
        <f t="shared" si="14"/>
        <v>0</v>
      </c>
      <c r="AN54" s="19"/>
      <c r="AO54" s="19">
        <f t="shared" si="17"/>
        <v>0</v>
      </c>
    </row>
    <row r="55" spans="13:41" x14ac:dyDescent="0.15">
      <c r="M55" s="19">
        <f>基础状态预估!D68</f>
        <v>39.486304880774611</v>
      </c>
      <c r="N55" s="19">
        <f>IF(基础状态预估!H68=0,0,门客属性!D$5*基础状态预估!H68)</f>
        <v>0.6521269187153298</v>
      </c>
      <c r="O55" s="19">
        <f>IF(基础状态预估!I68=0,0,门客属性!E$5*基础状态预估!I68)</f>
        <v>2.6957461625693404</v>
      </c>
      <c r="P55" s="19">
        <f>IF(基础状态预估!J68=0,0,门客属性!F$5*基础状态预估!J68)</f>
        <v>0</v>
      </c>
      <c r="Q55" s="19">
        <f>IF(基础状态预估!K68=0,0,门客属性!G$5*基础状态预估!K68)</f>
        <v>0</v>
      </c>
      <c r="R55" s="19">
        <f>IF(基础状态预估!L68=0,0,门客属性!H$5*基础状态预估!L68)</f>
        <v>0</v>
      </c>
      <c r="S55" s="19">
        <f t="shared" si="15"/>
        <v>3.3478730812846704</v>
      </c>
      <c r="W55" s="9">
        <v>7</v>
      </c>
      <c r="X55" s="19">
        <v>50</v>
      </c>
      <c r="Y55" s="19">
        <f t="shared" si="16"/>
        <v>6.3939325505923259</v>
      </c>
      <c r="Z55" s="19"/>
      <c r="AA55" s="51">
        <f>(Y55-Y54)*(INDEX([3]小r将兵属性验证!$V$7:$V$166,$X54,1)+INDEX([3]小r将兵属性验证!$AP$7:$AP$166,$X54,1))+AA54</f>
        <v>34142815.778095357</v>
      </c>
      <c r="AB55" s="19"/>
      <c r="AC55" s="18">
        <f t="shared" si="12"/>
        <v>34142815.778095357</v>
      </c>
      <c r="AG55" s="19">
        <f t="shared" si="13"/>
        <v>49.81327866937707</v>
      </c>
      <c r="AH55" s="18">
        <f>基础状态预估!S46</f>
        <v>0</v>
      </c>
      <c r="AI55" s="18"/>
      <c r="AJ55" s="21">
        <f>AH55/INDEX('[1]资源-钻石'!$M$4:$M$163,$AG55,1)</f>
        <v>0</v>
      </c>
      <c r="AL55" s="19">
        <v>50</v>
      </c>
      <c r="AM55" s="18">
        <f t="shared" si="14"/>
        <v>0</v>
      </c>
      <c r="AN55" s="19"/>
      <c r="AO55" s="19">
        <f t="shared" si="17"/>
        <v>0</v>
      </c>
    </row>
    <row r="56" spans="13:41" x14ac:dyDescent="0.15">
      <c r="M56" s="19">
        <f>基础状态预估!D69</f>
        <v>48.49295716189016</v>
      </c>
      <c r="N56" s="19">
        <f>IF(基础状态预估!H69=0,0,门客属性!D$5*基础状态预估!H69)</f>
        <v>0</v>
      </c>
      <c r="O56" s="19">
        <f>IF(基础状态预估!I69=0,0,门客属性!E$5*基础状态预估!I69)</f>
        <v>2.2237345506612849</v>
      </c>
      <c r="P56" s="19">
        <f>IF(基础状态预估!J69=0,0,门客属性!F$5*基础状态预估!J69)</f>
        <v>2.9122359549677466</v>
      </c>
      <c r="Q56" s="19">
        <f>IF(基础状态预估!K69=0,0,门客属性!G$5*基础状态预估!K69)</f>
        <v>1.1841769662258099</v>
      </c>
      <c r="R56" s="19">
        <f>IF(基础状态预估!L69=0,0,门客属性!H$5*基础状态预估!L69)</f>
        <v>0</v>
      </c>
      <c r="S56" s="19">
        <f t="shared" si="15"/>
        <v>6.3201474718548418</v>
      </c>
      <c r="W56" s="9">
        <v>8</v>
      </c>
      <c r="X56" s="19">
        <v>60</v>
      </c>
      <c r="Y56" s="19">
        <f t="shared" si="16"/>
        <v>10.424907385987588</v>
      </c>
      <c r="Z56" s="19"/>
      <c r="AA56" s="51">
        <f>(Y56-Y55)*(INDEX([3]小r将兵属性验证!$V$7:$V$166,$X55,1)+INDEX([3]小r将兵属性验证!$AP$7:$AP$166,$X55,1))+AA55</f>
        <v>103639417.15521526</v>
      </c>
      <c r="AB56" s="19"/>
      <c r="AC56" s="18">
        <f t="shared" si="12"/>
        <v>103639417.15521526</v>
      </c>
      <c r="AG56" s="19">
        <f t="shared" si="13"/>
        <v>58.959670032750353</v>
      </c>
      <c r="AH56" s="18">
        <f>基础状态预估!S47</f>
        <v>0</v>
      </c>
      <c r="AI56" s="18"/>
      <c r="AJ56" s="21">
        <f>AH56/INDEX('[1]资源-钻石'!$M$4:$M$163,$AG56,1)</f>
        <v>0</v>
      </c>
      <c r="AL56" s="19">
        <v>60</v>
      </c>
      <c r="AM56" s="18">
        <f t="shared" si="14"/>
        <v>0</v>
      </c>
      <c r="AN56" s="19"/>
      <c r="AO56" s="19">
        <f t="shared" si="17"/>
        <v>0</v>
      </c>
    </row>
    <row r="57" spans="13:41" x14ac:dyDescent="0.15">
      <c r="M57" s="19">
        <f>基础状态预估!D70</f>
        <v>57.686819122040689</v>
      </c>
      <c r="N57" s="19">
        <f>IF(基础状态预估!H70=0,0,门客属性!D$5*基础状态预估!H70)</f>
        <v>0</v>
      </c>
      <c r="O57" s="19">
        <f>IF(基础状态预估!I70=0,0,门客属性!E$5*基础状态预估!I70)</f>
        <v>0</v>
      </c>
      <c r="P57" s="19">
        <f>IF(基础状态预估!J70=0,0,门客属性!F$5*基础状态预估!J70)</f>
        <v>4.131101825380556</v>
      </c>
      <c r="Q57" s="19">
        <f>IF(基础状态预估!K70=0,0,门客属性!G$5*基础状态预估!K70)</f>
        <v>5.8033472619291651</v>
      </c>
      <c r="R57" s="19">
        <f>IF(基础状态预估!L70=0,0,门客属性!H$5*基础状态预估!L70)</f>
        <v>0</v>
      </c>
      <c r="S57" s="19">
        <f t="shared" si="15"/>
        <v>9.9344490873097211</v>
      </c>
      <c r="W57" s="9">
        <v>9</v>
      </c>
      <c r="X57" s="19">
        <v>70</v>
      </c>
      <c r="Y57" s="19">
        <f t="shared" si="16"/>
        <v>14.550133847087576</v>
      </c>
      <c r="Z57" s="19"/>
      <c r="AA57" s="51">
        <f>(Y57-Y56)*(INDEX([3]小r将兵属性验证!$V$7:$V$166,$X56,1)+INDEX([3]小r将兵属性验证!$AP$7:$AP$166,$X56,1))+AA56</f>
        <v>269711167.97622967</v>
      </c>
      <c r="AB57" s="19"/>
      <c r="AC57" s="18">
        <f t="shared" si="12"/>
        <v>269711167.97622967</v>
      </c>
      <c r="AG57" s="19">
        <f t="shared" si="13"/>
        <v>67.444013295864096</v>
      </c>
      <c r="AH57" s="18">
        <f>基础状态预估!S48</f>
        <v>0</v>
      </c>
      <c r="AI57" s="18"/>
      <c r="AJ57" s="21">
        <f>AH57/INDEX('[1]资源-钻石'!$M$4:$M$163,$AG57,1)</f>
        <v>0</v>
      </c>
      <c r="AL57" s="19">
        <v>70</v>
      </c>
      <c r="AM57" s="18">
        <f t="shared" si="14"/>
        <v>0</v>
      </c>
      <c r="AN57" s="19"/>
      <c r="AO57" s="19">
        <f t="shared" si="17"/>
        <v>0</v>
      </c>
    </row>
    <row r="58" spans="13:41" x14ac:dyDescent="0.15">
      <c r="M58" s="19">
        <f>基础状态预估!D71</f>
        <v>66.152018816255293</v>
      </c>
      <c r="N58" s="19">
        <f>IF(基础状态预估!H71=0,0,门客属性!D$5*基础状态预估!H71)</f>
        <v>0</v>
      </c>
      <c r="O58" s="19">
        <f>IF(基础状态预估!I71=0,0,门客属性!E$5*基础状态预估!I71)</f>
        <v>0</v>
      </c>
      <c r="P58" s="19">
        <f>IF(基础状态预估!J71=0,0,门客属性!F$5*基础状态预估!J71)</f>
        <v>0.1313004292390462</v>
      </c>
      <c r="Q58" s="19">
        <f>IF(基础状态预估!K71=0,0,门客属性!G$5*基础状态预估!K71)</f>
        <v>13.803049356141431</v>
      </c>
      <c r="R58" s="19">
        <f>IF(基础状态预估!L71=0,0,门客属性!H$5*基础状态预估!L71)</f>
        <v>0</v>
      </c>
      <c r="S58" s="19">
        <f t="shared" si="15"/>
        <v>13.934349785380476</v>
      </c>
      <c r="W58" s="9">
        <v>10</v>
      </c>
      <c r="X58" s="19">
        <v>80</v>
      </c>
      <c r="Y58" s="19">
        <f t="shared" si="16"/>
        <v>16.935011659273112</v>
      </c>
      <c r="Z58" s="19"/>
      <c r="AA58" s="51">
        <f>(Y58-Y57)*(INDEX([3]小r将兵属性验证!$V$7:$V$166,$X57,1)+INDEX([3]小r将兵属性验证!$AP$7:$AP$166,$X57,1))+AA57</f>
        <v>569851336.98888612</v>
      </c>
      <c r="AB58" s="19"/>
      <c r="AC58" s="18">
        <f t="shared" si="12"/>
        <v>569851336.98888612</v>
      </c>
      <c r="AG58" s="19">
        <f t="shared" si="13"/>
        <v>76.018081402346411</v>
      </c>
      <c r="AH58" s="18">
        <f>基础状态预估!S49</f>
        <v>0</v>
      </c>
      <c r="AI58" s="18"/>
      <c r="AJ58" s="21">
        <f>AH58/INDEX('[1]资源-钻石'!$M$4:$M$163,$AG58,1)</f>
        <v>0</v>
      </c>
      <c r="AL58" s="19">
        <v>80</v>
      </c>
      <c r="AM58" s="18">
        <f t="shared" si="14"/>
        <v>0</v>
      </c>
      <c r="AN58" s="19"/>
      <c r="AO58" s="19">
        <f t="shared" si="17"/>
        <v>0</v>
      </c>
    </row>
    <row r="59" spans="13:41" x14ac:dyDescent="0.15">
      <c r="M59" s="19">
        <f>基础状态预估!D72</f>
        <v>74.771148405180824</v>
      </c>
      <c r="N59" s="19">
        <f>IF(基础状态预估!H72=0,0,门客属性!D$5*基础状态预估!H72)</f>
        <v>0</v>
      </c>
      <c r="O59" s="19">
        <f>IF(基础状态预估!I72=0,0,门客属性!E$5*基础状态预估!I72)</f>
        <v>0</v>
      </c>
      <c r="P59" s="19">
        <f>IF(基础状态预估!J72=0,0,门客属性!F$5*基础状态预估!J72)</f>
        <v>0</v>
      </c>
      <c r="Q59" s="19">
        <f>IF(基础状态预估!K72=0,0,门客属性!G$5*基础状态预估!K72)</f>
        <v>16</v>
      </c>
      <c r="R59" s="19">
        <f>IF(基础状态预估!L72=0,0,门客属性!H$5*基础状态预估!L72)</f>
        <v>0</v>
      </c>
      <c r="S59" s="19">
        <f t="shared" si="15"/>
        <v>16</v>
      </c>
      <c r="W59" s="9">
        <v>11</v>
      </c>
      <c r="X59" s="19">
        <v>90</v>
      </c>
      <c r="Y59" s="19">
        <f t="shared" si="16"/>
        <v>19.013398298891744</v>
      </c>
      <c r="Z59" s="19"/>
      <c r="AA59" s="51">
        <f>(Y59-Y58)*(INDEX([3]小r将兵属性验证!$V$7:$V$166,$X58,1)+INDEX([3]小r将兵属性验证!$AP$7:$AP$166,$X58,1))+AA58</f>
        <v>1233201120.5885808</v>
      </c>
      <c r="AB59" s="19"/>
      <c r="AC59" s="18">
        <f t="shared" si="12"/>
        <v>1233201120.5885808</v>
      </c>
      <c r="AG59" s="19">
        <f t="shared" si="13"/>
        <v>84.53544812855209</v>
      </c>
      <c r="AH59" s="18">
        <f>基础状态预估!S50</f>
        <v>0</v>
      </c>
      <c r="AI59" s="18"/>
      <c r="AJ59" s="21">
        <f>AH59/INDEX('[1]资源-钻石'!$M$4:$M$163,$AG59,1)</f>
        <v>0</v>
      </c>
      <c r="AL59" s="19">
        <v>90</v>
      </c>
      <c r="AM59" s="18">
        <f t="shared" si="14"/>
        <v>0</v>
      </c>
      <c r="AN59" s="19"/>
      <c r="AO59" s="19">
        <f t="shared" si="17"/>
        <v>0</v>
      </c>
    </row>
    <row r="60" spans="13:41" x14ac:dyDescent="0.15">
      <c r="M60" s="19">
        <f>基础状态预估!D73</f>
        <v>83.32493049129468</v>
      </c>
      <c r="N60" s="19">
        <f>IF(基础状态预估!H73=0,0,门客属性!D$5*基础状态预估!H73)</f>
        <v>0</v>
      </c>
      <c r="O60" s="19">
        <f>IF(基础状态预估!I73=0,0,门客属性!E$5*基础状态预估!I73)</f>
        <v>0</v>
      </c>
      <c r="P60" s="19">
        <f>IF(基础状态预估!J73=0,0,门客属性!F$5*基础状态预估!J73)</f>
        <v>0</v>
      </c>
      <c r="Q60" s="19">
        <f>IF(基础状态预估!K73=0,0,门客属性!G$5*基础状态预估!K73)</f>
        <v>18</v>
      </c>
      <c r="R60" s="19">
        <f>IF(基础状态预估!L73=0,0,门客属性!H$5*基础状态预估!L73)</f>
        <v>0</v>
      </c>
      <c r="S60" s="19">
        <f t="shared" si="15"/>
        <v>18</v>
      </c>
      <c r="W60" s="9">
        <v>12</v>
      </c>
      <c r="X60" s="19">
        <v>100</v>
      </c>
      <c r="Y60" s="19">
        <f t="shared" si="16"/>
        <v>20.882130163749494</v>
      </c>
      <c r="Z60" s="19"/>
      <c r="AA60" s="51">
        <f>(Y60-Y59)*(INDEX([3]小r将兵属性验证!$V$7:$V$166,$X59,1)+INDEX([3]小r将兵属性验证!$AP$7:$AP$166,$X59,1))+AA59</f>
        <v>2623830121.4886007</v>
      </c>
      <c r="AB60" s="19"/>
      <c r="AC60" s="18">
        <f t="shared" si="12"/>
        <v>2623830121.4886007</v>
      </c>
      <c r="AG60" s="19">
        <f t="shared" si="13"/>
        <v>95.320056465518832</v>
      </c>
      <c r="AH60" s="18">
        <f>基础状态预估!S51</f>
        <v>0</v>
      </c>
      <c r="AI60" s="18"/>
      <c r="AJ60" s="21">
        <f>AH60/INDEX('[1]资源-钻石'!$M$4:$M$163,$AG60,1)</f>
        <v>0</v>
      </c>
      <c r="AL60" s="19">
        <v>100</v>
      </c>
      <c r="AM60" s="18">
        <f t="shared" si="14"/>
        <v>0</v>
      </c>
      <c r="AN60" s="19"/>
      <c r="AO60" s="19">
        <f t="shared" si="17"/>
        <v>0</v>
      </c>
    </row>
    <row r="61" spans="13:41" x14ac:dyDescent="0.15">
      <c r="M61" s="19">
        <f>基础状态预估!D74</f>
        <v>94.309081972684396</v>
      </c>
      <c r="N61" s="19">
        <f>IF(基础状态预估!H74=0,0,门客属性!D$5*基础状态预估!H74)</f>
        <v>0</v>
      </c>
      <c r="O61" s="19">
        <f>IF(基础状态预估!I74=0,0,门客属性!E$5*基础状态预估!I74)</f>
        <v>0</v>
      </c>
      <c r="P61" s="19">
        <f>IF(基础状态预估!J74=0,0,门客属性!F$5*基础状态预估!J74)</f>
        <v>0</v>
      </c>
      <c r="Q61" s="19">
        <f>IF(基础状态预估!K74=0,0,门客属性!G$5*基础状态预估!K74)</f>
        <v>20</v>
      </c>
      <c r="R61" s="19">
        <f>IF(基础状态预估!L74=0,0,门客属性!H$5*基础状态预估!L74)</f>
        <v>0</v>
      </c>
      <c r="S61" s="19">
        <f t="shared" si="15"/>
        <v>20</v>
      </c>
      <c r="W61" s="9">
        <v>13</v>
      </c>
      <c r="X61" s="49">
        <v>110</v>
      </c>
      <c r="Y61" s="49">
        <f t="shared" si="16"/>
        <v>22.764960818419461</v>
      </c>
      <c r="Z61" s="49"/>
      <c r="AA61" s="51">
        <f>(Y61-Y60)*(INDEX([3]小r将兵属性验证!$V$7:$V$166,$X60,1)+INDEX([3]小r将兵属性验证!$AP$7:$AP$166,$X60,1))+AA60</f>
        <v>5588525168.0227928</v>
      </c>
      <c r="AB61" s="49"/>
      <c r="AC61" s="48">
        <f t="shared" ref="AC61:AC66" si="18">SUM(AA61:AB61)</f>
        <v>5588525168.0227928</v>
      </c>
      <c r="AG61" s="49">
        <f t="shared" ref="AG61:AG65" si="19">M39</f>
        <v>105.93060744042049</v>
      </c>
      <c r="AH61" s="48">
        <f>基础状态预估!S52</f>
        <v>0</v>
      </c>
      <c r="AI61" s="48"/>
      <c r="AJ61" s="21">
        <f>AH61/INDEX('[1]资源-钻石'!$M$4:$M$163,$AG61,1)</f>
        <v>0</v>
      </c>
      <c r="AL61" s="49">
        <v>110</v>
      </c>
      <c r="AM61" s="48">
        <f t="shared" si="14"/>
        <v>0</v>
      </c>
      <c r="AN61" s="49"/>
      <c r="AO61" s="49">
        <f t="shared" ref="AO61:AO66" si="20">SUM(AM61:AN61)</f>
        <v>0</v>
      </c>
    </row>
    <row r="62" spans="13:41" x14ac:dyDescent="0.15">
      <c r="M62" s="45">
        <f>基础状态预估!D75</f>
        <v>104.93378702762401</v>
      </c>
      <c r="N62" s="45">
        <f>IF(基础状态预估!H75=0,0,门客属性!D$5*基础状态预估!H75)</f>
        <v>0</v>
      </c>
      <c r="O62" s="45">
        <f>IF(基础状态预估!I75=0,0,门客属性!E$5*基础状态预估!I75)</f>
        <v>0</v>
      </c>
      <c r="P62" s="45">
        <f>IF(基础状态预估!J75=0,0,门客属性!F$5*基础状态预估!J75)</f>
        <v>0</v>
      </c>
      <c r="Q62" s="45">
        <f>IF(基础状态预估!K75=0,0,门客属性!G$5*基础状态预估!K75)</f>
        <v>22</v>
      </c>
      <c r="R62" s="45">
        <f>IF(基础状态预估!L75=0,0,门客属性!H$5*基础状态预估!L75)</f>
        <v>0</v>
      </c>
      <c r="S62" s="45">
        <f t="shared" ref="S62:S67" si="21">SUM(N62:R62)</f>
        <v>22</v>
      </c>
      <c r="W62" s="9">
        <v>14</v>
      </c>
      <c r="X62" s="49">
        <v>120</v>
      </c>
      <c r="Y62" s="49">
        <f t="shared" si="16"/>
        <v>24.649709135779858</v>
      </c>
      <c r="Z62" s="49"/>
      <c r="AA62" s="51">
        <f>(Y62-Y61)*(INDEX([3]小r将兵属性验证!$V$7:$V$166,$X61,1)+INDEX([3]小r将兵属性验证!$AP$7:$AP$166,$X61,1))+AA61</f>
        <v>10644538931.618137</v>
      </c>
      <c r="AB62" s="49"/>
      <c r="AC62" s="48">
        <f t="shared" si="18"/>
        <v>10644538931.618137</v>
      </c>
      <c r="AG62" s="49">
        <f t="shared" si="19"/>
        <v>116.57008716694446</v>
      </c>
      <c r="AH62" s="48">
        <f>基础状态预估!S53</f>
        <v>0</v>
      </c>
      <c r="AI62" s="48"/>
      <c r="AJ62" s="21">
        <f>AH62/INDEX('[1]资源-钻石'!$M$4:$M$163,$AG62,1)</f>
        <v>0</v>
      </c>
      <c r="AL62" s="49">
        <v>120</v>
      </c>
      <c r="AM62" s="48">
        <f t="shared" si="14"/>
        <v>0</v>
      </c>
      <c r="AN62" s="49"/>
      <c r="AO62" s="49">
        <f t="shared" si="20"/>
        <v>0</v>
      </c>
    </row>
    <row r="63" spans="13:41" x14ac:dyDescent="0.15">
      <c r="M63" s="45">
        <f>基础状态预估!D76</f>
        <v>115.63935175516689</v>
      </c>
      <c r="N63" s="45">
        <f>IF(基础状态预估!H76=0,0,门客属性!D$5*基础状态预估!H76)</f>
        <v>0</v>
      </c>
      <c r="O63" s="45">
        <f>IF(基础状态预估!I76=0,0,门客属性!E$5*基础状态预估!I76)</f>
        <v>0</v>
      </c>
      <c r="P63" s="45">
        <f>IF(基础状态预估!J76=0,0,门客属性!F$5*基础状态预估!J76)</f>
        <v>0</v>
      </c>
      <c r="Q63" s="45">
        <f>IF(基础状态预估!K76=0,0,门客属性!G$5*基础状态预估!K76)</f>
        <v>24</v>
      </c>
      <c r="R63" s="45">
        <f>IF(基础状态预估!L76=0,0,门客属性!H$5*基础状态预估!L76)</f>
        <v>0</v>
      </c>
      <c r="S63" s="45">
        <f t="shared" si="21"/>
        <v>24</v>
      </c>
      <c r="W63" s="9">
        <v>15</v>
      </c>
      <c r="X63" s="49">
        <v>130</v>
      </c>
      <c r="Y63" s="49">
        <f t="shared" si="16"/>
        <v>26.542946037208896</v>
      </c>
      <c r="Z63" s="49"/>
      <c r="AA63" s="51">
        <f>(Y63-Y62)*(INDEX([3]小r将兵属性验证!$V$7:$V$166,$X62,1)+INDEX([3]小r将兵属性验证!$AP$7:$AP$166,$X62,1))+AA62</f>
        <v>18759998070.992039</v>
      </c>
      <c r="AB63" s="49"/>
      <c r="AC63" s="48">
        <f t="shared" si="18"/>
        <v>18759998070.992039</v>
      </c>
      <c r="AG63" s="49">
        <f t="shared" si="19"/>
        <v>127.12838978012395</v>
      </c>
      <c r="AH63" s="48">
        <f>基础状态预估!S54</f>
        <v>0</v>
      </c>
      <c r="AI63" s="48"/>
      <c r="AJ63" s="21">
        <f>AH63/INDEX('[1]资源-钻石'!$M$4:$M$163,$AG63,1)</f>
        <v>0</v>
      </c>
      <c r="AL63" s="49">
        <v>130</v>
      </c>
      <c r="AM63" s="48">
        <f t="shared" si="14"/>
        <v>0</v>
      </c>
      <c r="AN63" s="49"/>
      <c r="AO63" s="49">
        <f t="shared" si="20"/>
        <v>0</v>
      </c>
    </row>
    <row r="64" spans="13:41" x14ac:dyDescent="0.15">
      <c r="M64" s="45">
        <f>基础状态预估!D77</f>
        <v>126.19151638854794</v>
      </c>
      <c r="N64" s="45">
        <f>IF(基础状态预估!H77=0,0,门客属性!D$5*基础状态预估!H77)</f>
        <v>0</v>
      </c>
      <c r="O64" s="45">
        <f>IF(基础状态预估!I77=0,0,门客属性!E$5*基础状态预估!I77)</f>
        <v>0</v>
      </c>
      <c r="P64" s="45">
        <f>IF(基础状态预估!J77=0,0,门客属性!F$5*基础状态预估!J77)</f>
        <v>0</v>
      </c>
      <c r="Q64" s="45">
        <f>IF(基础状态预估!K77=0,0,门客属性!G$5*基础状态预估!K77)</f>
        <v>26</v>
      </c>
      <c r="R64" s="45">
        <f>IF(基础状态预估!L77=0,0,门客属性!H$5*基础状态预估!L77)</f>
        <v>0</v>
      </c>
      <c r="S64" s="45">
        <f t="shared" si="21"/>
        <v>26</v>
      </c>
      <c r="W64" s="9">
        <v>16</v>
      </c>
      <c r="X64" s="49">
        <v>140</v>
      </c>
      <c r="Y64" s="49">
        <f t="shared" si="16"/>
        <v>28.434117719203144</v>
      </c>
      <c r="Z64" s="49"/>
      <c r="AA64" s="51">
        <f>(Y64-Y63)*(INDEX([3]小r将兵属性验证!$V$7:$V$166,$X63,1)+INDEX([3]小r将兵属性验证!$AP$7:$AP$166,$X63,1))+AA63</f>
        <v>30942038100.226765</v>
      </c>
      <c r="AB64" s="49"/>
      <c r="AC64" s="48">
        <f t="shared" si="18"/>
        <v>30942038100.226765</v>
      </c>
      <c r="AG64" s="49">
        <f t="shared" si="19"/>
        <v>137.70627422196659</v>
      </c>
      <c r="AH64" s="48">
        <f>基础状态预估!S55</f>
        <v>0</v>
      </c>
      <c r="AI64" s="48"/>
      <c r="AJ64" s="21">
        <f>AH64/INDEX('[1]资源-钻石'!$M$4:$M$163,$AG64,1)</f>
        <v>0</v>
      </c>
      <c r="AL64" s="49">
        <v>140</v>
      </c>
      <c r="AM64" s="48">
        <f t="shared" si="14"/>
        <v>0</v>
      </c>
      <c r="AN64" s="49"/>
      <c r="AO64" s="49">
        <f t="shared" si="20"/>
        <v>0</v>
      </c>
    </row>
    <row r="65" spans="13:41" x14ac:dyDescent="0.15">
      <c r="M65" s="45">
        <f>基础状态预估!D78</f>
        <v>136.8190741194654</v>
      </c>
      <c r="N65" s="45">
        <f>IF(基础状态预估!H78=0,0,门客属性!D$5*基础状态预估!H78)</f>
        <v>0</v>
      </c>
      <c r="O65" s="45">
        <f>IF(基础状态预估!I78=0,0,门客属性!E$5*基础状态预估!I78)</f>
        <v>0</v>
      </c>
      <c r="P65" s="45">
        <f>IF(基础状态预估!J78=0,0,门客属性!F$5*基础状态预估!J78)</f>
        <v>0</v>
      </c>
      <c r="Q65" s="45">
        <f>IF(基础状态预估!K78=0,0,门客属性!G$5*基础状态预估!K78)</f>
        <v>28</v>
      </c>
      <c r="R65" s="45">
        <f>IF(基础状态预估!L78=0,0,门客属性!H$5*基础状态预估!L78)</f>
        <v>0</v>
      </c>
      <c r="S65" s="45">
        <f t="shared" si="21"/>
        <v>28</v>
      </c>
      <c r="W65" s="9">
        <v>17</v>
      </c>
      <c r="X65" s="49">
        <v>150</v>
      </c>
      <c r="Y65" s="49">
        <f t="shared" si="16"/>
        <v>30.587910709468687</v>
      </c>
      <c r="Z65" s="49"/>
      <c r="AA65" s="51">
        <f>(Y65-Y64)*(INDEX([3]小r将兵属性验证!$V$7:$V$166,$X64,1)+INDEX([3]小r将兵属性验证!$AP$7:$AP$166,$X64,1))+AA64</f>
        <v>51602229466.97702</v>
      </c>
      <c r="AB65" s="49"/>
      <c r="AC65" s="48">
        <f t="shared" si="18"/>
        <v>51602229466.97702</v>
      </c>
      <c r="AG65" s="49">
        <f t="shared" si="19"/>
        <v>148.27357279823164</v>
      </c>
      <c r="AH65" s="48">
        <f>基础状态预估!S56</f>
        <v>0</v>
      </c>
      <c r="AI65" s="48"/>
      <c r="AJ65" s="21">
        <f>AH65/INDEX('[1]资源-钻石'!$M$4:$M$163,$AG65,1)</f>
        <v>0</v>
      </c>
      <c r="AL65" s="49">
        <v>150</v>
      </c>
      <c r="AM65" s="48">
        <f t="shared" si="14"/>
        <v>0</v>
      </c>
      <c r="AN65" s="49"/>
      <c r="AO65" s="49">
        <f t="shared" si="20"/>
        <v>0</v>
      </c>
    </row>
    <row r="66" spans="13:41" x14ac:dyDescent="0.15">
      <c r="M66" s="45">
        <f>基础状态预估!D79</f>
        <v>147.45018844840658</v>
      </c>
      <c r="N66" s="45">
        <f>IF(基础状态预估!H79=0,0,门客属性!D$5*基础状态预估!H79)</f>
        <v>0</v>
      </c>
      <c r="O66" s="45">
        <f>IF(基础状态预估!I79=0,0,门客属性!E$5*基础状态预估!I79)</f>
        <v>0</v>
      </c>
      <c r="P66" s="45">
        <f>IF(基础状态预估!J79=0,0,门客属性!F$5*基础状态预估!J79)</f>
        <v>0</v>
      </c>
      <c r="Q66" s="45">
        <f>IF(基础状态预估!K79=0,0,门客属性!G$5*基础状态预估!K79)</f>
        <v>30</v>
      </c>
      <c r="R66" s="45">
        <f>IF(基础状态预估!L79=0,0,门客属性!H$5*基础状态预估!L79)</f>
        <v>0</v>
      </c>
      <c r="S66" s="45">
        <f t="shared" si="21"/>
        <v>30</v>
      </c>
      <c r="W66" s="9">
        <v>18</v>
      </c>
      <c r="X66" s="49">
        <v>160</v>
      </c>
      <c r="Y66" s="49">
        <f t="shared" si="16"/>
        <v>33.21511993839205</v>
      </c>
      <c r="Z66" s="49"/>
      <c r="AA66" s="51">
        <f>(Y66-Y65)*(INDEX([3]小r将兵属性验证!$V$7:$V$166,$X65,1)+INDEX([3]小r将兵属性验证!$AP$7:$AP$166,$X65,1))+AA65</f>
        <v>88308578817.334534</v>
      </c>
      <c r="AB66" s="49"/>
      <c r="AC66" s="48">
        <f t="shared" si="18"/>
        <v>88308578817.334534</v>
      </c>
      <c r="AG66" s="49">
        <f>M44</f>
        <v>154.14666602127767</v>
      </c>
      <c r="AH66" s="48">
        <f>基础状态预估!S57</f>
        <v>0</v>
      </c>
      <c r="AI66" s="48"/>
      <c r="AJ66" s="21">
        <f>AH66/INDEX('[1]资源-钻石'!$M$4:$M$163,$AG66,1)</f>
        <v>0</v>
      </c>
      <c r="AL66" s="49">
        <v>160</v>
      </c>
      <c r="AM66" s="48">
        <f t="shared" si="14"/>
        <v>0</v>
      </c>
      <c r="AN66" s="49"/>
      <c r="AO66" s="49">
        <f t="shared" si="20"/>
        <v>0</v>
      </c>
    </row>
    <row r="67" spans="13:41" x14ac:dyDescent="0.15">
      <c r="M67" s="45">
        <f>基础状态预估!D80</f>
        <v>153.14946182958477</v>
      </c>
      <c r="N67" s="45">
        <f>IF(基础状态预估!H80=0,0,门客属性!D$5*基础状态预估!H80)</f>
        <v>0</v>
      </c>
      <c r="O67" s="45">
        <f>IF(基础状态预估!I80=0,0,门客属性!E$5*基础状态预估!I80)</f>
        <v>0</v>
      </c>
      <c r="P67" s="45">
        <f>IF(基础状态预估!J80=0,0,门客属性!F$5*基础状态预估!J80)</f>
        <v>0</v>
      </c>
      <c r="Q67" s="45">
        <f>IF(基础状态预估!K80=0,0,门客属性!G$5*基础状态预估!K80)</f>
        <v>32</v>
      </c>
      <c r="R67" s="45">
        <f>IF(基础状态预估!L80=0,0,门客属性!H$5*基础状态预估!L80)</f>
        <v>0</v>
      </c>
      <c r="S67" s="45">
        <f t="shared" si="21"/>
        <v>32</v>
      </c>
      <c r="W67" s="9">
        <v>19</v>
      </c>
    </row>
    <row r="68" spans="13:41" x14ac:dyDescent="0.15">
      <c r="M68" s="19"/>
      <c r="N68" s="19"/>
      <c r="O68" s="19"/>
      <c r="P68" s="19"/>
      <c r="Q68" s="19"/>
      <c r="R68" s="19"/>
      <c r="S68" s="19"/>
      <c r="W68" s="9">
        <v>20</v>
      </c>
      <c r="AG68" s="16"/>
    </row>
    <row r="69" spans="13:41" x14ac:dyDescent="0.15">
      <c r="M69" s="16"/>
      <c r="W69" s="9">
        <v>21</v>
      </c>
      <c r="AG69" s="16"/>
    </row>
    <row r="70" spans="13:41" x14ac:dyDescent="0.15">
      <c r="M70" s="16"/>
      <c r="W70" s="9">
        <v>22</v>
      </c>
      <c r="AG70" s="16"/>
    </row>
    <row r="71" spans="13:41" x14ac:dyDescent="0.15">
      <c r="W71" s="9">
        <v>23</v>
      </c>
    </row>
    <row r="72" spans="13:41" x14ac:dyDescent="0.15">
      <c r="W72" s="9">
        <v>24</v>
      </c>
    </row>
    <row r="73" spans="13:41" x14ac:dyDescent="0.15">
      <c r="M73" s="19" t="s">
        <v>19</v>
      </c>
      <c r="N73" s="129" t="s">
        <v>44</v>
      </c>
      <c r="O73" s="129"/>
      <c r="P73" s="129"/>
      <c r="Q73" s="129"/>
      <c r="R73" s="129"/>
      <c r="S73" s="129"/>
      <c r="W73" s="9">
        <v>25</v>
      </c>
    </row>
    <row r="74" spans="13:41" x14ac:dyDescent="0.15">
      <c r="M74" s="19" t="s">
        <v>103</v>
      </c>
      <c r="N74" s="19" t="s">
        <v>33</v>
      </c>
      <c r="O74" s="19" t="s">
        <v>34</v>
      </c>
      <c r="P74" s="19" t="s">
        <v>35</v>
      </c>
      <c r="Q74" s="19" t="s">
        <v>36</v>
      </c>
      <c r="R74" s="19" t="s">
        <v>37</v>
      </c>
      <c r="S74" s="19" t="s">
        <v>45</v>
      </c>
      <c r="W74" s="9">
        <v>26</v>
      </c>
    </row>
    <row r="75" spans="13:41" x14ac:dyDescent="0.15">
      <c r="M75" s="19">
        <f>基础状态预估!D88</f>
        <v>15.589627930182091</v>
      </c>
      <c r="N75" s="19">
        <f>IF(基础状态预估!H88=0,0,门客属性!D$5*基础状态预估!H88)</f>
        <v>0.3186591485433824</v>
      </c>
      <c r="O75" s="19">
        <f>IF(基础状态预估!I88=0,0,门客属性!E$5*基础状态预估!I88)</f>
        <v>0.3626817029132352</v>
      </c>
      <c r="P75" s="19">
        <f>IF(基础状态预估!J88=0,0,门客属性!F$5*基础状态预估!J88)</f>
        <v>0</v>
      </c>
      <c r="Q75" s="19">
        <f>IF(基础状态预估!K88=0,0,门客属性!G$5*基础状态预估!K88)</f>
        <v>0</v>
      </c>
      <c r="R75" s="19">
        <f>IF(基础状态预估!L88=0,0,门客属性!H$5*基础状态预估!L88)</f>
        <v>0</v>
      </c>
      <c r="S75" s="19">
        <f t="shared" ref="S75:S84" si="22">SUM(N75:R75)</f>
        <v>0.6813408514566176</v>
      </c>
      <c r="W75" s="9">
        <v>27</v>
      </c>
    </row>
    <row r="76" spans="13:41" x14ac:dyDescent="0.15">
      <c r="M76" s="19">
        <f>基础状态预估!D89</f>
        <v>21.127034033068878</v>
      </c>
      <c r="N76" s="19">
        <f>IF(基础状态预估!H89=0,0,门客属性!D$5*基础状态预估!H89)</f>
        <v>0.65550731913103877</v>
      </c>
      <c r="O76" s="19">
        <f>IF(基础状态预估!I89=0,0,门客属性!E$5*基础状态预估!I89)</f>
        <v>0.68898536173792246</v>
      </c>
      <c r="P76" s="19">
        <f>IF(基础状态预估!J89=0,0,门客属性!F$5*基础状态预估!J89)</f>
        <v>0</v>
      </c>
      <c r="Q76" s="19">
        <f>IF(基础状态预估!K89=0,0,门客属性!G$5*基础状态预估!K89)</f>
        <v>0</v>
      </c>
      <c r="R76" s="19">
        <f>IF(基础状态预估!L89=0,0,门客属性!H$5*基础状态预估!L89)</f>
        <v>0</v>
      </c>
      <c r="S76" s="19">
        <f t="shared" si="22"/>
        <v>1.3444926808689612</v>
      </c>
      <c r="W76" s="9">
        <v>28</v>
      </c>
    </row>
    <row r="77" spans="13:41" x14ac:dyDescent="0.15">
      <c r="M77" s="19">
        <f>基础状态预估!D90</f>
        <v>29.279653557700659</v>
      </c>
      <c r="N77" s="19">
        <f>IF(基础状态预估!H90=0,0,门客属性!D$5*基础状态预估!H90)</f>
        <v>0.81035615163146979</v>
      </c>
      <c r="O77" s="19">
        <f>IF(基础状态预估!I90=0,0,门客属性!E$5*基础状态预估!I90)</f>
        <v>1.3792876967370604</v>
      </c>
      <c r="P77" s="19">
        <f>IF(基础状态预估!J90=0,0,门客属性!F$5*基础状态预估!J90)</f>
        <v>0</v>
      </c>
      <c r="Q77" s="19">
        <f>IF(基础状态预估!K90=0,0,门客属性!G$5*基础状态预估!K90)</f>
        <v>0</v>
      </c>
      <c r="R77" s="19">
        <f>IF(基础状态预估!L90=0,0,门客属性!H$5*基础状态预估!L90)</f>
        <v>0</v>
      </c>
      <c r="S77" s="19">
        <f t="shared" si="22"/>
        <v>2.1896438483685303</v>
      </c>
      <c r="W77" s="9">
        <v>29</v>
      </c>
    </row>
    <row r="78" spans="13:41" x14ac:dyDescent="0.15">
      <c r="M78" s="19">
        <f>基础状态预估!D91</f>
        <v>38.056251761612167</v>
      </c>
      <c r="N78" s="19">
        <f>IF(基础状态预估!H91=0,0,门客属性!D$5*基础状态预估!H91)</f>
        <v>0.6521269187153298</v>
      </c>
      <c r="O78" s="19">
        <f>IF(基础状态预估!I91=0,0,门客属性!E$5*基础状态预估!I91)</f>
        <v>2.6957461625693404</v>
      </c>
      <c r="P78" s="19">
        <f>IF(基础状态预估!J91=0,0,门客属性!F$5*基础状态预估!J91)</f>
        <v>0</v>
      </c>
      <c r="Q78" s="19">
        <f>IF(基础状态预估!K91=0,0,门客属性!G$5*基础状态预估!K91)</f>
        <v>0</v>
      </c>
      <c r="R78" s="19">
        <f>IF(基础状态预估!L91=0,0,门客属性!H$5*基础状态预估!L91)</f>
        <v>0</v>
      </c>
      <c r="S78" s="19">
        <f t="shared" si="22"/>
        <v>3.3478730812846704</v>
      </c>
      <c r="W78" s="9">
        <v>30</v>
      </c>
    </row>
    <row r="79" spans="13:41" x14ac:dyDescent="0.15">
      <c r="M79" s="19">
        <f>基础状态预估!D92</f>
        <v>47.007818211309306</v>
      </c>
      <c r="N79" s="19">
        <f>IF(基础状态预估!H92=0,0,门客属性!D$5*基础状态预估!H92)</f>
        <v>0</v>
      </c>
      <c r="O79" s="19">
        <f>IF(基础状态预估!I92=0,0,门客属性!E$5*基础状态预估!I92)</f>
        <v>2.2237345506612849</v>
      </c>
      <c r="P79" s="19">
        <f>IF(基础状态预估!J92=0,0,门客属性!F$5*基础状态预估!J92)</f>
        <v>2.9122359549677466</v>
      </c>
      <c r="Q79" s="19">
        <f>IF(基础状态预估!K92=0,0,门客属性!G$5*基础状态预估!K92)</f>
        <v>1.1841769662258099</v>
      </c>
      <c r="R79" s="19">
        <f>IF(基础状态预估!L92=0,0,门客属性!H$5*基础状态预估!L92)</f>
        <v>0</v>
      </c>
      <c r="S79" s="19">
        <f t="shared" si="22"/>
        <v>6.3201474718548418</v>
      </c>
      <c r="W79" s="9">
        <v>31</v>
      </c>
    </row>
    <row r="80" spans="13:41" x14ac:dyDescent="0.15">
      <c r="M80" s="19">
        <f>基础状态预估!D93</f>
        <v>56.279027610646125</v>
      </c>
      <c r="N80" s="19">
        <f>IF(基础状态预估!H93=0,0,门客属性!D$5*基础状态预估!H93)</f>
        <v>0</v>
      </c>
      <c r="O80" s="19">
        <f>IF(基础状态预估!I93=0,0,门客属性!E$5*基础状态预估!I93)</f>
        <v>0</v>
      </c>
      <c r="P80" s="19">
        <f>IF(基础状态预估!J93=0,0,门客属性!F$5*基础状态预估!J93)</f>
        <v>4.131101825380556</v>
      </c>
      <c r="Q80" s="19">
        <f>IF(基础状态预估!K93=0,0,门客属性!G$5*基础状态预估!K93)</f>
        <v>5.8033472619291651</v>
      </c>
      <c r="R80" s="19">
        <f>IF(基础状态预估!L93=0,0,门客属性!H$5*基础状态预估!L93)</f>
        <v>0</v>
      </c>
      <c r="S80" s="19">
        <f t="shared" si="22"/>
        <v>9.9344490873097211</v>
      </c>
      <c r="W80" s="9">
        <v>32</v>
      </c>
    </row>
    <row r="81" spans="13:41" x14ac:dyDescent="0.15">
      <c r="M81" s="19">
        <f>基础状态预估!D94</f>
        <v>64.756218484668864</v>
      </c>
      <c r="N81" s="19">
        <f>IF(基础状态预估!H94=0,0,门客属性!D$5*基础状态预估!H94)</f>
        <v>0</v>
      </c>
      <c r="O81" s="19">
        <f>IF(基础状态预估!I94=0,0,门客属性!E$5*基础状态预估!I94)</f>
        <v>0</v>
      </c>
      <c r="P81" s="19">
        <f>IF(基础状态预估!J94=0,0,门客属性!F$5*基础状态预估!J94)</f>
        <v>0.1313004292390462</v>
      </c>
      <c r="Q81" s="19">
        <f>IF(基础状态预估!K94=0,0,门客属性!G$5*基础状态预估!K94)</f>
        <v>13.803049356141431</v>
      </c>
      <c r="R81" s="19">
        <f>IF(基础状态预估!L94=0,0,门客属性!H$5*基础状态预估!L94)</f>
        <v>0</v>
      </c>
      <c r="S81" s="19">
        <f t="shared" si="22"/>
        <v>13.934349785380476</v>
      </c>
      <c r="W81" s="9">
        <v>33</v>
      </c>
    </row>
    <row r="82" spans="13:41" x14ac:dyDescent="0.15">
      <c r="M82" s="19">
        <f>基础状态预估!D95</f>
        <v>73.446658299619131</v>
      </c>
      <c r="N82" s="19">
        <f>IF(基础状态预估!H95=0,0,门客属性!D$5*基础状态预估!H95)</f>
        <v>0</v>
      </c>
      <c r="O82" s="19">
        <f>IF(基础状态预估!I95=0,0,门客属性!E$5*基础状态预估!I95)</f>
        <v>0</v>
      </c>
      <c r="P82" s="19">
        <f>IF(基础状态预估!J95=0,0,门客属性!F$5*基础状态预估!J95)</f>
        <v>0</v>
      </c>
      <c r="Q82" s="19">
        <f>IF(基础状态预估!K95=0,0,门客属性!G$5*基础状态预估!K95)</f>
        <v>16</v>
      </c>
      <c r="R82" s="19">
        <f>IF(基础状态预估!L95=0,0,门客属性!H$5*基础状态预估!L95)</f>
        <v>0</v>
      </c>
      <c r="S82" s="19">
        <f t="shared" si="22"/>
        <v>16</v>
      </c>
      <c r="W82" s="9">
        <v>34</v>
      </c>
    </row>
    <row r="83" spans="13:41" x14ac:dyDescent="0.15">
      <c r="M83" s="19">
        <f>基础状态预估!D96</f>
        <v>82.027450452783569</v>
      </c>
      <c r="N83" s="19">
        <f>IF(基础状态预估!H96=0,0,门客属性!D$5*基础状态预估!H96)</f>
        <v>0</v>
      </c>
      <c r="O83" s="19">
        <f>IF(基础状态预估!I96=0,0,门客属性!E$5*基础状态预估!I96)</f>
        <v>0</v>
      </c>
      <c r="P83" s="19">
        <f>IF(基础状态预估!J96=0,0,门客属性!F$5*基础状态预估!J96)</f>
        <v>0</v>
      </c>
      <c r="Q83" s="19">
        <f>IF(基础状态预估!K96=0,0,门客属性!G$5*基础状态预估!K96)</f>
        <v>18</v>
      </c>
      <c r="R83" s="19">
        <f>IF(基础状态预估!L96=0,0,门客属性!H$5*基础状态预估!L96)</f>
        <v>0</v>
      </c>
      <c r="S83" s="19">
        <f t="shared" si="22"/>
        <v>18</v>
      </c>
      <c r="W83" s="9">
        <v>35</v>
      </c>
    </row>
    <row r="84" spans="13:41" x14ac:dyDescent="0.15">
      <c r="M84" s="19">
        <f>基础状态预估!D97</f>
        <v>93.208444061349098</v>
      </c>
      <c r="N84" s="19">
        <f>IF(基础状态预估!H97=0,0,门客属性!D$5*基础状态预估!H97)</f>
        <v>0</v>
      </c>
      <c r="O84" s="19">
        <f>IF(基础状态预估!I97=0,0,门客属性!E$5*基础状态预估!I97)</f>
        <v>0</v>
      </c>
      <c r="P84" s="19">
        <f>IF(基础状态预估!J97=0,0,门客属性!F$5*基础状态预估!J97)</f>
        <v>0</v>
      </c>
      <c r="Q84" s="19">
        <f>IF(基础状态预估!K97=0,0,门客属性!G$5*基础状态预估!K97)</f>
        <v>20</v>
      </c>
      <c r="R84" s="19">
        <f>IF(基础状态预估!L97=0,0,门客属性!H$5*基础状态预估!L97)</f>
        <v>0</v>
      </c>
      <c r="S84" s="19">
        <f t="shared" si="22"/>
        <v>20</v>
      </c>
      <c r="W84" s="9">
        <v>36</v>
      </c>
    </row>
    <row r="85" spans="13:41" x14ac:dyDescent="0.15">
      <c r="M85" s="45">
        <f>基础状态预估!D98</f>
        <v>103.87052361677672</v>
      </c>
      <c r="N85" s="45">
        <f>IF(基础状态预估!H98=0,0,门客属性!D$5*基础状态预估!H98)</f>
        <v>0</v>
      </c>
      <c r="O85" s="45">
        <f>IF(基础状态预估!I98=0,0,门客属性!E$5*基础状态预估!I98)</f>
        <v>0</v>
      </c>
      <c r="P85" s="45">
        <f>IF(基础状态预估!J98=0,0,门客属性!F$5*基础状态预估!J98)</f>
        <v>0</v>
      </c>
      <c r="Q85" s="45">
        <f>IF(基础状态预估!K98=0,0,门客属性!G$5*基础状态预估!K98)</f>
        <v>22</v>
      </c>
      <c r="R85" s="45">
        <f>IF(基础状态预估!L98=0,0,门客属性!H$5*基础状态预估!L98)</f>
        <v>0</v>
      </c>
      <c r="S85" s="45">
        <f t="shared" ref="S85:S90" si="23">SUM(N85:R85)</f>
        <v>22</v>
      </c>
      <c r="W85" s="9">
        <v>37</v>
      </c>
    </row>
    <row r="86" spans="13:41" x14ac:dyDescent="0.15">
      <c r="M86" s="45">
        <f>基础状态预估!D99</f>
        <v>114.60606674176169</v>
      </c>
      <c r="N86" s="45">
        <f>IF(基础状态预估!H99=0,0,门客属性!D$5*基础状态预估!H99)</f>
        <v>0</v>
      </c>
      <c r="O86" s="45">
        <f>IF(基础状态预估!I99=0,0,门客属性!E$5*基础状态预估!I99)</f>
        <v>0</v>
      </c>
      <c r="P86" s="45">
        <f>IF(基础状态预估!J99=0,0,门客属性!F$5*基础状态预估!J99)</f>
        <v>0</v>
      </c>
      <c r="Q86" s="45">
        <f>IF(基础状态预估!K99=0,0,门客属性!G$5*基础状态预估!K99)</f>
        <v>24</v>
      </c>
      <c r="R86" s="45">
        <f>IF(基础状态预估!L99=0,0,门客属性!H$5*基础状态预估!L99)</f>
        <v>0</v>
      </c>
      <c r="S86" s="45">
        <f t="shared" si="23"/>
        <v>24</v>
      </c>
      <c r="W86" s="9">
        <v>38</v>
      </c>
    </row>
    <row r="87" spans="13:41" x14ac:dyDescent="0.15">
      <c r="M87" s="45">
        <f>基础状态预估!D100</f>
        <v>125.19410714767859</v>
      </c>
      <c r="N87" s="45">
        <f>IF(基础状态预估!H100=0,0,门客属性!D$5*基础状态预估!H100)</f>
        <v>0</v>
      </c>
      <c r="O87" s="45">
        <f>IF(基础状态预估!I100=0,0,门客属性!E$5*基础状态预估!I100)</f>
        <v>0</v>
      </c>
      <c r="P87" s="45">
        <f>IF(基础状态预估!J100=0,0,门客属性!F$5*基础状态预估!J100)</f>
        <v>0</v>
      </c>
      <c r="Q87" s="45">
        <f>IF(基础状态预估!K100=0,0,门客属性!G$5*基础状态预估!K100)</f>
        <v>26</v>
      </c>
      <c r="R87" s="45">
        <f>IF(基础状态预估!L100=0,0,门客属性!H$5*基础状态预估!L100)</f>
        <v>0</v>
      </c>
      <c r="S87" s="45">
        <f t="shared" si="23"/>
        <v>26</v>
      </c>
      <c r="W87" s="9">
        <v>39</v>
      </c>
    </row>
    <row r="88" spans="13:41" x14ac:dyDescent="0.15">
      <c r="M88" s="45">
        <f>基础状态预估!D101</f>
        <v>135.89542876835631</v>
      </c>
      <c r="N88" s="45">
        <f>IF(基础状态预估!H101=0,0,门客属性!D$5*基础状态预估!H101)</f>
        <v>0</v>
      </c>
      <c r="O88" s="45">
        <f>IF(基础状态预估!I101=0,0,门客属性!E$5*基础状态预估!I101)</f>
        <v>0</v>
      </c>
      <c r="P88" s="45">
        <f>IF(基础状态预估!J101=0,0,门客属性!F$5*基础状态预估!J101)</f>
        <v>0</v>
      </c>
      <c r="Q88" s="45">
        <f>IF(基础状态预估!K101=0,0,门客属性!G$5*基础状态预估!K101)</f>
        <v>28</v>
      </c>
      <c r="R88" s="45">
        <f>IF(基础状态预估!L101=0,0,门客属性!H$5*基础状态预估!L101)</f>
        <v>0</v>
      </c>
      <c r="S88" s="45">
        <f t="shared" si="23"/>
        <v>28</v>
      </c>
      <c r="W88" s="9">
        <v>40</v>
      </c>
    </row>
    <row r="89" spans="13:41" x14ac:dyDescent="0.15">
      <c r="M89" s="45">
        <f>基础状态预估!D102</f>
        <v>146.55064673623977</v>
      </c>
      <c r="N89" s="45">
        <f>IF(基础状态预估!H102=0,0,门客属性!D$5*基础状态预估!H102)</f>
        <v>0</v>
      </c>
      <c r="O89" s="45">
        <f>IF(基础状态预估!I102=0,0,门客属性!E$5*基础状态预估!I102)</f>
        <v>0</v>
      </c>
      <c r="P89" s="45">
        <f>IF(基础状态预估!J102=0,0,门客属性!F$5*基础状态预估!J102)</f>
        <v>0</v>
      </c>
      <c r="Q89" s="45">
        <f>IF(基础状态预估!K102=0,0,门客属性!G$5*基础状态预估!K102)</f>
        <v>30</v>
      </c>
      <c r="R89" s="45">
        <f>IF(基础状态预估!L102=0,0,门客属性!H$5*基础状态预估!L102)</f>
        <v>0</v>
      </c>
      <c r="S89" s="45">
        <f t="shared" si="23"/>
        <v>30</v>
      </c>
      <c r="W89" s="9">
        <v>41</v>
      </c>
    </row>
    <row r="90" spans="13:41" x14ac:dyDescent="0.15">
      <c r="M90" s="45">
        <f>基础状态预估!D103</f>
        <v>152.12605579164665</v>
      </c>
      <c r="N90" s="45">
        <f>IF(基础状态预估!H103=0,0,门客属性!D$5*基础状态预估!H103)</f>
        <v>0</v>
      </c>
      <c r="O90" s="45">
        <f>IF(基础状态预估!I103=0,0,门客属性!E$5*基础状态预估!I103)</f>
        <v>0</v>
      </c>
      <c r="P90" s="45">
        <f>IF(基础状态预估!J103=0,0,门客属性!F$5*基础状态预估!J103)</f>
        <v>0</v>
      </c>
      <c r="Q90" s="45">
        <f>IF(基础状态预估!K103=0,0,门客属性!G$5*基础状态预估!K103)</f>
        <v>32</v>
      </c>
      <c r="R90" s="45">
        <f>IF(基础状态预估!L103=0,0,门客属性!H$5*基础状态预估!L103)</f>
        <v>0</v>
      </c>
      <c r="S90" s="45">
        <f t="shared" si="23"/>
        <v>32</v>
      </c>
      <c r="W90" s="9">
        <v>42</v>
      </c>
    </row>
    <row r="91" spans="13:41" x14ac:dyDescent="0.15">
      <c r="M91" s="19"/>
      <c r="N91" s="19"/>
      <c r="O91" s="19"/>
      <c r="P91" s="19"/>
      <c r="Q91" s="19"/>
      <c r="R91" s="19"/>
      <c r="S91" s="19"/>
      <c r="W91" s="9">
        <v>43</v>
      </c>
    </row>
    <row r="92" spans="13:41" x14ac:dyDescent="0.15">
      <c r="M92" s="16"/>
      <c r="W92" s="9">
        <v>44</v>
      </c>
    </row>
    <row r="93" spans="13:41" x14ac:dyDescent="0.15">
      <c r="W93" s="9">
        <v>45</v>
      </c>
    </row>
    <row r="94" spans="13:41" x14ac:dyDescent="0.15">
      <c r="W94" s="9">
        <v>1</v>
      </c>
      <c r="X94" s="19" t="s">
        <v>2</v>
      </c>
      <c r="Y94" s="131" t="s">
        <v>61</v>
      </c>
      <c r="Z94" s="132"/>
      <c r="AA94" s="129" t="s">
        <v>62</v>
      </c>
      <c r="AB94" s="129"/>
      <c r="AC94" s="129"/>
      <c r="AG94" s="19" t="s">
        <v>74</v>
      </c>
      <c r="AH94" s="130" t="s">
        <v>68</v>
      </c>
      <c r="AI94" s="130"/>
      <c r="AJ94" s="133" t="s">
        <v>77</v>
      </c>
      <c r="AL94" s="19" t="s">
        <v>2</v>
      </c>
      <c r="AM94" s="130" t="s">
        <v>69</v>
      </c>
      <c r="AN94" s="130"/>
    </row>
    <row r="95" spans="13:41" x14ac:dyDescent="0.15">
      <c r="W95" s="9">
        <v>2</v>
      </c>
      <c r="X95" s="19" t="s">
        <v>102</v>
      </c>
      <c r="Y95" s="19" t="s">
        <v>63</v>
      </c>
      <c r="Z95" s="19"/>
      <c r="AA95" s="19" t="s">
        <v>7</v>
      </c>
      <c r="AB95" s="19"/>
      <c r="AC95" s="18" t="s">
        <v>64</v>
      </c>
      <c r="AG95" s="19" t="s">
        <v>102</v>
      </c>
      <c r="AH95" s="18" t="s">
        <v>70</v>
      </c>
      <c r="AI95" s="18"/>
      <c r="AJ95" s="133"/>
      <c r="AL95" s="19" t="s">
        <v>102</v>
      </c>
      <c r="AM95" s="18" t="s">
        <v>67</v>
      </c>
      <c r="AN95" s="19"/>
      <c r="AO95" s="19" t="s">
        <v>71</v>
      </c>
    </row>
    <row r="96" spans="13:41" x14ac:dyDescent="0.15">
      <c r="M96" s="19" t="s">
        <v>20</v>
      </c>
      <c r="N96" s="129" t="s">
        <v>44</v>
      </c>
      <c r="O96" s="129"/>
      <c r="P96" s="129"/>
      <c r="Q96" s="129"/>
      <c r="R96" s="129"/>
      <c r="S96" s="129"/>
      <c r="W96" s="9">
        <v>3</v>
      </c>
      <c r="X96" s="19">
        <v>10</v>
      </c>
      <c r="Y96" s="19">
        <v>0</v>
      </c>
      <c r="Z96" s="19"/>
      <c r="AA96" s="17">
        <f>Y96*(INDEX([3]中r将兵属性验证!$V$7:$V$166,$X96,1)+INDEX([3]中r将兵属性验证!$AP$7:$AP$166,$X96,1))</f>
        <v>0</v>
      </c>
      <c r="AB96" s="19"/>
      <c r="AC96" s="18">
        <f t="shared" ref="AC96:AC105" si="24">SUM(AA96:AB96)</f>
        <v>0</v>
      </c>
      <c r="AG96" s="19">
        <f t="shared" ref="AG96:AG105" si="25">M52</f>
        <v>16.55360159735687</v>
      </c>
      <c r="AH96" s="18">
        <f>基础状态预估!S65</f>
        <v>0</v>
      </c>
      <c r="AI96" s="18"/>
      <c r="AJ96" s="21">
        <f>AH96/INDEX('[1]资源-钻石'!$N$4:$N$163,$AG96,1)</f>
        <v>0</v>
      </c>
      <c r="AL96" s="19">
        <v>10</v>
      </c>
      <c r="AM96" s="18" t="e">
        <f t="shared" ref="AM96:AM111" si="26">求节点($AG$96:$AG$112,$AH$96:$AH$112,$AL96)</f>
        <v>#VALUE!</v>
      </c>
      <c r="AN96" s="19"/>
      <c r="AO96" s="19" t="e">
        <f>SUM(AM96:AN96)</f>
        <v>#VALUE!</v>
      </c>
    </row>
    <row r="97" spans="13:41" x14ac:dyDescent="0.15">
      <c r="M97" s="19" t="s">
        <v>103</v>
      </c>
      <c r="N97" s="19" t="s">
        <v>33</v>
      </c>
      <c r="O97" s="19" t="s">
        <v>34</v>
      </c>
      <c r="P97" s="19" t="s">
        <v>35</v>
      </c>
      <c r="Q97" s="19" t="s">
        <v>36</v>
      </c>
      <c r="R97" s="19" t="s">
        <v>37</v>
      </c>
      <c r="S97" s="19" t="s">
        <v>45</v>
      </c>
      <c r="W97" s="9">
        <v>4</v>
      </c>
      <c r="X97" s="19">
        <v>20</v>
      </c>
      <c r="Y97" s="19">
        <f t="shared" ref="Y97:Y111" si="27">求节点($M$52:$M$68,$S$52:$S$68,$X97)</f>
        <v>1.0811476996900777</v>
      </c>
      <c r="Z97" s="19"/>
      <c r="AA97" s="19">
        <f>(Y97-Y96)*(INDEX([3]中r将兵属性验证!$V$7:$V$166,$X96,1)+INDEX([3]中r将兵属性验证!$AP$7:$AP$166,$X96,1))+AA96</f>
        <v>378125.11016311904</v>
      </c>
      <c r="AB97" s="19"/>
      <c r="AC97" s="18">
        <f t="shared" si="24"/>
        <v>378125.11016311904</v>
      </c>
      <c r="AG97" s="19">
        <f t="shared" si="25"/>
        <v>22.270075478919804</v>
      </c>
      <c r="AH97" s="18">
        <f>基础状态预估!S66</f>
        <v>0</v>
      </c>
      <c r="AI97" s="18"/>
      <c r="AJ97" s="21">
        <f>AH97/INDEX('[1]资源-钻石'!$N$4:$N$163,$AG97,1)</f>
        <v>0</v>
      </c>
      <c r="AL97" s="19">
        <v>20</v>
      </c>
      <c r="AM97" s="18">
        <f t="shared" si="26"/>
        <v>0</v>
      </c>
      <c r="AN97" s="19"/>
      <c r="AO97" s="19">
        <f t="shared" ref="AO97:AO105" si="28">SUM(AM97:AN97)</f>
        <v>0</v>
      </c>
    </row>
    <row r="98" spans="13:41" x14ac:dyDescent="0.15">
      <c r="M98" s="19">
        <f>基础状态预估!D111</f>
        <v>14.671687356650759</v>
      </c>
      <c r="N98" s="19">
        <f>IF(基础状态预估!H111=0,0,门客属性!D$5*基础状态预估!H111)</f>
        <v>0.3186591485433824</v>
      </c>
      <c r="O98" s="19">
        <f>IF(基础状态预估!I111=0,0,门客属性!E$5*基础状态预估!I111)</f>
        <v>0.3626817029132352</v>
      </c>
      <c r="P98" s="19">
        <f>IF(基础状态预估!J111=0,0,门客属性!F$5*基础状态预估!J111)</f>
        <v>0</v>
      </c>
      <c r="Q98" s="19">
        <f>IF(基础状态预估!K111=0,0,门客属性!G$5*基础状态预估!K111)</f>
        <v>0</v>
      </c>
      <c r="R98" s="19">
        <f>IF(基础状态预估!L111=0,0,门客属性!H$5*基础状态预估!L111)</f>
        <v>0</v>
      </c>
      <c r="S98" s="19">
        <f t="shared" ref="S98:S107" si="29">SUM(N98:R98)</f>
        <v>0.6813408514566176</v>
      </c>
      <c r="W98" s="9">
        <v>5</v>
      </c>
      <c r="X98" s="19">
        <v>30</v>
      </c>
      <c r="Y98" s="19">
        <f t="shared" si="27"/>
        <v>2.1273094022380263</v>
      </c>
      <c r="Z98" s="19"/>
      <c r="AA98" s="51">
        <f>(Y98-Y97)*(INDEX([3]中r将兵属性验证!$V$7:$V$166,$X97,1)+INDEX([3]中r将兵属性验证!$AP$7:$AP$166,$X97,1))+AA97</f>
        <v>1728125.4527973868</v>
      </c>
      <c r="AB98" s="19"/>
      <c r="AC98" s="18">
        <f t="shared" si="24"/>
        <v>1728125.4527973868</v>
      </c>
      <c r="AG98" s="19">
        <f t="shared" si="25"/>
        <v>30.615521552489891</v>
      </c>
      <c r="AH98" s="18">
        <f>基础状态预估!S67</f>
        <v>0</v>
      </c>
      <c r="AI98" s="18"/>
      <c r="AJ98" s="21">
        <f>AH98/INDEX('[1]资源-钻石'!$N$4:$N$163,$AG98,1)</f>
        <v>0</v>
      </c>
      <c r="AL98" s="19">
        <v>30</v>
      </c>
      <c r="AM98" s="18">
        <f t="shared" si="26"/>
        <v>0</v>
      </c>
      <c r="AN98" s="19"/>
      <c r="AO98" s="19">
        <f t="shared" si="28"/>
        <v>0</v>
      </c>
    </row>
    <row r="99" spans="13:41" x14ac:dyDescent="0.15">
      <c r="M99" s="19">
        <f>基础状态预估!D112</f>
        <v>19.990401674856564</v>
      </c>
      <c r="N99" s="19">
        <f>IF(基础状态预估!H112=0,0,门客属性!D$5*基础状态预估!H112)</f>
        <v>0.65550731913103877</v>
      </c>
      <c r="O99" s="19">
        <f>IF(基础状态预估!I112=0,0,门客属性!E$5*基础状态预估!I112)</f>
        <v>0.68898536173792246</v>
      </c>
      <c r="P99" s="19">
        <f>IF(基础状态预估!J112=0,0,门客属性!F$5*基础状态预估!J112)</f>
        <v>0</v>
      </c>
      <c r="Q99" s="19">
        <f>IF(基础状态预估!K112=0,0,门客属性!G$5*基础状态预估!K112)</f>
        <v>0</v>
      </c>
      <c r="R99" s="19">
        <f>IF(基础状态预估!L112=0,0,门客属性!H$5*基础状态预估!L112)</f>
        <v>0</v>
      </c>
      <c r="S99" s="19">
        <f t="shared" si="29"/>
        <v>1.3444926808689612</v>
      </c>
      <c r="W99" s="9">
        <v>6</v>
      </c>
      <c r="X99" s="19">
        <v>40</v>
      </c>
      <c r="Y99" s="19">
        <f t="shared" si="27"/>
        <v>3.5173969842597947</v>
      </c>
      <c r="Z99" s="19"/>
      <c r="AA99" s="51">
        <f>(Y99-Y98)*(INDEX([3]中r将兵属性验证!$V$7:$V$166,$X98,1)+INDEX([3]中r将兵属性验证!$AP$7:$AP$166,$X98,1))+AA98</f>
        <v>6691391.1129248654</v>
      </c>
      <c r="AB99" s="19"/>
      <c r="AC99" s="18">
        <f t="shared" si="24"/>
        <v>6691391.1129248654</v>
      </c>
      <c r="AG99" s="19">
        <f t="shared" si="25"/>
        <v>39.486304880774611</v>
      </c>
      <c r="AH99" s="18">
        <f>基础状态预估!S68</f>
        <v>0</v>
      </c>
      <c r="AI99" s="18"/>
      <c r="AJ99" s="21">
        <f>AH99/INDEX('[1]资源-钻石'!$N$4:$N$163,$AG99,1)</f>
        <v>0</v>
      </c>
      <c r="AL99" s="19">
        <v>40</v>
      </c>
      <c r="AM99" s="18">
        <f t="shared" si="26"/>
        <v>0</v>
      </c>
      <c r="AN99" s="19"/>
      <c r="AO99" s="19">
        <f t="shared" si="28"/>
        <v>0</v>
      </c>
    </row>
    <row r="100" spans="13:41" x14ac:dyDescent="0.15">
      <c r="M100" s="19">
        <f>基础状态预估!D113</f>
        <v>27.953695907743711</v>
      </c>
      <c r="N100" s="19">
        <f>IF(基础状态预估!H113=0,0,门客属性!D$5*基础状态预估!H113)</f>
        <v>0.81035615163146979</v>
      </c>
      <c r="O100" s="19">
        <f>IF(基础状态预估!I113=0,0,门客属性!E$5*基础状态预估!I113)</f>
        <v>1.3792876967370604</v>
      </c>
      <c r="P100" s="19">
        <f>IF(基础状态预估!J113=0,0,门客属性!F$5*基础状态预估!J113)</f>
        <v>0</v>
      </c>
      <c r="Q100" s="19">
        <f>IF(基础状态预估!K113=0,0,门客属性!G$5*基础状态预估!K113)</f>
        <v>0</v>
      </c>
      <c r="R100" s="19">
        <f>IF(基础状态预估!L113=0,0,门客属性!H$5*基础状态预估!L113)</f>
        <v>0</v>
      </c>
      <c r="S100" s="19">
        <f t="shared" si="29"/>
        <v>2.1896438483685303</v>
      </c>
      <c r="W100" s="9">
        <v>7</v>
      </c>
      <c r="X100" s="19">
        <v>50</v>
      </c>
      <c r="Y100" s="19">
        <f t="shared" si="27"/>
        <v>6.9125978901827363</v>
      </c>
      <c r="Z100" s="19"/>
      <c r="AA100" s="51">
        <f>(Y100-Y99)*(INDEX([3]中r将兵属性验证!$V$7:$V$166,$X99,1)+INDEX([3]中r将兵属性验证!$AP$7:$AP$166,$X99,1))+AA99</f>
        <v>40813651.990868844</v>
      </c>
      <c r="AB100" s="19"/>
      <c r="AC100" s="18">
        <f t="shared" si="24"/>
        <v>40813651.990868844</v>
      </c>
      <c r="AG100" s="19">
        <f t="shared" si="25"/>
        <v>48.49295716189016</v>
      </c>
      <c r="AH100" s="18">
        <f>基础状态预估!S69</f>
        <v>0</v>
      </c>
      <c r="AI100" s="18"/>
      <c r="AJ100" s="21">
        <f>AH100/INDEX('[1]资源-钻石'!$N$4:$N$163,$AG100,1)</f>
        <v>0</v>
      </c>
      <c r="AL100" s="19">
        <v>50</v>
      </c>
      <c r="AM100" s="18">
        <f t="shared" si="26"/>
        <v>0</v>
      </c>
      <c r="AN100" s="19"/>
      <c r="AO100" s="19">
        <f t="shared" si="28"/>
        <v>0</v>
      </c>
    </row>
    <row r="101" spans="13:41" x14ac:dyDescent="0.15">
      <c r="M101" s="19">
        <f>基础状态预估!D114</f>
        <v>36.474789469426575</v>
      </c>
      <c r="N101" s="19">
        <f>IF(基础状态预估!H114=0,0,门客属性!D$5*基础状态预估!H114)</f>
        <v>0.6521269187153298</v>
      </c>
      <c r="O101" s="19">
        <f>IF(基础状态预估!I114=0,0,门客属性!E$5*基础状态预估!I114)</f>
        <v>2.6957461625693404</v>
      </c>
      <c r="P101" s="19">
        <f>IF(基础状态预估!J114=0,0,门客属性!F$5*基础状态预估!J114)</f>
        <v>0</v>
      </c>
      <c r="Q101" s="19">
        <f>IF(基础状态预估!K114=0,0,门客属性!G$5*基础状态预估!K114)</f>
        <v>0</v>
      </c>
      <c r="R101" s="19">
        <f>IF(基础状态预估!L114=0,0,门客属性!H$5*基础状态预估!L114)</f>
        <v>0</v>
      </c>
      <c r="S101" s="19">
        <f t="shared" si="29"/>
        <v>3.3478730812846704</v>
      </c>
      <c r="W101" s="9">
        <v>8</v>
      </c>
      <c r="X101" s="19">
        <v>60</v>
      </c>
      <c r="Y101" s="19">
        <f t="shared" si="27"/>
        <v>11.027452695344724</v>
      </c>
      <c r="Z101" s="19"/>
      <c r="AA101" s="51">
        <f>(Y101-Y100)*(INDEX([3]中r将兵属性验证!$V$7:$V$166,$X100,1)+INDEX([3]中r将兵属性验证!$AP$7:$AP$166,$X100,1))+AA100</f>
        <v>125371922.46014103</v>
      </c>
      <c r="AB101" s="19"/>
      <c r="AC101" s="18">
        <f t="shared" si="24"/>
        <v>125371922.46014103</v>
      </c>
      <c r="AG101" s="19">
        <f t="shared" si="25"/>
        <v>57.686819122040689</v>
      </c>
      <c r="AH101" s="18">
        <f>基础状态预估!S70</f>
        <v>0</v>
      </c>
      <c r="AI101" s="18"/>
      <c r="AJ101" s="21">
        <f>AH101/INDEX('[1]资源-钻石'!$N$4:$N$163,$AG101,1)</f>
        <v>0</v>
      </c>
      <c r="AL101" s="19">
        <v>60</v>
      </c>
      <c r="AM101" s="18">
        <f t="shared" si="26"/>
        <v>0</v>
      </c>
      <c r="AN101" s="19"/>
      <c r="AO101" s="19">
        <f t="shared" si="28"/>
        <v>0</v>
      </c>
    </row>
    <row r="102" spans="13:41" x14ac:dyDescent="0.15">
      <c r="M102" s="19">
        <f>基础状态预估!D115</f>
        <v>45.378719658137989</v>
      </c>
      <c r="N102" s="19">
        <f>IF(基础状态预估!H115=0,0,门客属性!D$5*基础状态预估!H115)</f>
        <v>0</v>
      </c>
      <c r="O102" s="19">
        <f>IF(基础状态预估!I115=0,0,门客属性!E$5*基础状态预估!I115)</f>
        <v>2.2237345506612849</v>
      </c>
      <c r="P102" s="19">
        <f>IF(基础状态预估!J115=0,0,门客属性!F$5*基础状态预估!J115)</f>
        <v>2.9122359549677466</v>
      </c>
      <c r="Q102" s="19">
        <f>IF(基础状态预估!K115=0,0,门客属性!G$5*基础状态预估!K115)</f>
        <v>1.1841769662258099</v>
      </c>
      <c r="R102" s="19">
        <f>IF(基础状态预估!L115=0,0,门客属性!H$5*基础状态预估!L115)</f>
        <v>0</v>
      </c>
      <c r="S102" s="19">
        <f t="shared" si="29"/>
        <v>6.3201474718548418</v>
      </c>
      <c r="W102" s="9">
        <v>9</v>
      </c>
      <c r="X102" s="19">
        <v>70</v>
      </c>
      <c r="Y102" s="19">
        <f t="shared" si="27"/>
        <v>14.856552320572318</v>
      </c>
      <c r="Z102" s="19"/>
      <c r="AA102" s="51">
        <f>(Y102-Y101)*(INDEX([3]中r将兵属性验证!$V$7:$V$166,$X101,1)+INDEX([3]中r将兵属性验证!$AP$7:$AP$166,$X101,1))+AA101</f>
        <v>304060524.38188267</v>
      </c>
      <c r="AB102" s="19"/>
      <c r="AC102" s="18">
        <f t="shared" si="24"/>
        <v>304060524.38188267</v>
      </c>
      <c r="AG102" s="19">
        <f t="shared" si="25"/>
        <v>66.152018816255293</v>
      </c>
      <c r="AH102" s="18">
        <f>基础状态预估!S71</f>
        <v>0</v>
      </c>
      <c r="AI102" s="18"/>
      <c r="AJ102" s="21">
        <f>AH102/INDEX('[1]资源-钻石'!$N$4:$N$163,$AG102,1)</f>
        <v>0</v>
      </c>
      <c r="AL102" s="19">
        <v>70</v>
      </c>
      <c r="AM102" s="18">
        <f t="shared" si="26"/>
        <v>0</v>
      </c>
      <c r="AN102" s="19"/>
      <c r="AO102" s="19">
        <f t="shared" si="28"/>
        <v>0</v>
      </c>
    </row>
    <row r="103" spans="13:41" x14ac:dyDescent="0.15">
      <c r="M103" s="19">
        <f>基础状态预估!D116</f>
        <v>54.706384157580409</v>
      </c>
      <c r="N103" s="19">
        <f>IF(基础状态预估!H116=0,0,门客属性!D$5*基础状态预估!H116)</f>
        <v>0</v>
      </c>
      <c r="O103" s="19">
        <f>IF(基础状态预估!I116=0,0,门客属性!E$5*基础状态预估!I116)</f>
        <v>0</v>
      </c>
      <c r="P103" s="19">
        <f>IF(基础状态预估!J116=0,0,门客属性!F$5*基础状态预估!J116)</f>
        <v>4.131101825380556</v>
      </c>
      <c r="Q103" s="19">
        <f>IF(基础状态预估!K116=0,0,门客属性!G$5*基础状态预估!K116)</f>
        <v>5.8033472619291651</v>
      </c>
      <c r="R103" s="19">
        <f>IF(基础状态预估!L116=0,0,门客属性!H$5*基础状态预估!L116)</f>
        <v>0</v>
      </c>
      <c r="S103" s="19">
        <f t="shared" si="29"/>
        <v>9.9344490873097211</v>
      </c>
      <c r="W103" s="9">
        <v>10</v>
      </c>
      <c r="X103" s="19">
        <v>80</v>
      </c>
      <c r="Y103" s="19">
        <f t="shared" si="27"/>
        <v>17.222582371675717</v>
      </c>
      <c r="Z103" s="19"/>
      <c r="AA103" s="51">
        <f>(Y103-Y102)*(INDEX([3]中r将兵属性验证!$V$7:$V$166,$X102,1)+INDEX([3]中r将兵属性验证!$AP$7:$AP$166,$X102,1))+AA102</f>
        <v>671968460.63550901</v>
      </c>
      <c r="AB103" s="19"/>
      <c r="AC103" s="18">
        <f t="shared" si="24"/>
        <v>671968460.63550901</v>
      </c>
      <c r="AG103" s="19">
        <f t="shared" si="25"/>
        <v>74.771148405180824</v>
      </c>
      <c r="AH103" s="18">
        <f>基础状态预估!S72</f>
        <v>0</v>
      </c>
      <c r="AI103" s="18"/>
      <c r="AJ103" s="21">
        <f>AH103/INDEX('[1]资源-钻石'!$N$4:$N$163,$AG103,1)</f>
        <v>0</v>
      </c>
      <c r="AL103" s="19">
        <v>80</v>
      </c>
      <c r="AM103" s="18">
        <f t="shared" si="26"/>
        <v>0</v>
      </c>
      <c r="AN103" s="19"/>
      <c r="AO103" s="19">
        <f t="shared" si="28"/>
        <v>0</v>
      </c>
    </row>
    <row r="104" spans="13:41" x14ac:dyDescent="0.15">
      <c r="M104" s="19">
        <f>基础状态预估!D117</f>
        <v>63.227467500622204</v>
      </c>
      <c r="N104" s="19">
        <f>IF(基础状态预估!H117=0,0,门客属性!D$5*基础状态预估!H117)</f>
        <v>0</v>
      </c>
      <c r="O104" s="19">
        <f>IF(基础状态预估!I117=0,0,门客属性!E$5*基础状态预估!I117)</f>
        <v>0</v>
      </c>
      <c r="P104" s="19">
        <f>IF(基础状态预估!J117=0,0,门客属性!F$5*基础状态预估!J117)</f>
        <v>0.1313004292390462</v>
      </c>
      <c r="Q104" s="19">
        <f>IF(基础状态预估!K117=0,0,门客属性!G$5*基础状态预估!K117)</f>
        <v>13.803049356141431</v>
      </c>
      <c r="R104" s="19">
        <f>IF(基础状态预估!L117=0,0,门客属性!H$5*基础状态预估!L117)</f>
        <v>0</v>
      </c>
      <c r="S104" s="19">
        <f t="shared" si="29"/>
        <v>13.934349785380476</v>
      </c>
      <c r="W104" s="9">
        <v>11</v>
      </c>
      <c r="X104" s="19">
        <v>90</v>
      </c>
      <c r="Y104" s="19">
        <f t="shared" si="27"/>
        <v>19.215400118983208</v>
      </c>
      <c r="Z104" s="19"/>
      <c r="AA104" s="51">
        <f>(Y104-Y103)*(INDEX([3]中r将兵属性验证!$V$7:$V$166,$X103,1)+INDEX([3]中r将兵属性验证!$AP$7:$AP$166,$X103,1))+AA103</f>
        <v>1425847870.4983306</v>
      </c>
      <c r="AB104" s="19"/>
      <c r="AC104" s="18">
        <f t="shared" si="24"/>
        <v>1425847870.4983306</v>
      </c>
      <c r="AG104" s="19">
        <f t="shared" si="25"/>
        <v>83.32493049129468</v>
      </c>
      <c r="AH104" s="18">
        <f>基础状态预估!S73</f>
        <v>0</v>
      </c>
      <c r="AI104" s="18"/>
      <c r="AJ104" s="21">
        <f>AH104/INDEX('[1]资源-钻石'!$N$4:$N$163,$AG104,1)</f>
        <v>0</v>
      </c>
      <c r="AL104" s="19">
        <v>90</v>
      </c>
      <c r="AM104" s="18">
        <f t="shared" si="26"/>
        <v>0</v>
      </c>
      <c r="AN104" s="19"/>
      <c r="AO104" s="19">
        <f t="shared" si="28"/>
        <v>0</v>
      </c>
    </row>
    <row r="105" spans="13:41" x14ac:dyDescent="0.15">
      <c r="M105" s="19">
        <f>基础状态预估!D118</f>
        <v>71.964465094771541</v>
      </c>
      <c r="N105" s="19">
        <f>IF(基础状态预估!H118=0,0,门客属性!D$5*基础状态预估!H118)</f>
        <v>0</v>
      </c>
      <c r="O105" s="19">
        <f>IF(基础状态预估!I118=0,0,门客属性!E$5*基础状态预估!I118)</f>
        <v>0</v>
      </c>
      <c r="P105" s="19">
        <f>IF(基础状态预估!J118=0,0,门客属性!F$5*基础状态预估!J118)</f>
        <v>0</v>
      </c>
      <c r="Q105" s="19">
        <f>IF(基础状态预估!K118=0,0,门客属性!G$5*基础状态预估!K118)</f>
        <v>16</v>
      </c>
      <c r="R105" s="19">
        <f>IF(基础状态预估!L118=0,0,门客属性!H$5*基础状态预估!L118)</f>
        <v>0</v>
      </c>
      <c r="S105" s="19">
        <f t="shared" si="29"/>
        <v>16</v>
      </c>
      <c r="W105" s="9">
        <v>12</v>
      </c>
      <c r="X105" s="19">
        <v>100</v>
      </c>
      <c r="Y105" s="19">
        <f t="shared" si="27"/>
        <v>21.071261366388669</v>
      </c>
      <c r="Z105" s="19"/>
      <c r="AA105" s="51">
        <f>(Y105-Y104)*(INDEX([3]中r将兵属性验证!$V$7:$V$166,$X104,1)+INDEX([3]中r将兵属性验证!$AP$7:$AP$166,$X104,1))+AA104</f>
        <v>3189851421.4603682</v>
      </c>
      <c r="AB105" s="19"/>
      <c r="AC105" s="18">
        <f t="shared" si="24"/>
        <v>3189851421.4603682</v>
      </c>
      <c r="AG105" s="19">
        <f t="shared" si="25"/>
        <v>94.309081972684396</v>
      </c>
      <c r="AH105" s="18">
        <f>基础状态预估!S74</f>
        <v>0</v>
      </c>
      <c r="AI105" s="18"/>
      <c r="AJ105" s="21">
        <f>AH105/INDEX('[1]资源-钻石'!$N$4:$N$163,$AG105,1)</f>
        <v>0</v>
      </c>
      <c r="AL105" s="19">
        <v>100</v>
      </c>
      <c r="AM105" s="18">
        <f t="shared" si="26"/>
        <v>0</v>
      </c>
      <c r="AN105" s="19"/>
      <c r="AO105" s="19">
        <f t="shared" si="28"/>
        <v>0</v>
      </c>
    </row>
    <row r="106" spans="13:41" x14ac:dyDescent="0.15">
      <c r="M106" s="19">
        <f>基础状态预估!D119</f>
        <v>80.54663523468885</v>
      </c>
      <c r="N106" s="19">
        <f>IF(基础状态预估!H119=0,0,门客属性!D$5*基础状态预估!H119)</f>
        <v>0</v>
      </c>
      <c r="O106" s="19">
        <f>IF(基础状态预估!I119=0,0,门客属性!E$5*基础状态预估!I119)</f>
        <v>0</v>
      </c>
      <c r="P106" s="19">
        <f>IF(基础状态预估!J119=0,0,门客属性!F$5*基础状态预估!J119)</f>
        <v>0</v>
      </c>
      <c r="Q106" s="19">
        <f>IF(基础状态预估!K119=0,0,门客属性!G$5*基础状态预估!K119)</f>
        <v>18</v>
      </c>
      <c r="R106" s="19">
        <f>IF(基础状态预估!L119=0,0,门客属性!H$5*基础状态预估!L119)</f>
        <v>0</v>
      </c>
      <c r="S106" s="19">
        <f t="shared" si="29"/>
        <v>18</v>
      </c>
      <c r="W106" s="9">
        <v>13</v>
      </c>
      <c r="X106" s="49">
        <v>110</v>
      </c>
      <c r="Y106" s="49">
        <f t="shared" si="27"/>
        <v>22.946463470412137</v>
      </c>
      <c r="Z106" s="49"/>
      <c r="AA106" s="51">
        <f>(Y106-Y105)*(INDEX([3]中r将兵属性验证!$V$7:$V$166,$X105,1)+INDEX([3]中r将兵属性验证!$AP$7:$AP$166,$X105,1))+AA105</f>
        <v>6944433696.9917374</v>
      </c>
      <c r="AB106" s="49"/>
      <c r="AC106" s="48">
        <f t="shared" ref="AC106:AC111" si="30">SUM(AA106:AB106)</f>
        <v>6944433696.9917374</v>
      </c>
      <c r="AG106" s="49">
        <f t="shared" ref="AG106:AG111" si="31">M62</f>
        <v>104.93378702762401</v>
      </c>
      <c r="AH106" s="48">
        <f>基础状态预估!S75</f>
        <v>0</v>
      </c>
      <c r="AI106" s="48"/>
      <c r="AJ106" s="21">
        <f>AH106/INDEX('[1]资源-钻石'!$N$4:$N$163,$AG106,1)</f>
        <v>0</v>
      </c>
      <c r="AL106" s="49">
        <v>110</v>
      </c>
      <c r="AM106" s="48">
        <f t="shared" si="26"/>
        <v>0</v>
      </c>
      <c r="AN106" s="49"/>
      <c r="AO106" s="49">
        <f t="shared" ref="AO106:AO111" si="32">SUM(AM106:AN106)</f>
        <v>0</v>
      </c>
    </row>
    <row r="107" spans="13:41" x14ac:dyDescent="0.15">
      <c r="M107" s="19">
        <f>基础状态预估!D120</f>
        <v>92.03038330510195</v>
      </c>
      <c r="N107" s="19">
        <f>IF(基础状态预估!H120=0,0,门客属性!D$5*基础状态预估!H120)</f>
        <v>0</v>
      </c>
      <c r="O107" s="19">
        <f>IF(基础状态预估!I120=0,0,门客属性!E$5*基础状态预估!I120)</f>
        <v>0</v>
      </c>
      <c r="P107" s="19">
        <f>IF(基础状态预估!J120=0,0,门客属性!F$5*基础状态预估!J120)</f>
        <v>0</v>
      </c>
      <c r="Q107" s="19">
        <f>IF(基础状态预估!K120=0,0,门客属性!G$5*基础状态预估!K120)</f>
        <v>20</v>
      </c>
      <c r="R107" s="19">
        <f>IF(基础状态预估!L120=0,0,门客属性!H$5*基础状态预估!L120)</f>
        <v>0</v>
      </c>
      <c r="S107" s="19">
        <f t="shared" si="29"/>
        <v>20</v>
      </c>
      <c r="W107" s="9">
        <v>14</v>
      </c>
      <c r="X107" s="49">
        <v>120</v>
      </c>
      <c r="Y107" s="49">
        <f t="shared" si="27"/>
        <v>24.826493595643591</v>
      </c>
      <c r="Z107" s="49"/>
      <c r="AA107" s="51">
        <f>(Y107-Y106)*(INDEX([3]中r将兵属性验证!$V$7:$V$166,$X106,1)+INDEX([3]中r将兵属性验证!$AP$7:$AP$166,$X106,1))+AA106</f>
        <v>13348533666.373396</v>
      </c>
      <c r="AB107" s="49"/>
      <c r="AC107" s="48">
        <f t="shared" si="30"/>
        <v>13348533666.373396</v>
      </c>
      <c r="AG107" s="49">
        <f t="shared" si="31"/>
        <v>115.63935175516689</v>
      </c>
      <c r="AH107" s="48">
        <f>基础状态预估!S76</f>
        <v>0</v>
      </c>
      <c r="AI107" s="48"/>
      <c r="AJ107" s="21">
        <f>AH107/INDEX('[1]资源-钻石'!$N$4:$N$163,$AG107,1)</f>
        <v>0</v>
      </c>
      <c r="AL107" s="49">
        <v>120</v>
      </c>
      <c r="AM107" s="48">
        <f t="shared" si="26"/>
        <v>0</v>
      </c>
      <c r="AN107" s="49"/>
      <c r="AO107" s="49">
        <f t="shared" si="32"/>
        <v>0</v>
      </c>
    </row>
    <row r="108" spans="13:41" x14ac:dyDescent="0.15">
      <c r="M108" s="45">
        <f>基础状态预估!D121</f>
        <v>102.71853803916484</v>
      </c>
      <c r="N108" s="45">
        <f>IF(基础状态预估!H121=0,0,门客属性!D$5*基础状态预估!H121)</f>
        <v>0</v>
      </c>
      <c r="O108" s="45">
        <f>IF(基础状态预估!I121=0,0,门客属性!E$5*基础状态预估!I121)</f>
        <v>0</v>
      </c>
      <c r="P108" s="45">
        <f>IF(基础状态预估!J121=0,0,门客属性!F$5*基础状态预估!J121)</f>
        <v>0</v>
      </c>
      <c r="Q108" s="45">
        <f>IF(基础状态预估!K121=0,0,门客属性!G$5*基础状态预估!K121)</f>
        <v>22</v>
      </c>
      <c r="R108" s="45">
        <f>IF(基础状态预估!L121=0,0,门客属性!H$5*基础状态预估!L121)</f>
        <v>0</v>
      </c>
      <c r="S108" s="45">
        <f t="shared" ref="S108:S113" si="33">SUM(N108:R108)</f>
        <v>22</v>
      </c>
      <c r="W108" s="9">
        <v>15</v>
      </c>
      <c r="X108" s="49">
        <v>130</v>
      </c>
      <c r="Y108" s="49">
        <f t="shared" si="27"/>
        <v>26.716718498808529</v>
      </c>
      <c r="Z108" s="49"/>
      <c r="AA108" s="51">
        <f>(Y108-Y107)*(INDEX([3]中r将兵属性验证!$V$7:$V$166,$X107,1)+INDEX([3]中r将兵属性验证!$AP$7:$AP$166,$X107,1))+AA107</f>
        <v>23821549957.671013</v>
      </c>
      <c r="AB108" s="49"/>
      <c r="AC108" s="48">
        <f t="shared" si="30"/>
        <v>23821549957.671013</v>
      </c>
      <c r="AG108" s="49">
        <f t="shared" si="31"/>
        <v>126.19151638854794</v>
      </c>
      <c r="AH108" s="48">
        <f>基础状态预估!S77</f>
        <v>0</v>
      </c>
      <c r="AI108" s="48"/>
      <c r="AJ108" s="21">
        <f>AH108/INDEX('[1]资源-钻石'!$N$4:$N$163,$AG108,1)</f>
        <v>0</v>
      </c>
      <c r="AL108" s="49">
        <v>130</v>
      </c>
      <c r="AM108" s="48">
        <f t="shared" si="26"/>
        <v>0</v>
      </c>
      <c r="AN108" s="49"/>
      <c r="AO108" s="49">
        <f t="shared" si="32"/>
        <v>0</v>
      </c>
    </row>
    <row r="109" spans="13:41" x14ac:dyDescent="0.15">
      <c r="M109" s="45">
        <f>基础状态预估!D122</f>
        <v>113.4549371467006</v>
      </c>
      <c r="N109" s="45">
        <f>IF(基础状态预估!H122=0,0,门客属性!D$5*基础状态预估!H122)</f>
        <v>0</v>
      </c>
      <c r="O109" s="45">
        <f>IF(基础状态预估!I122=0,0,门客属性!E$5*基础状态预估!I122)</f>
        <v>0</v>
      </c>
      <c r="P109" s="45">
        <f>IF(基础状态预估!J122=0,0,门客属性!F$5*基础状态预估!J122)</f>
        <v>0</v>
      </c>
      <c r="Q109" s="45">
        <f>IF(基础状态预估!K122=0,0,门客属性!G$5*基础状态预估!K122)</f>
        <v>24</v>
      </c>
      <c r="R109" s="45">
        <f>IF(基础状态预估!L122=0,0,门客属性!H$5*基础状态预估!L122)</f>
        <v>0</v>
      </c>
      <c r="S109" s="45">
        <f t="shared" si="33"/>
        <v>24</v>
      </c>
      <c r="W109" s="9">
        <v>16</v>
      </c>
      <c r="X109" s="49">
        <v>140</v>
      </c>
      <c r="Y109" s="49">
        <f t="shared" si="27"/>
        <v>28.598418149238626</v>
      </c>
      <c r="Z109" s="49"/>
      <c r="AA109" s="51">
        <f>(Y109-Y108)*(INDEX([3]中r将兵属性验证!$V$7:$V$166,$X108,1)+INDEX([3]中r将兵属性验证!$AP$7:$AP$166,$X108,1))+AA108</f>
        <v>39650007781.609955</v>
      </c>
      <c r="AB109" s="49"/>
      <c r="AC109" s="48">
        <f t="shared" si="30"/>
        <v>39650007781.609955</v>
      </c>
      <c r="AG109" s="49">
        <f t="shared" si="31"/>
        <v>136.8190741194654</v>
      </c>
      <c r="AH109" s="48">
        <f>基础状态预估!S78</f>
        <v>0</v>
      </c>
      <c r="AI109" s="48"/>
      <c r="AJ109" s="21">
        <f>AH109/INDEX('[1]资源-钻石'!$N$4:$N$163,$AG109,1)</f>
        <v>0</v>
      </c>
      <c r="AL109" s="49">
        <v>140</v>
      </c>
      <c r="AM109" s="48">
        <f t="shared" si="26"/>
        <v>0</v>
      </c>
      <c r="AN109" s="49"/>
      <c r="AO109" s="49">
        <f t="shared" si="32"/>
        <v>0</v>
      </c>
    </row>
    <row r="110" spans="13:41" x14ac:dyDescent="0.15">
      <c r="M110" s="45">
        <f>基础状态预估!D123</f>
        <v>124.11624751239822</v>
      </c>
      <c r="N110" s="45">
        <f>IF(基础状态预估!H123=0,0,门客属性!D$5*基础状态预估!H123)</f>
        <v>0</v>
      </c>
      <c r="O110" s="45">
        <f>IF(基础状态预估!I123=0,0,门客属性!E$5*基础状态预估!I123)</f>
        <v>0</v>
      </c>
      <c r="P110" s="45">
        <f>IF(基础状态预估!J123=0,0,门客属性!F$5*基础状态预估!J123)</f>
        <v>0</v>
      </c>
      <c r="Q110" s="45">
        <f>IF(基础状态预估!K123=0,0,门客属性!G$5*基础状态预估!K123)</f>
        <v>26</v>
      </c>
      <c r="R110" s="45">
        <f>IF(基础状态预估!L123=0,0,门客属性!H$5*基础状态预估!L123)</f>
        <v>0</v>
      </c>
      <c r="S110" s="45">
        <f t="shared" si="33"/>
        <v>26</v>
      </c>
      <c r="W110" s="9">
        <v>17</v>
      </c>
      <c r="X110" s="49">
        <v>150</v>
      </c>
      <c r="Y110" s="49">
        <f t="shared" si="27"/>
        <v>30.894784784325019</v>
      </c>
      <c r="Z110" s="49"/>
      <c r="AA110" s="51">
        <f>(Y110-Y109)*(INDEX([3]中r将兵属性验证!$V$7:$V$166,$X109,1)+INDEX([3]中r将兵属性验证!$AP$7:$AP$166,$X109,1))+AA109</f>
        <v>66026035641.694916</v>
      </c>
      <c r="AB110" s="49"/>
      <c r="AC110" s="48">
        <f t="shared" si="30"/>
        <v>66026035641.694916</v>
      </c>
      <c r="AG110" s="49">
        <f t="shared" si="31"/>
        <v>147.45018844840658</v>
      </c>
      <c r="AH110" s="48">
        <f>基础状态预估!S79</f>
        <v>0</v>
      </c>
      <c r="AI110" s="48"/>
      <c r="AJ110" s="21">
        <f>AH110/INDEX('[1]资源-钻石'!$N$4:$N$163,$AG110,1)</f>
        <v>0</v>
      </c>
      <c r="AL110" s="49">
        <v>150</v>
      </c>
      <c r="AM110" s="48">
        <f t="shared" si="26"/>
        <v>0</v>
      </c>
      <c r="AN110" s="49"/>
      <c r="AO110" s="49">
        <f t="shared" si="32"/>
        <v>0</v>
      </c>
    </row>
    <row r="111" spans="13:41" x14ac:dyDescent="0.15">
      <c r="M111" s="45">
        <f>基础状态预估!D124</f>
        <v>134.91256595481366</v>
      </c>
      <c r="N111" s="45">
        <f>IF(基础状态预估!H124=0,0,门客属性!D$5*基础状态预估!H124)</f>
        <v>0</v>
      </c>
      <c r="O111" s="45">
        <f>IF(基础状态预估!I124=0,0,门客属性!E$5*基础状态预估!I124)</f>
        <v>0</v>
      </c>
      <c r="P111" s="45">
        <f>IF(基础状态预估!J124=0,0,门客属性!F$5*基础状态预估!J124)</f>
        <v>0</v>
      </c>
      <c r="Q111" s="45">
        <f>IF(基础状态预估!K124=0,0,门客属性!G$5*基础状态预估!K124)</f>
        <v>28</v>
      </c>
      <c r="R111" s="45">
        <f>IF(基础状态预估!L124=0,0,门客属性!H$5*基础状态预估!L124)</f>
        <v>0</v>
      </c>
      <c r="S111" s="45">
        <f t="shared" si="33"/>
        <v>28</v>
      </c>
      <c r="W111" s="9">
        <v>18</v>
      </c>
      <c r="X111" s="49">
        <v>160</v>
      </c>
      <c r="Y111" s="49">
        <f t="shared" si="27"/>
        <v>33.431394004487061</v>
      </c>
      <c r="Z111" s="49"/>
      <c r="AA111" s="51">
        <f>(Y111-Y110)*(INDEX([3]中r将兵属性验证!$V$7:$V$166,$X110,1)+INDEX([3]中r将兵属性验证!$AP$7:$AP$166,$X110,1))+AA110</f>
        <v>105946904232.14371</v>
      </c>
      <c r="AB111" s="49"/>
      <c r="AC111" s="48">
        <f t="shared" si="30"/>
        <v>105946904232.14371</v>
      </c>
      <c r="AG111" s="49">
        <f t="shared" si="31"/>
        <v>153.14946182958477</v>
      </c>
      <c r="AH111" s="48">
        <f>基础状态预估!S80</f>
        <v>0</v>
      </c>
      <c r="AI111" s="48"/>
      <c r="AJ111" s="21">
        <f>AH111/INDEX('[1]资源-钻石'!$N$4:$N$163,$AG111,1)</f>
        <v>0</v>
      </c>
      <c r="AL111" s="49">
        <v>160</v>
      </c>
      <c r="AM111" s="48">
        <f t="shared" si="26"/>
        <v>0</v>
      </c>
      <c r="AN111" s="49"/>
      <c r="AO111" s="49">
        <f t="shared" si="32"/>
        <v>0</v>
      </c>
    </row>
    <row r="112" spans="13:41" x14ac:dyDescent="0.15">
      <c r="M112" s="45">
        <f>基础状态预估!D125</f>
        <v>145.53468456757108</v>
      </c>
      <c r="N112" s="45">
        <f>IF(基础状态预估!H125=0,0,门客属性!D$5*基础状态预估!H125)</f>
        <v>0</v>
      </c>
      <c r="O112" s="45">
        <f>IF(基础状态预估!I125=0,0,门客属性!E$5*基础状态预估!I125)</f>
        <v>0</v>
      </c>
      <c r="P112" s="45">
        <f>IF(基础状态预估!J125=0,0,门客属性!F$5*基础状态预估!J125)</f>
        <v>0</v>
      </c>
      <c r="Q112" s="45">
        <f>IF(基础状态预估!K125=0,0,门客属性!G$5*基础状态预估!K125)</f>
        <v>30</v>
      </c>
      <c r="R112" s="45">
        <f>IF(基础状态预估!L125=0,0,门客属性!H$5*基础状态预估!L125)</f>
        <v>0</v>
      </c>
      <c r="S112" s="45">
        <f t="shared" si="33"/>
        <v>30</v>
      </c>
      <c r="W112" s="9">
        <v>19</v>
      </c>
    </row>
    <row r="113" spans="13:33" x14ac:dyDescent="0.15">
      <c r="M113" s="45">
        <f>基础状态预估!D126</f>
        <v>151.0810487166913</v>
      </c>
      <c r="N113" s="45">
        <f>IF(基础状态预估!H126=0,0,门客属性!D$5*基础状态预估!H126)</f>
        <v>0</v>
      </c>
      <c r="O113" s="45">
        <f>IF(基础状态预估!I126=0,0,门客属性!E$5*基础状态预估!I126)</f>
        <v>0</v>
      </c>
      <c r="P113" s="45">
        <f>IF(基础状态预估!J126=0,0,门客属性!F$5*基础状态预估!J126)</f>
        <v>0</v>
      </c>
      <c r="Q113" s="45">
        <f>IF(基础状态预估!K126=0,0,门客属性!G$5*基础状态预估!K126)</f>
        <v>32</v>
      </c>
      <c r="R113" s="45">
        <f>IF(基础状态预估!L126=0,0,门客属性!H$5*基础状态预估!L126)</f>
        <v>0</v>
      </c>
      <c r="S113" s="45">
        <f t="shared" si="33"/>
        <v>32</v>
      </c>
      <c r="W113" s="9">
        <v>20</v>
      </c>
      <c r="AG113" s="16"/>
    </row>
    <row r="114" spans="13:33" x14ac:dyDescent="0.15">
      <c r="M114" s="19"/>
      <c r="N114" s="19"/>
      <c r="O114" s="19"/>
      <c r="P114" s="19"/>
      <c r="Q114" s="19"/>
      <c r="R114" s="19"/>
      <c r="S114" s="19"/>
      <c r="W114" s="9">
        <v>21</v>
      </c>
      <c r="AG114" s="16"/>
    </row>
    <row r="115" spans="13:33" x14ac:dyDescent="0.15">
      <c r="W115" s="9">
        <v>22</v>
      </c>
    </row>
    <row r="116" spans="13:33" x14ac:dyDescent="0.15">
      <c r="W116" s="9">
        <v>23</v>
      </c>
    </row>
    <row r="117" spans="13:33" x14ac:dyDescent="0.15">
      <c r="W117" s="9">
        <v>24</v>
      </c>
    </row>
    <row r="118" spans="13:33" x14ac:dyDescent="0.15">
      <c r="W118" s="9">
        <v>25</v>
      </c>
    </row>
    <row r="119" spans="13:33" x14ac:dyDescent="0.15">
      <c r="W119" s="9">
        <v>26</v>
      </c>
    </row>
    <row r="120" spans="13:33" x14ac:dyDescent="0.15">
      <c r="W120" s="9">
        <v>27</v>
      </c>
    </row>
    <row r="121" spans="13:33" x14ac:dyDescent="0.15">
      <c r="W121" s="9">
        <v>28</v>
      </c>
    </row>
    <row r="122" spans="13:33" x14ac:dyDescent="0.15">
      <c r="W122" s="9">
        <v>29</v>
      </c>
    </row>
    <row r="123" spans="13:33" x14ac:dyDescent="0.15">
      <c r="W123" s="9">
        <v>30</v>
      </c>
    </row>
    <row r="124" spans="13:33" x14ac:dyDescent="0.15">
      <c r="W124" s="9">
        <v>31</v>
      </c>
    </row>
    <row r="125" spans="13:33" x14ac:dyDescent="0.15">
      <c r="W125" s="9">
        <v>32</v>
      </c>
    </row>
    <row r="126" spans="13:33" x14ac:dyDescent="0.15">
      <c r="W126" s="9">
        <v>33</v>
      </c>
    </row>
    <row r="127" spans="13:33" x14ac:dyDescent="0.15">
      <c r="W127" s="9">
        <v>34</v>
      </c>
    </row>
    <row r="128" spans="13:33" x14ac:dyDescent="0.15">
      <c r="W128" s="9">
        <v>35</v>
      </c>
    </row>
    <row r="129" spans="23:41" x14ac:dyDescent="0.15">
      <c r="W129" s="9">
        <v>36</v>
      </c>
    </row>
    <row r="130" spans="23:41" x14ac:dyDescent="0.15">
      <c r="W130" s="9">
        <v>37</v>
      </c>
    </row>
    <row r="131" spans="23:41" x14ac:dyDescent="0.15">
      <c r="W131" s="9">
        <v>38</v>
      </c>
    </row>
    <row r="132" spans="23:41" x14ac:dyDescent="0.15">
      <c r="W132" s="9">
        <v>39</v>
      </c>
    </row>
    <row r="133" spans="23:41" x14ac:dyDescent="0.15">
      <c r="W133" s="9">
        <v>40</v>
      </c>
    </row>
    <row r="134" spans="23:41" x14ac:dyDescent="0.15">
      <c r="W134" s="9">
        <v>41</v>
      </c>
    </row>
    <row r="135" spans="23:41" x14ac:dyDescent="0.15">
      <c r="W135" s="9">
        <v>42</v>
      </c>
    </row>
    <row r="136" spans="23:41" x14ac:dyDescent="0.15">
      <c r="W136" s="9">
        <v>43</v>
      </c>
    </row>
    <row r="137" spans="23:41" x14ac:dyDescent="0.15">
      <c r="W137" s="9">
        <v>44</v>
      </c>
    </row>
    <row r="138" spans="23:41" x14ac:dyDescent="0.15">
      <c r="W138" s="9">
        <v>45</v>
      </c>
    </row>
    <row r="139" spans="23:41" x14ac:dyDescent="0.15">
      <c r="W139" s="9">
        <v>1</v>
      </c>
      <c r="X139" s="19" t="s">
        <v>3</v>
      </c>
      <c r="Y139" s="131" t="s">
        <v>61</v>
      </c>
      <c r="Z139" s="132"/>
      <c r="AA139" s="129" t="s">
        <v>62</v>
      </c>
      <c r="AB139" s="129"/>
      <c r="AC139" s="129"/>
      <c r="AG139" s="19" t="s">
        <v>75</v>
      </c>
      <c r="AH139" s="130" t="s">
        <v>68</v>
      </c>
      <c r="AI139" s="130"/>
      <c r="AJ139" s="133" t="s">
        <v>77</v>
      </c>
      <c r="AL139" s="19" t="s">
        <v>3</v>
      </c>
      <c r="AM139" s="130" t="s">
        <v>69</v>
      </c>
      <c r="AN139" s="130"/>
    </row>
    <row r="140" spans="23:41" x14ac:dyDescent="0.15">
      <c r="W140" s="9">
        <v>2</v>
      </c>
      <c r="X140" s="19" t="s">
        <v>102</v>
      </c>
      <c r="Y140" s="19" t="s">
        <v>63</v>
      </c>
      <c r="Z140" s="19"/>
      <c r="AA140" s="19" t="s">
        <v>7</v>
      </c>
      <c r="AB140" s="19"/>
      <c r="AC140" s="18" t="s">
        <v>64</v>
      </c>
      <c r="AG140" s="19" t="s">
        <v>102</v>
      </c>
      <c r="AH140" s="18" t="s">
        <v>70</v>
      </c>
      <c r="AI140" s="18"/>
      <c r="AJ140" s="133"/>
      <c r="AL140" s="19" t="s">
        <v>102</v>
      </c>
      <c r="AM140" s="18" t="s">
        <v>67</v>
      </c>
      <c r="AN140" s="19"/>
      <c r="AO140" s="19" t="s">
        <v>71</v>
      </c>
    </row>
    <row r="141" spans="23:41" x14ac:dyDescent="0.15">
      <c r="W141" s="9">
        <v>3</v>
      </c>
      <c r="X141" s="19">
        <v>10</v>
      </c>
      <c r="Y141" s="19">
        <v>0</v>
      </c>
      <c r="Z141" s="19"/>
      <c r="AA141" s="17">
        <f>Y141*(INDEX([3]大r将兵属性验证!$V$7:$V$166,$X141,1)+INDEX([3]大r将兵属性验证!$AP$7:$AP$166,$X141,1))</f>
        <v>0</v>
      </c>
      <c r="AB141" s="19"/>
      <c r="AC141" s="18">
        <f t="shared" ref="AC141:AC150" si="34">SUM(AA141:AB141)</f>
        <v>0</v>
      </c>
      <c r="AG141" s="19">
        <f t="shared" ref="AG141:AG150" si="35">M75</f>
        <v>15.589627930182091</v>
      </c>
      <c r="AH141" s="18">
        <f>基础状态预估!S88</f>
        <v>0</v>
      </c>
      <c r="AI141" s="18"/>
      <c r="AJ141" s="21">
        <f>AH141/INDEX('[1]资源-钻石'!$O$4:$O$163,$AG141,1)</f>
        <v>0</v>
      </c>
      <c r="AL141" s="19">
        <v>10</v>
      </c>
      <c r="AM141" s="18" t="e">
        <f t="shared" ref="AM141:AM156" si="36">求节点($AG$141:$AG$157,$AH$141:$AH$157,$AL141)</f>
        <v>#VALUE!</v>
      </c>
      <c r="AN141" s="19"/>
      <c r="AO141" s="19" t="e">
        <f>SUM(AM141:AN141)</f>
        <v>#VALUE!</v>
      </c>
    </row>
    <row r="142" spans="23:41" x14ac:dyDescent="0.15">
      <c r="W142" s="9">
        <v>4</v>
      </c>
      <c r="X142" s="19">
        <v>20</v>
      </c>
      <c r="Y142" s="19">
        <f t="shared" ref="Y142:Y156" si="37">求节点($M$75:$M$91,$S$75:$S$91,$X142)</f>
        <v>1.2095206981476718</v>
      </c>
      <c r="Z142" s="19"/>
      <c r="AA142" s="19">
        <f>(Y142-Y141)*(INDEX([3]大r将兵属性验证!$V$7:$V$166,$X141,1)+INDEX([3]大r将兵属性验证!$AP$7:$AP$166,$X141,1))+AA141</f>
        <v>464979.53969380131</v>
      </c>
      <c r="AB142" s="19"/>
      <c r="AC142" s="18">
        <f t="shared" si="34"/>
        <v>464979.53969380131</v>
      </c>
      <c r="AG142" s="19">
        <f t="shared" si="35"/>
        <v>21.127034033068878</v>
      </c>
      <c r="AH142" s="18">
        <f>基础状态预估!S89</f>
        <v>0</v>
      </c>
      <c r="AI142" s="18"/>
      <c r="AJ142" s="21">
        <f>AH142/INDEX('[1]资源-钻石'!$O$4:$O$163,$AG142,1)</f>
        <v>0</v>
      </c>
      <c r="AL142" s="19">
        <v>20</v>
      </c>
      <c r="AM142" s="18">
        <f t="shared" si="36"/>
        <v>0</v>
      </c>
      <c r="AN142" s="19"/>
      <c r="AO142" s="19">
        <f t="shared" ref="AO142:AO150" si="38">SUM(AM142:AN142)</f>
        <v>0</v>
      </c>
    </row>
    <row r="143" spans="23:41" x14ac:dyDescent="0.15">
      <c r="W143" s="9">
        <v>5</v>
      </c>
      <c r="X143" s="19">
        <v>30</v>
      </c>
      <c r="Y143" s="19">
        <f t="shared" si="37"/>
        <v>2.2847064555329326</v>
      </c>
      <c r="Z143" s="19"/>
      <c r="AA143" s="51">
        <f>(Y143-Y142)*(INDEX([3]大r将兵属性验证!$V$7:$V$166,$X142,1)+INDEX([3]大r将兵属性验证!$AP$7:$AP$166,$X142,1))+AA142</f>
        <v>2018639.0590392365</v>
      </c>
      <c r="AB143" s="19"/>
      <c r="AC143" s="18">
        <f t="shared" si="34"/>
        <v>2018639.0590392365</v>
      </c>
      <c r="AG143" s="19">
        <f t="shared" si="35"/>
        <v>29.279653557700659</v>
      </c>
      <c r="AH143" s="18">
        <f>基础状态预估!S90</f>
        <v>0</v>
      </c>
      <c r="AI143" s="18"/>
      <c r="AJ143" s="21">
        <f>AH143/INDEX('[1]资源-钻石'!$O$4:$O$163,$AG143,1)</f>
        <v>0</v>
      </c>
      <c r="AL143" s="19">
        <v>30</v>
      </c>
      <c r="AM143" s="18">
        <f t="shared" si="36"/>
        <v>0</v>
      </c>
      <c r="AN143" s="19"/>
      <c r="AO143" s="19">
        <f t="shared" si="38"/>
        <v>0</v>
      </c>
    </row>
    <row r="144" spans="23:41" x14ac:dyDescent="0.15">
      <c r="W144" s="9">
        <v>6</v>
      </c>
      <c r="X144" s="19">
        <v>40</v>
      </c>
      <c r="Y144" s="19">
        <f t="shared" si="37"/>
        <v>3.9932744356891288</v>
      </c>
      <c r="Z144" s="19"/>
      <c r="AA144" s="51">
        <f>(Y144-Y143)*(INDEX([3]大r将兵属性验证!$V$7:$V$166,$X143,1)+INDEX([3]大r将兵属性验证!$AP$7:$AP$166,$X143,1))+AA143</f>
        <v>9225187.7800860535</v>
      </c>
      <c r="AB144" s="19"/>
      <c r="AC144" s="18">
        <f t="shared" si="34"/>
        <v>9225187.7800860535</v>
      </c>
      <c r="AG144" s="19">
        <f t="shared" si="35"/>
        <v>38.056251761612167</v>
      </c>
      <c r="AH144" s="18">
        <f>基础状态预估!S91</f>
        <v>0</v>
      </c>
      <c r="AI144" s="18"/>
      <c r="AJ144" s="21">
        <f>AH144/INDEX('[1]资源-钻石'!$O$4:$O$163,$AG144,1)</f>
        <v>0</v>
      </c>
      <c r="AL144" s="19">
        <v>40</v>
      </c>
      <c r="AM144" s="18">
        <f t="shared" si="36"/>
        <v>0</v>
      </c>
      <c r="AN144" s="19"/>
      <c r="AO144" s="19">
        <f t="shared" si="38"/>
        <v>0</v>
      </c>
    </row>
    <row r="145" spans="23:41" x14ac:dyDescent="0.15">
      <c r="W145" s="9">
        <v>7</v>
      </c>
      <c r="X145" s="19">
        <v>50</v>
      </c>
      <c r="Y145" s="19">
        <f t="shared" si="37"/>
        <v>7.4866239267360175</v>
      </c>
      <c r="Z145" s="19"/>
      <c r="AA145" s="51">
        <f>(Y145-Y144)*(INDEX([3]大r将兵属性验证!$V$7:$V$166,$X144,1)+INDEX([3]大r将兵属性验证!$AP$7:$AP$166,$X144,1))+AA144</f>
        <v>52619341.054308876</v>
      </c>
      <c r="AB145" s="19"/>
      <c r="AC145" s="18">
        <f t="shared" si="34"/>
        <v>52619341.054308876</v>
      </c>
      <c r="AG145" s="19">
        <f t="shared" si="35"/>
        <v>47.007818211309306</v>
      </c>
      <c r="AH145" s="18">
        <f>基础状态预估!S92</f>
        <v>0</v>
      </c>
      <c r="AI145" s="18"/>
      <c r="AJ145" s="21">
        <f>AH145/INDEX('[1]资源-钻石'!$O$4:$O$163,$AG145,1)</f>
        <v>0</v>
      </c>
      <c r="AL145" s="19">
        <v>50</v>
      </c>
      <c r="AM145" s="18">
        <f t="shared" si="36"/>
        <v>0</v>
      </c>
      <c r="AN145" s="19"/>
      <c r="AO145" s="19">
        <f t="shared" si="38"/>
        <v>0</v>
      </c>
    </row>
    <row r="146" spans="23:41" x14ac:dyDescent="0.15">
      <c r="W146" s="9">
        <v>8</v>
      </c>
      <c r="X146" s="19">
        <v>60</v>
      </c>
      <c r="Y146" s="19">
        <f t="shared" si="37"/>
        <v>11.690162775825005</v>
      </c>
      <c r="Z146" s="19"/>
      <c r="AA146" s="51">
        <f>(Y146-Y145)*(INDEX([3]大r将兵属性验证!$V$7:$V$166,$X145,1)+INDEX([3]大r将兵属性验证!$AP$7:$AP$166,$X145,1))+AA145</f>
        <v>161610770.10477561</v>
      </c>
      <c r="AB146" s="19"/>
      <c r="AC146" s="18">
        <f t="shared" si="34"/>
        <v>161610770.10477561</v>
      </c>
      <c r="AG146" s="19">
        <f t="shared" si="35"/>
        <v>56.279027610646125</v>
      </c>
      <c r="AH146" s="18">
        <f>基础状态预估!S93</f>
        <v>0</v>
      </c>
      <c r="AI146" s="18"/>
      <c r="AJ146" s="21">
        <f>AH146/INDEX('[1]资源-钻石'!$O$4:$O$163,$AG146,1)</f>
        <v>0</v>
      </c>
      <c r="AL146" s="19">
        <v>60</v>
      </c>
      <c r="AM146" s="18">
        <f t="shared" si="36"/>
        <v>0</v>
      </c>
      <c r="AN146" s="19"/>
      <c r="AO146" s="19">
        <f t="shared" si="38"/>
        <v>0</v>
      </c>
    </row>
    <row r="147" spans="23:41" x14ac:dyDescent="0.15">
      <c r="W147" s="9">
        <v>9</v>
      </c>
      <c r="X147" s="19">
        <v>70</v>
      </c>
      <c r="Y147" s="19">
        <f t="shared" si="37"/>
        <v>15.180756025249666</v>
      </c>
      <c r="Z147" s="19"/>
      <c r="AA147" s="51">
        <f>(Y147-Y146)*(INDEX([3]大r将兵属性验证!$V$7:$V$166,$X146,1)+INDEX([3]大r将兵属性验证!$AP$7:$AP$166,$X146,1))+AA146</f>
        <v>377309718.17954957</v>
      </c>
      <c r="AB147" s="19"/>
      <c r="AC147" s="18">
        <f t="shared" si="34"/>
        <v>377309718.17954957</v>
      </c>
      <c r="AG147" s="19">
        <f t="shared" si="35"/>
        <v>64.756218484668864</v>
      </c>
      <c r="AH147" s="18">
        <f>基础状态预估!S94</f>
        <v>0</v>
      </c>
      <c r="AI147" s="18"/>
      <c r="AJ147" s="21">
        <f>AH147/INDEX('[1]资源-钻石'!$O$4:$O$163,$AG147,1)</f>
        <v>0</v>
      </c>
      <c r="AL147" s="19">
        <v>70</v>
      </c>
      <c r="AM147" s="18">
        <f t="shared" si="36"/>
        <v>0</v>
      </c>
      <c r="AN147" s="19"/>
      <c r="AO147" s="19">
        <f t="shared" si="38"/>
        <v>0</v>
      </c>
    </row>
    <row r="148" spans="23:41" x14ac:dyDescent="0.15">
      <c r="W148" s="9">
        <v>10</v>
      </c>
      <c r="X148" s="19">
        <v>80</v>
      </c>
      <c r="Y148" s="19">
        <f t="shared" si="37"/>
        <v>17.527444455804496</v>
      </c>
      <c r="Z148" s="19"/>
      <c r="AA148" s="51">
        <f>(Y148-Y147)*(INDEX([3]大r将兵属性验证!$V$7:$V$166,$X147,1)+INDEX([3]大r将兵属性验证!$AP$7:$AP$166,$X147,1))+AA147</f>
        <v>839296978.29940915</v>
      </c>
      <c r="AB148" s="19"/>
      <c r="AC148" s="18">
        <f t="shared" si="34"/>
        <v>839296978.29940915</v>
      </c>
      <c r="AG148" s="19">
        <f t="shared" si="35"/>
        <v>73.446658299619131</v>
      </c>
      <c r="AH148" s="18">
        <f>基础状态预估!S95</f>
        <v>0</v>
      </c>
      <c r="AI148" s="18"/>
      <c r="AJ148" s="21">
        <f>AH148/INDEX('[1]资源-钻石'!$O$4:$O$163,$AG148,1)</f>
        <v>0</v>
      </c>
      <c r="AL148" s="19">
        <v>80</v>
      </c>
      <c r="AM148" s="18">
        <f t="shared" si="36"/>
        <v>0</v>
      </c>
      <c r="AN148" s="19"/>
      <c r="AO148" s="19">
        <f t="shared" si="38"/>
        <v>0</v>
      </c>
    </row>
    <row r="149" spans="23:41" x14ac:dyDescent="0.15">
      <c r="W149" s="9">
        <v>11</v>
      </c>
      <c r="X149" s="19">
        <v>90</v>
      </c>
      <c r="Y149" s="19">
        <f t="shared" si="37"/>
        <v>19.426089635022922</v>
      </c>
      <c r="Z149" s="19"/>
      <c r="AA149" s="51">
        <f>(Y149-Y148)*(INDEX([3]大r将兵属性验证!$V$7:$V$166,$X148,1)+INDEX([3]大r将兵属性验证!$AP$7:$AP$166,$X148,1))+AA148</f>
        <v>1844609233.1296234</v>
      </c>
      <c r="AB149" s="19"/>
      <c r="AC149" s="18">
        <f t="shared" si="34"/>
        <v>1844609233.1296234</v>
      </c>
      <c r="AG149" s="19">
        <f t="shared" si="35"/>
        <v>82.027450452783569</v>
      </c>
      <c r="AH149" s="18">
        <f>基础状态预估!S96</f>
        <v>0</v>
      </c>
      <c r="AI149" s="18"/>
      <c r="AJ149" s="21">
        <f>AH149/INDEX('[1]资源-钻石'!$O$4:$O$163,$AG149,1)</f>
        <v>0</v>
      </c>
      <c r="AL149" s="19">
        <v>90</v>
      </c>
      <c r="AM149" s="18">
        <f t="shared" si="36"/>
        <v>0</v>
      </c>
      <c r="AN149" s="19"/>
      <c r="AO149" s="19">
        <f t="shared" si="38"/>
        <v>0</v>
      </c>
    </row>
    <row r="150" spans="23:41" x14ac:dyDescent="0.15">
      <c r="W150" s="9">
        <v>12</v>
      </c>
      <c r="X150" s="19">
        <v>100</v>
      </c>
      <c r="Y150" s="19">
        <f t="shared" si="37"/>
        <v>21.273964596370622</v>
      </c>
      <c r="Z150" s="19"/>
      <c r="AA150" s="51">
        <f>(Y150-Y149)*(INDEX([3]大r将兵属性验证!$V$7:$V$166,$X149,1)+INDEX([3]大r将兵属性验证!$AP$7:$AP$166,$X149,1))+AA149</f>
        <v>4386962164.4299021</v>
      </c>
      <c r="AB150" s="19"/>
      <c r="AC150" s="18">
        <f t="shared" si="34"/>
        <v>4386962164.4299021</v>
      </c>
      <c r="AG150" s="19">
        <f t="shared" si="35"/>
        <v>93.208444061349098</v>
      </c>
      <c r="AH150" s="18">
        <f>基础状态预估!S97</f>
        <v>0</v>
      </c>
      <c r="AI150" s="18"/>
      <c r="AJ150" s="21">
        <f>AH150/INDEX('[1]资源-钻石'!$O$4:$O$163,$AG150,1)</f>
        <v>0</v>
      </c>
      <c r="AL150" s="19">
        <v>100</v>
      </c>
      <c r="AM150" s="18">
        <f t="shared" si="36"/>
        <v>0</v>
      </c>
      <c r="AN150" s="19"/>
      <c r="AO150" s="19">
        <f t="shared" si="38"/>
        <v>0</v>
      </c>
    </row>
    <row r="151" spans="23:41" x14ac:dyDescent="0.15">
      <c r="W151" s="9">
        <v>13</v>
      </c>
      <c r="X151" s="49">
        <v>110</v>
      </c>
      <c r="Y151" s="49">
        <f t="shared" si="37"/>
        <v>23.141903360056013</v>
      </c>
      <c r="Z151" s="49"/>
      <c r="AA151" s="51">
        <f>(Y151-Y150)*(INDEX([3]大r将兵属性验证!$V$7:$V$166,$X150,1)+INDEX([3]大r将兵属性验证!$AP$7:$AP$166,$X150,1))+AA150</f>
        <v>9957212567.2838249</v>
      </c>
      <c r="AB151" s="49"/>
      <c r="AC151" s="48">
        <f t="shared" ref="AC151:AC156" si="39">SUM(AA151:AB151)</f>
        <v>9957212567.2838249</v>
      </c>
      <c r="AG151" s="49">
        <f t="shared" ref="AG151:AG156" si="40">M85</f>
        <v>103.87052361677672</v>
      </c>
      <c r="AH151" s="48">
        <f>基础状态预估!S98</f>
        <v>0</v>
      </c>
      <c r="AI151" s="48"/>
      <c r="AJ151" s="21">
        <f>AH151/INDEX('[1]资源-钻石'!$O$4:$O$163,$AG151,1)</f>
        <v>0</v>
      </c>
      <c r="AL151" s="49">
        <v>110</v>
      </c>
      <c r="AM151" s="48">
        <f t="shared" si="36"/>
        <v>0</v>
      </c>
      <c r="AN151" s="49"/>
      <c r="AO151" s="49">
        <f t="shared" ref="AO151:AO156" si="41">SUM(AM151:AN151)</f>
        <v>0</v>
      </c>
    </row>
    <row r="152" spans="23:41" x14ac:dyDescent="0.15">
      <c r="W152" s="9">
        <v>14</v>
      </c>
      <c r="X152" s="49">
        <v>120</v>
      </c>
      <c r="Y152" s="49">
        <f t="shared" si="37"/>
        <v>25.018872813372344</v>
      </c>
      <c r="Z152" s="49"/>
      <c r="AA152" s="51">
        <f>(Y152-Y151)*(INDEX([3]大r将兵属性验证!$V$7:$V$166,$X151,1)+INDEX([3]大r将兵属性验证!$AP$7:$AP$166,$X151,1))+AA151</f>
        <v>18574075318.217232</v>
      </c>
      <c r="AB152" s="49"/>
      <c r="AC152" s="48">
        <f t="shared" si="39"/>
        <v>18574075318.217232</v>
      </c>
      <c r="AG152" s="49">
        <f t="shared" si="40"/>
        <v>114.60606674176169</v>
      </c>
      <c r="AH152" s="48">
        <f>基础状态预估!S99</f>
        <v>0</v>
      </c>
      <c r="AI152" s="48"/>
      <c r="AJ152" s="21">
        <f>AH152/INDEX('[1]资源-钻石'!$O$4:$O$163,$AG152,1)</f>
        <v>0</v>
      </c>
      <c r="AL152" s="49">
        <v>120</v>
      </c>
      <c r="AM152" s="48">
        <f t="shared" si="36"/>
        <v>0</v>
      </c>
      <c r="AN152" s="49"/>
      <c r="AO152" s="49">
        <f t="shared" si="41"/>
        <v>0</v>
      </c>
    </row>
    <row r="153" spans="23:41" x14ac:dyDescent="0.15">
      <c r="W153" s="9">
        <v>15</v>
      </c>
      <c r="X153" s="49">
        <v>130</v>
      </c>
      <c r="Y153" s="49">
        <f t="shared" si="37"/>
        <v>26.898186789010282</v>
      </c>
      <c r="Z153" s="49"/>
      <c r="AA153" s="51">
        <f>(Y153-Y152)*(INDEX([3]大r将兵属性验证!$V$7:$V$166,$X152,1)+INDEX([3]大r将兵属性验证!$AP$7:$AP$166,$X152,1))+AA152</f>
        <v>30906688249.128487</v>
      </c>
      <c r="AB153" s="49"/>
      <c r="AC153" s="48">
        <f t="shared" si="39"/>
        <v>30906688249.128487</v>
      </c>
      <c r="AG153" s="49">
        <f t="shared" si="40"/>
        <v>125.19410714767859</v>
      </c>
      <c r="AH153" s="48">
        <f>基础状态预估!S100</f>
        <v>0</v>
      </c>
      <c r="AI153" s="48"/>
      <c r="AJ153" s="21">
        <f>AH153/INDEX('[1]资源-钻石'!$O$4:$O$163,$AG153,1)</f>
        <v>0</v>
      </c>
      <c r="AL153" s="49">
        <v>130</v>
      </c>
      <c r="AM153" s="48">
        <f t="shared" si="36"/>
        <v>0</v>
      </c>
      <c r="AN153" s="49"/>
      <c r="AO153" s="49">
        <f t="shared" si="41"/>
        <v>0</v>
      </c>
    </row>
    <row r="154" spans="23:41" x14ac:dyDescent="0.15">
      <c r="W154" s="9">
        <v>16</v>
      </c>
      <c r="X154" s="49">
        <v>140</v>
      </c>
      <c r="Y154" s="49">
        <f t="shared" si="37"/>
        <v>28.770434024722071</v>
      </c>
      <c r="Z154" s="49"/>
      <c r="AA154" s="51">
        <f>(Y154-Y153)*(INDEX([3]大r将兵属性验证!$V$7:$V$166,$X153,1)+INDEX([3]大r将兵属性验证!$AP$7:$AP$166,$X153,1))+AA153</f>
        <v>47943854812.784698</v>
      </c>
      <c r="AB154" s="49"/>
      <c r="AC154" s="48">
        <f t="shared" si="39"/>
        <v>47943854812.784698</v>
      </c>
      <c r="AG154" s="49">
        <f t="shared" si="40"/>
        <v>135.89542876835631</v>
      </c>
      <c r="AH154" s="48">
        <f>基础状态预估!S101</f>
        <v>0</v>
      </c>
      <c r="AI154" s="48"/>
      <c r="AJ154" s="21">
        <f>AH154/INDEX('[1]资源-钻石'!$O$4:$O$163,$AG154,1)</f>
        <v>0</v>
      </c>
      <c r="AL154" s="49">
        <v>140</v>
      </c>
      <c r="AM154" s="48">
        <f t="shared" si="36"/>
        <v>0</v>
      </c>
      <c r="AN154" s="49"/>
      <c r="AO154" s="49">
        <f t="shared" si="41"/>
        <v>0</v>
      </c>
    </row>
    <row r="155" spans="23:41" x14ac:dyDescent="0.15">
      <c r="W155" s="9">
        <v>17</v>
      </c>
      <c r="X155" s="49">
        <v>150</v>
      </c>
      <c r="Y155" s="49">
        <f t="shared" si="37"/>
        <v>31.237345360486202</v>
      </c>
      <c r="Z155" s="49"/>
      <c r="AA155" s="51">
        <f>(Y155-Y154)*(INDEX([3]大r将兵属性验证!$V$7:$V$166,$X154,1)+INDEX([3]大r将兵属性验证!$AP$7:$AP$166,$X154,1))+AA154</f>
        <v>77759062403.719162</v>
      </c>
      <c r="AB155" s="49"/>
      <c r="AC155" s="48">
        <f t="shared" si="39"/>
        <v>77759062403.719162</v>
      </c>
      <c r="AG155" s="49">
        <f t="shared" si="40"/>
        <v>146.55064673623977</v>
      </c>
      <c r="AH155" s="48">
        <f>基础状态预估!S102</f>
        <v>0</v>
      </c>
      <c r="AI155" s="48"/>
      <c r="AJ155" s="21">
        <f>AH155/INDEX('[1]资源-钻石'!$O$4:$O$163,$AG155,1)</f>
        <v>0</v>
      </c>
      <c r="AL155" s="49">
        <v>150</v>
      </c>
      <c r="AM155" s="48">
        <f t="shared" si="36"/>
        <v>0</v>
      </c>
      <c r="AN155" s="49"/>
      <c r="AO155" s="49">
        <f t="shared" si="41"/>
        <v>0</v>
      </c>
    </row>
    <row r="156" spans="23:41" x14ac:dyDescent="0.15">
      <c r="W156" s="9">
        <v>18</v>
      </c>
      <c r="X156" s="49">
        <v>160</v>
      </c>
      <c r="Y156" s="49">
        <f t="shared" si="37"/>
        <v>33.656298872379907</v>
      </c>
      <c r="Z156" s="49"/>
      <c r="AA156" s="51">
        <f>(Y156-Y155)*(INDEX([3]大r将兵属性验证!$V$7:$V$166,$X155,1)+INDEX([3]大r将兵属性验证!$AP$7:$AP$166,$X155,1))+AA155</f>
        <v>117181320216.97064</v>
      </c>
      <c r="AB156" s="49"/>
      <c r="AC156" s="48">
        <f t="shared" si="39"/>
        <v>117181320216.97064</v>
      </c>
      <c r="AG156" s="49">
        <f t="shared" si="40"/>
        <v>152.12605579164665</v>
      </c>
      <c r="AH156" s="48">
        <f>基础状态预估!S103</f>
        <v>0</v>
      </c>
      <c r="AI156" s="48"/>
      <c r="AJ156" s="21">
        <f>AH156/INDEX('[1]资源-钻石'!$O$4:$O$163,$AG156,1)</f>
        <v>0</v>
      </c>
      <c r="AL156" s="49">
        <v>160</v>
      </c>
      <c r="AM156" s="48">
        <f t="shared" si="36"/>
        <v>0</v>
      </c>
      <c r="AN156" s="49"/>
      <c r="AO156" s="49">
        <f t="shared" si="41"/>
        <v>0</v>
      </c>
    </row>
    <row r="157" spans="23:41" x14ac:dyDescent="0.15">
      <c r="W157" s="9">
        <v>19</v>
      </c>
    </row>
    <row r="158" spans="23:41" x14ac:dyDescent="0.15">
      <c r="W158" s="9">
        <v>20</v>
      </c>
      <c r="AG158" s="16"/>
    </row>
    <row r="159" spans="23:41" x14ac:dyDescent="0.15">
      <c r="W159" s="9">
        <v>21</v>
      </c>
    </row>
    <row r="160" spans="23:41" x14ac:dyDescent="0.15">
      <c r="W160" s="9">
        <v>22</v>
      </c>
    </row>
    <row r="161" spans="23:23" x14ac:dyDescent="0.15">
      <c r="W161" s="9">
        <v>23</v>
      </c>
    </row>
    <row r="162" spans="23:23" x14ac:dyDescent="0.15">
      <c r="W162" s="9">
        <v>24</v>
      </c>
    </row>
    <row r="163" spans="23:23" x14ac:dyDescent="0.15">
      <c r="W163" s="9">
        <v>25</v>
      </c>
    </row>
    <row r="164" spans="23:23" x14ac:dyDescent="0.15">
      <c r="W164" s="9">
        <v>26</v>
      </c>
    </row>
    <row r="165" spans="23:23" x14ac:dyDescent="0.15">
      <c r="W165" s="9">
        <v>27</v>
      </c>
    </row>
    <row r="166" spans="23:23" x14ac:dyDescent="0.15">
      <c r="W166" s="9">
        <v>28</v>
      </c>
    </row>
    <row r="167" spans="23:23" x14ac:dyDescent="0.15">
      <c r="W167" s="9">
        <v>29</v>
      </c>
    </row>
    <row r="168" spans="23:23" x14ac:dyDescent="0.15">
      <c r="W168" s="9">
        <v>30</v>
      </c>
    </row>
    <row r="169" spans="23:23" x14ac:dyDescent="0.15">
      <c r="W169" s="9">
        <v>31</v>
      </c>
    </row>
    <row r="170" spans="23:23" x14ac:dyDescent="0.15">
      <c r="W170" s="9">
        <v>32</v>
      </c>
    </row>
    <row r="171" spans="23:23" x14ac:dyDescent="0.15">
      <c r="W171" s="9">
        <v>33</v>
      </c>
    </row>
    <row r="172" spans="23:23" x14ac:dyDescent="0.15">
      <c r="W172" s="9">
        <v>34</v>
      </c>
    </row>
    <row r="173" spans="23:23" x14ac:dyDescent="0.15">
      <c r="W173" s="9">
        <v>35</v>
      </c>
    </row>
    <row r="174" spans="23:23" x14ac:dyDescent="0.15">
      <c r="W174" s="9">
        <v>36</v>
      </c>
    </row>
    <row r="175" spans="23:23" x14ac:dyDescent="0.15">
      <c r="W175" s="9">
        <v>37</v>
      </c>
    </row>
    <row r="176" spans="23:23" x14ac:dyDescent="0.15">
      <c r="W176" s="9">
        <v>38</v>
      </c>
    </row>
    <row r="177" spans="23:41" x14ac:dyDescent="0.15">
      <c r="W177" s="9">
        <v>39</v>
      </c>
    </row>
    <row r="178" spans="23:41" x14ac:dyDescent="0.15">
      <c r="W178" s="9">
        <v>40</v>
      </c>
    </row>
    <row r="179" spans="23:41" x14ac:dyDescent="0.15">
      <c r="W179" s="9">
        <v>41</v>
      </c>
    </row>
    <row r="180" spans="23:41" x14ac:dyDescent="0.15">
      <c r="W180" s="9">
        <v>42</v>
      </c>
    </row>
    <row r="181" spans="23:41" x14ac:dyDescent="0.15">
      <c r="W181" s="9">
        <v>43</v>
      </c>
    </row>
    <row r="182" spans="23:41" x14ac:dyDescent="0.15">
      <c r="W182" s="9">
        <v>44</v>
      </c>
    </row>
    <row r="183" spans="23:41" x14ac:dyDescent="0.15">
      <c r="W183" s="9">
        <v>45</v>
      </c>
    </row>
    <row r="184" spans="23:41" x14ac:dyDescent="0.15">
      <c r="W184" s="9">
        <v>1</v>
      </c>
      <c r="X184" s="19" t="s">
        <v>4</v>
      </c>
      <c r="Y184" s="131" t="s">
        <v>61</v>
      </c>
      <c r="Z184" s="132"/>
      <c r="AA184" s="129" t="s">
        <v>62</v>
      </c>
      <c r="AB184" s="129"/>
      <c r="AC184" s="129"/>
      <c r="AG184" s="19" t="s">
        <v>76</v>
      </c>
      <c r="AH184" s="130" t="s">
        <v>68</v>
      </c>
      <c r="AI184" s="130"/>
      <c r="AJ184" s="133" t="s">
        <v>77</v>
      </c>
      <c r="AL184" s="19" t="s">
        <v>4</v>
      </c>
      <c r="AM184" s="130" t="s">
        <v>69</v>
      </c>
      <c r="AN184" s="130"/>
    </row>
    <row r="185" spans="23:41" x14ac:dyDescent="0.15">
      <c r="W185" s="9">
        <v>2</v>
      </c>
      <c r="X185" s="19" t="s">
        <v>102</v>
      </c>
      <c r="Y185" s="19" t="s">
        <v>63</v>
      </c>
      <c r="Z185" s="19"/>
      <c r="AA185" s="19" t="s">
        <v>7</v>
      </c>
      <c r="AB185" s="19"/>
      <c r="AC185" s="18" t="s">
        <v>64</v>
      </c>
      <c r="AG185" s="19" t="s">
        <v>102</v>
      </c>
      <c r="AH185" s="18" t="s">
        <v>70</v>
      </c>
      <c r="AI185" s="18"/>
      <c r="AJ185" s="133"/>
      <c r="AL185" s="19" t="s">
        <v>102</v>
      </c>
      <c r="AM185" s="18" t="s">
        <v>67</v>
      </c>
      <c r="AN185" s="19"/>
      <c r="AO185" s="19" t="s">
        <v>71</v>
      </c>
    </row>
    <row r="186" spans="23:41" x14ac:dyDescent="0.15">
      <c r="W186" s="9">
        <v>3</v>
      </c>
      <c r="X186" s="19">
        <v>10</v>
      </c>
      <c r="Y186" s="19">
        <v>0</v>
      </c>
      <c r="Z186" s="19"/>
      <c r="AA186" s="17">
        <f>Y186*(INDEX([3]超r将兵属性验证!$V$7:$V$166,$X186,1)+INDEX([3]超r将兵属性验证!$AP$7:$AP$166,$X186,1))</f>
        <v>0</v>
      </c>
      <c r="AB186" s="19"/>
      <c r="AC186" s="18">
        <f t="shared" ref="AC186:AC195" si="42">SUM(AA186:AB186)</f>
        <v>0</v>
      </c>
      <c r="AG186" s="19">
        <f t="shared" ref="AG186:AG195" si="43">M98</f>
        <v>14.671687356650759</v>
      </c>
      <c r="AH186" s="18">
        <f>基础状态预估!S111</f>
        <v>0</v>
      </c>
      <c r="AI186" s="18"/>
      <c r="AJ186" s="21">
        <f>AH186/INDEX('[1]资源-钻石'!$P$4:$P$163,$AG186,1)</f>
        <v>0</v>
      </c>
      <c r="AL186" s="19">
        <v>10</v>
      </c>
      <c r="AM186" s="18" t="e">
        <f t="shared" ref="AM186:AM201" si="44">求节点($AG$186:$AG$202,$AH$186:$AH$202,$AL186)</f>
        <v>#VALUE!</v>
      </c>
      <c r="AN186" s="19"/>
      <c r="AO186" s="19" t="e">
        <f>SUM(AM186:AN186)</f>
        <v>#VALUE!</v>
      </c>
    </row>
    <row r="187" spans="23:41" x14ac:dyDescent="0.15">
      <c r="W187" s="9">
        <v>4</v>
      </c>
      <c r="X187" s="19">
        <v>20</v>
      </c>
      <c r="Y187" s="19">
        <f t="shared" ref="Y187:Y201" si="45">求节点($M$98:$M$114,$S$98:$S$114,$X187)</f>
        <v>1.3455113592530292</v>
      </c>
      <c r="Z187" s="19"/>
      <c r="AA187" s="19">
        <f>(Y187-Y186)*(INDEX([3]超r将兵属性验证!$V$7:$V$166,$X186,1)+INDEX([3]超r将兵属性验证!$AP$7:$AP$166,$X186,1))+AA186</f>
        <v>554465.73743354145</v>
      </c>
      <c r="AB187" s="19"/>
      <c r="AC187" s="18">
        <f t="shared" si="42"/>
        <v>554465.73743354145</v>
      </c>
      <c r="AG187" s="19">
        <f t="shared" si="43"/>
        <v>19.990401674856564</v>
      </c>
      <c r="AH187" s="18">
        <f>基础状态预估!S112</f>
        <v>0</v>
      </c>
      <c r="AI187" s="18"/>
      <c r="AJ187" s="21">
        <f>AH187/INDEX('[1]资源-钻石'!$P$4:$P$163,$AG187,1)</f>
        <v>0</v>
      </c>
      <c r="AL187" s="19">
        <v>20</v>
      </c>
      <c r="AM187" s="18">
        <f t="shared" si="44"/>
        <v>0</v>
      </c>
      <c r="AN187" s="19"/>
      <c r="AO187" s="19">
        <f t="shared" ref="AO187:AO195" si="46">SUM(AM187:AN187)</f>
        <v>0</v>
      </c>
    </row>
    <row r="188" spans="23:41" x14ac:dyDescent="0.15">
      <c r="W188" s="9">
        <v>5</v>
      </c>
      <c r="X188" s="19">
        <v>30</v>
      </c>
      <c r="Y188" s="19">
        <f t="shared" si="45"/>
        <v>2.4677876337794586</v>
      </c>
      <c r="Z188" s="19"/>
      <c r="AA188" s="51">
        <f>(Y188-Y187)*(INDEX([3]超r将兵属性验证!$V$7:$V$166,$X187,1)+INDEX([3]超r将兵属性验证!$AP$7:$AP$166,$X187,1))+AA187</f>
        <v>2320961.5717368256</v>
      </c>
      <c r="AB188" s="19"/>
      <c r="AC188" s="18">
        <f t="shared" si="42"/>
        <v>2320961.5717368256</v>
      </c>
      <c r="AG188" s="19">
        <f t="shared" si="43"/>
        <v>27.953695907743711</v>
      </c>
      <c r="AH188" s="18">
        <f>基础状态预估!S113</f>
        <v>0</v>
      </c>
      <c r="AI188" s="18"/>
      <c r="AJ188" s="21">
        <f>AH188/INDEX('[1]资源-钻石'!$P$4:$P$163,$AG188,1)</f>
        <v>0</v>
      </c>
      <c r="AL188" s="19">
        <v>30</v>
      </c>
      <c r="AM188" s="18">
        <f t="shared" si="44"/>
        <v>0</v>
      </c>
      <c r="AN188" s="19"/>
      <c r="AO188" s="19">
        <f t="shared" si="46"/>
        <v>0</v>
      </c>
    </row>
    <row r="189" spans="23:41" x14ac:dyDescent="0.15">
      <c r="W189" s="9">
        <v>6</v>
      </c>
      <c r="X189" s="19">
        <v>40</v>
      </c>
      <c r="Y189" s="19">
        <f t="shared" si="45"/>
        <v>4.5246447719113299</v>
      </c>
      <c r="Z189" s="19"/>
      <c r="AA189" s="51">
        <f>(Y189-Y188)*(INDEX([3]超r将兵属性验证!$V$7:$V$166,$X188,1)+INDEX([3]超r将兵属性验证!$AP$7:$AP$166,$X188,1))+AA188</f>
        <v>12270207.478485664</v>
      </c>
      <c r="AB189" s="19"/>
      <c r="AC189" s="18">
        <f t="shared" si="42"/>
        <v>12270207.478485664</v>
      </c>
      <c r="AG189" s="19">
        <f t="shared" si="43"/>
        <v>36.474789469426575</v>
      </c>
      <c r="AH189" s="18">
        <f>基础状态预估!S114</f>
        <v>0</v>
      </c>
      <c r="AI189" s="18"/>
      <c r="AJ189" s="21">
        <f>AH189/INDEX('[1]资源-钻石'!$P$4:$P$163,$AG189,1)</f>
        <v>0</v>
      </c>
      <c r="AL189" s="19">
        <v>40</v>
      </c>
      <c r="AM189" s="18">
        <f t="shared" si="44"/>
        <v>0</v>
      </c>
      <c r="AN189" s="19"/>
      <c r="AO189" s="19">
        <f t="shared" si="46"/>
        <v>0</v>
      </c>
    </row>
    <row r="190" spans="23:41" x14ac:dyDescent="0.15">
      <c r="W190" s="9">
        <v>7</v>
      </c>
      <c r="X190" s="19">
        <v>50</v>
      </c>
      <c r="Y190" s="19">
        <f t="shared" si="45"/>
        <v>8.1108101834114361</v>
      </c>
      <c r="Z190" s="19"/>
      <c r="AA190" s="51">
        <f>(Y190-Y189)*(INDEX([3]超r将兵属性验证!$V$7:$V$166,$X189,1)+INDEX([3]超r将兵属性验证!$AP$7:$AP$166,$X189,1))+AA189</f>
        <v>63943821.634211242</v>
      </c>
      <c r="AB190" s="19"/>
      <c r="AC190" s="18">
        <f t="shared" si="42"/>
        <v>63943821.634211242</v>
      </c>
      <c r="AG190" s="19">
        <f t="shared" si="43"/>
        <v>45.378719658137989</v>
      </c>
      <c r="AH190" s="18">
        <f>基础状态预估!S115</f>
        <v>0</v>
      </c>
      <c r="AI190" s="18"/>
      <c r="AJ190" s="21">
        <f>AH190/INDEX('[1]资源-钻石'!$P$4:$P$163,$AG190,1)</f>
        <v>0</v>
      </c>
      <c r="AL190" s="19">
        <v>50</v>
      </c>
      <c r="AM190" s="18">
        <f t="shared" si="44"/>
        <v>0</v>
      </c>
      <c r="AN190" s="19"/>
      <c r="AO190" s="19">
        <f t="shared" si="46"/>
        <v>0</v>
      </c>
    </row>
    <row r="191" spans="23:41" x14ac:dyDescent="0.15">
      <c r="W191" s="9">
        <v>8</v>
      </c>
      <c r="X191" s="19">
        <v>60</v>
      </c>
      <c r="Y191" s="19">
        <f t="shared" si="45"/>
        <v>12.419337082297224</v>
      </c>
      <c r="Z191" s="19"/>
      <c r="AA191" s="51">
        <f>(Y191-Y190)*(INDEX([3]超r将兵属性验证!$V$7:$V$166,$X190,1)+INDEX([3]超r将兵属性验证!$AP$7:$AP$166,$X190,1))+AA190</f>
        <v>192460560.77831262</v>
      </c>
      <c r="AB191" s="19"/>
      <c r="AC191" s="18">
        <f t="shared" si="42"/>
        <v>192460560.77831262</v>
      </c>
      <c r="AG191" s="19">
        <f t="shared" si="43"/>
        <v>54.706384157580409</v>
      </c>
      <c r="AH191" s="18">
        <f>基础状态预估!S116</f>
        <v>0</v>
      </c>
      <c r="AI191" s="18"/>
      <c r="AJ191" s="21">
        <f>AH191/INDEX('[1]资源-钻石'!$P$4:$P$163,$AG191,1)</f>
        <v>0</v>
      </c>
      <c r="AL191" s="19">
        <v>60</v>
      </c>
      <c r="AM191" s="18">
        <f t="shared" si="44"/>
        <v>0</v>
      </c>
      <c r="AN191" s="19"/>
      <c r="AO191" s="19">
        <f t="shared" si="46"/>
        <v>0</v>
      </c>
    </row>
    <row r="192" spans="23:41" x14ac:dyDescent="0.15">
      <c r="W192" s="9">
        <v>9</v>
      </c>
      <c r="X192" s="19">
        <v>70</v>
      </c>
      <c r="Y192" s="19">
        <f t="shared" si="45"/>
        <v>15.535550090188334</v>
      </c>
      <c r="Z192" s="19"/>
      <c r="AA192" s="51">
        <f>(Y192-Y191)*(INDEX([3]超r将兵属性验证!$V$7:$V$166,$X191,1)+INDEX([3]超r将兵属性验证!$AP$7:$AP$166,$X191,1))+AA191</f>
        <v>411607835.3841455</v>
      </c>
      <c r="AB192" s="19"/>
      <c r="AC192" s="18">
        <f t="shared" si="42"/>
        <v>411607835.3841455</v>
      </c>
      <c r="AG192" s="19">
        <f t="shared" si="43"/>
        <v>63.227467500622204</v>
      </c>
      <c r="AH192" s="18">
        <f>基础状态预估!S117</f>
        <v>0</v>
      </c>
      <c r="AI192" s="18"/>
      <c r="AJ192" s="21">
        <f>AH192/INDEX('[1]资源-钻石'!$P$4:$P$163,$AG192,1)</f>
        <v>0</v>
      </c>
      <c r="AL192" s="19">
        <v>70</v>
      </c>
      <c r="AM192" s="18">
        <f t="shared" si="44"/>
        <v>0</v>
      </c>
      <c r="AN192" s="19"/>
      <c r="AO192" s="19">
        <f t="shared" si="46"/>
        <v>0</v>
      </c>
    </row>
    <row r="193" spans="23:41" x14ac:dyDescent="0.15">
      <c r="W193" s="9">
        <v>10</v>
      </c>
      <c r="X193" s="19">
        <v>80</v>
      </c>
      <c r="Y193" s="19">
        <f t="shared" si="45"/>
        <v>17.872611419774504</v>
      </c>
      <c r="Z193" s="19"/>
      <c r="AA193" s="51">
        <f>(Y193-Y192)*(INDEX([3]超r将兵属性验证!$V$7:$V$166,$X192,1)+INDEX([3]超r将兵属性验证!$AP$7:$AP$166,$X192,1))+AA192</f>
        <v>911149000.75655985</v>
      </c>
      <c r="AB193" s="19"/>
      <c r="AC193" s="18">
        <f t="shared" si="42"/>
        <v>911149000.75655985</v>
      </c>
      <c r="AG193" s="19">
        <f t="shared" si="43"/>
        <v>71.964465094771541</v>
      </c>
      <c r="AH193" s="18">
        <f>基础状态预估!S118</f>
        <v>0</v>
      </c>
      <c r="AI193" s="18"/>
      <c r="AJ193" s="21">
        <f>AH193/INDEX('[1]资源-钻石'!$P$4:$P$163,$AG193,1)</f>
        <v>0</v>
      </c>
      <c r="AL193" s="19">
        <v>80</v>
      </c>
      <c r="AM193" s="18">
        <f t="shared" si="44"/>
        <v>0</v>
      </c>
      <c r="AN193" s="19"/>
      <c r="AO193" s="19">
        <f t="shared" si="46"/>
        <v>0</v>
      </c>
    </row>
    <row r="194" spans="23:41" x14ac:dyDescent="0.15">
      <c r="W194" s="9">
        <v>11</v>
      </c>
      <c r="X194" s="19">
        <v>90</v>
      </c>
      <c r="Y194" s="19">
        <f t="shared" si="45"/>
        <v>19.646390134535768</v>
      </c>
      <c r="Z194" s="19"/>
      <c r="AA194" s="51">
        <f>(Y194-Y193)*(INDEX([3]超r将兵属性验证!$V$7:$V$166,$X193,1)+INDEX([3]超r将兵属性验证!$AP$7:$AP$166,$X193,1))+AA193</f>
        <v>2012334496.2359018</v>
      </c>
      <c r="AB194" s="19"/>
      <c r="AC194" s="18">
        <f t="shared" si="42"/>
        <v>2012334496.2359018</v>
      </c>
      <c r="AG194" s="19">
        <f t="shared" si="43"/>
        <v>80.54663523468885</v>
      </c>
      <c r="AH194" s="18">
        <f>基础状态预估!S119</f>
        <v>0</v>
      </c>
      <c r="AI194" s="18"/>
      <c r="AJ194" s="21">
        <f>AH194/INDEX('[1]资源-钻石'!$P$4:$P$163,$AG194,1)</f>
        <v>0</v>
      </c>
      <c r="AL194" s="19">
        <v>90</v>
      </c>
      <c r="AM194" s="18">
        <f t="shared" si="44"/>
        <v>0</v>
      </c>
      <c r="AN194" s="19"/>
      <c r="AO194" s="19">
        <f t="shared" si="46"/>
        <v>0</v>
      </c>
    </row>
    <row r="195" spans="23:41" x14ac:dyDescent="0.15">
      <c r="W195" s="9">
        <v>12</v>
      </c>
      <c r="X195" s="19">
        <v>100</v>
      </c>
      <c r="Y195" s="19">
        <f t="shared" si="45"/>
        <v>21.491298899238252</v>
      </c>
      <c r="Z195" s="19"/>
      <c r="AA195" s="51">
        <f>(Y195-Y194)*(INDEX([3]超r将兵属性验证!$V$7:$V$166,$X194,1)+INDEX([3]超r将兵属性验证!$AP$7:$AP$166,$X194,1))+AA194</f>
        <v>4971982382.4255705</v>
      </c>
      <c r="AB195" s="19"/>
      <c r="AC195" s="18">
        <f t="shared" si="42"/>
        <v>4971982382.4255705</v>
      </c>
      <c r="AG195" s="19">
        <f t="shared" si="43"/>
        <v>92.03038330510195</v>
      </c>
      <c r="AH195" s="18">
        <f>基础状态预估!S120</f>
        <v>0</v>
      </c>
      <c r="AI195" s="18"/>
      <c r="AJ195" s="21">
        <f>AH195/INDEX('[1]资源-钻石'!$P$4:$P$163,$AG195,1)</f>
        <v>0</v>
      </c>
      <c r="AL195" s="19">
        <v>100</v>
      </c>
      <c r="AM195" s="18">
        <f t="shared" si="44"/>
        <v>0</v>
      </c>
      <c r="AN195" s="19"/>
      <c r="AO195" s="19">
        <f t="shared" si="46"/>
        <v>0</v>
      </c>
    </row>
    <row r="196" spans="23:41" x14ac:dyDescent="0.15">
      <c r="W196" s="9">
        <v>13</v>
      </c>
      <c r="X196" s="49">
        <v>110</v>
      </c>
      <c r="Y196" s="49">
        <f t="shared" si="45"/>
        <v>23.356406722198763</v>
      </c>
      <c r="Z196" s="49"/>
      <c r="AA196" s="51">
        <f>(Y196-Y195)*(INDEX([3]超r将兵属性验证!$V$7:$V$166,$X195,1)+INDEX([3]超r将兵属性验证!$AP$7:$AP$166,$X195,1))+AA195</f>
        <v>10952051240.529263</v>
      </c>
      <c r="AB196" s="49"/>
      <c r="AC196" s="48">
        <f t="shared" ref="AC196:AC201" si="47">SUM(AA196:AB196)</f>
        <v>10952051240.529263</v>
      </c>
      <c r="AG196" s="49">
        <f t="shared" ref="AG196:AG201" si="48">M108</f>
        <v>102.71853803916484</v>
      </c>
      <c r="AH196" s="48">
        <f>基础状态预估!S121</f>
        <v>0</v>
      </c>
      <c r="AI196" s="48"/>
      <c r="AJ196" s="21">
        <f>AH196/INDEX('[1]资源-钻石'!$P$4:$P$163,$AG196,1)</f>
        <v>0</v>
      </c>
      <c r="AL196" s="49">
        <v>110</v>
      </c>
      <c r="AM196" s="48">
        <f t="shared" si="44"/>
        <v>0</v>
      </c>
      <c r="AN196" s="49"/>
      <c r="AO196" s="49">
        <f t="shared" ref="AO196:AO201" si="49">SUM(AM196:AN196)</f>
        <v>0</v>
      </c>
    </row>
    <row r="197" spans="23:41" x14ac:dyDescent="0.15">
      <c r="W197" s="9">
        <v>14</v>
      </c>
      <c r="X197" s="49">
        <v>120</v>
      </c>
      <c r="Y197" s="49">
        <f t="shared" si="45"/>
        <v>25.227815836664487</v>
      </c>
      <c r="Z197" s="49"/>
      <c r="AA197" s="51">
        <f>(Y197-Y196)*(INDEX([3]超r将兵属性验证!$V$7:$V$166,$X196,1)+INDEX([3]超r将兵属性验证!$AP$7:$AP$166,$X196,1))+AA196</f>
        <v>19829188900.65789</v>
      </c>
      <c r="AB197" s="49"/>
      <c r="AC197" s="48">
        <f t="shared" si="47"/>
        <v>19829188900.65789</v>
      </c>
      <c r="AG197" s="49">
        <f t="shared" si="48"/>
        <v>113.4549371467006</v>
      </c>
      <c r="AH197" s="48">
        <f>基础状态预估!S122</f>
        <v>0</v>
      </c>
      <c r="AI197" s="48"/>
      <c r="AJ197" s="21">
        <f>AH197/INDEX('[1]资源-钻石'!$P$4:$P$163,$AG197,1)</f>
        <v>0</v>
      </c>
      <c r="AL197" s="49">
        <v>120</v>
      </c>
      <c r="AM197" s="48">
        <f t="shared" si="44"/>
        <v>0</v>
      </c>
      <c r="AN197" s="49"/>
      <c r="AO197" s="49">
        <f t="shared" si="49"/>
        <v>0</v>
      </c>
    </row>
    <row r="198" spans="23:41" x14ac:dyDescent="0.15">
      <c r="W198" s="9">
        <v>15</v>
      </c>
      <c r="X198" s="49">
        <v>130</v>
      </c>
      <c r="Y198" s="49">
        <f t="shared" si="45"/>
        <v>27.089955343385633</v>
      </c>
      <c r="Z198" s="49"/>
      <c r="AA198" s="51">
        <f>(Y198-Y197)*(INDEX([3]超r将兵属性验证!$V$7:$V$166,$X197,1)+INDEX([3]超r将兵属性验证!$AP$7:$AP$166,$X197,1))+AA197</f>
        <v>32447954318.727089</v>
      </c>
      <c r="AB198" s="49"/>
      <c r="AC198" s="48">
        <f t="shared" si="47"/>
        <v>32447954318.727089</v>
      </c>
      <c r="AG198" s="49">
        <f t="shared" si="48"/>
        <v>124.11624751239822</v>
      </c>
      <c r="AH198" s="48">
        <f>基础状态预估!S123</f>
        <v>0</v>
      </c>
      <c r="AI198" s="48"/>
      <c r="AJ198" s="21">
        <f>AH198/INDEX('[1]资源-钻石'!$P$4:$P$163,$AG198,1)</f>
        <v>0</v>
      </c>
      <c r="AL198" s="49">
        <v>130</v>
      </c>
      <c r="AM198" s="48">
        <f t="shared" si="44"/>
        <v>0</v>
      </c>
      <c r="AN198" s="49"/>
      <c r="AO198" s="49">
        <f t="shared" si="49"/>
        <v>0</v>
      </c>
    </row>
    <row r="199" spans="23:41" x14ac:dyDescent="0.15">
      <c r="W199" s="9">
        <v>16</v>
      </c>
      <c r="X199" s="49">
        <v>140</v>
      </c>
      <c r="Y199" s="49">
        <f t="shared" si="45"/>
        <v>28.957894414599402</v>
      </c>
      <c r="Z199" s="49"/>
      <c r="AA199" s="51">
        <f>(Y199-Y198)*(INDEX([3]超r将兵属性验证!$V$7:$V$166,$X198,1)+INDEX([3]超r将兵属性验证!$AP$7:$AP$166,$X198,1))+AA198</f>
        <v>49957441428.703697</v>
      </c>
      <c r="AB199" s="49"/>
      <c r="AC199" s="48">
        <f t="shared" si="47"/>
        <v>49957441428.703697</v>
      </c>
      <c r="AG199" s="49">
        <f t="shared" si="48"/>
        <v>134.91256595481366</v>
      </c>
      <c r="AH199" s="48">
        <f>基础状态预估!S124</f>
        <v>0</v>
      </c>
      <c r="AI199" s="48"/>
      <c r="AJ199" s="21">
        <f>AH199/INDEX('[1]资源-钻石'!$P$4:$P$163,$AG199,1)</f>
        <v>0</v>
      </c>
      <c r="AL199" s="49">
        <v>140</v>
      </c>
      <c r="AM199" s="48">
        <f t="shared" si="44"/>
        <v>0</v>
      </c>
      <c r="AN199" s="49"/>
      <c r="AO199" s="49">
        <f t="shared" si="49"/>
        <v>0</v>
      </c>
    </row>
    <row r="200" spans="23:41" x14ac:dyDescent="0.15">
      <c r="W200" s="9">
        <v>17</v>
      </c>
      <c r="X200" s="49">
        <v>150</v>
      </c>
      <c r="Y200" s="49">
        <f t="shared" si="45"/>
        <v>31.610177518956171</v>
      </c>
      <c r="Z200" s="49"/>
      <c r="AA200" s="51">
        <f>(Y200-Y199)*(INDEX([3]超r将兵属性验证!$V$7:$V$166,$X199,1)+INDEX([3]超r将兵属性验证!$AP$7:$AP$166,$X199,1))+AA199</f>
        <v>82840732502.317459</v>
      </c>
      <c r="AB200" s="49"/>
      <c r="AC200" s="48">
        <f t="shared" si="47"/>
        <v>82840732502.317459</v>
      </c>
      <c r="AG200" s="49">
        <f t="shared" si="48"/>
        <v>145.53468456757108</v>
      </c>
      <c r="AH200" s="48">
        <f>基础状态预估!S125</f>
        <v>0</v>
      </c>
      <c r="AI200" s="48"/>
      <c r="AJ200" s="21">
        <f>AH200/INDEX('[1]资源-钻石'!$P$4:$P$163,$AG200,1)</f>
        <v>0</v>
      </c>
      <c r="AL200" s="49">
        <v>150</v>
      </c>
      <c r="AM200" s="48">
        <f t="shared" si="44"/>
        <v>0</v>
      </c>
      <c r="AN200" s="49"/>
      <c r="AO200" s="49">
        <f t="shared" si="49"/>
        <v>0</v>
      </c>
    </row>
    <row r="201" spans="23:41" x14ac:dyDescent="0.15">
      <c r="W201" s="9">
        <v>18</v>
      </c>
      <c r="X201" s="49">
        <v>160</v>
      </c>
      <c r="Y201" s="49">
        <f t="shared" si="45"/>
        <v>33.889094916206702</v>
      </c>
      <c r="Z201" s="49"/>
      <c r="AA201" s="51">
        <f>(Y201-Y200)*(INDEX([3]超r将兵属性验证!$V$7:$V$166,$X200,1)+INDEX([3]超r将兵属性验证!$AP$7:$AP$166,$X200,1))+AA200</f>
        <v>121098714367.62454</v>
      </c>
      <c r="AB201" s="49"/>
      <c r="AC201" s="48">
        <f t="shared" si="47"/>
        <v>121098714367.62454</v>
      </c>
      <c r="AG201" s="49">
        <f t="shared" si="48"/>
        <v>151.0810487166913</v>
      </c>
      <c r="AH201" s="48">
        <f>基础状态预估!S126</f>
        <v>0</v>
      </c>
      <c r="AI201" s="48"/>
      <c r="AJ201" s="21">
        <f>AH201/INDEX('[1]资源-钻石'!$P$4:$P$163,$AG201,1)</f>
        <v>0</v>
      </c>
      <c r="AL201" s="49">
        <v>160</v>
      </c>
      <c r="AM201" s="48">
        <f t="shared" si="44"/>
        <v>0</v>
      </c>
      <c r="AN201" s="49"/>
      <c r="AO201" s="49">
        <f t="shared" si="49"/>
        <v>0</v>
      </c>
    </row>
    <row r="202" spans="23:41" x14ac:dyDescent="0.15">
      <c r="W202" s="9">
        <v>19</v>
      </c>
    </row>
    <row r="203" spans="23:41" x14ac:dyDescent="0.15">
      <c r="W203" s="9">
        <v>20</v>
      </c>
    </row>
    <row r="204" spans="23:41" x14ac:dyDescent="0.15">
      <c r="W204" s="9">
        <v>21</v>
      </c>
    </row>
    <row r="205" spans="23:41" x14ac:dyDescent="0.15">
      <c r="W205" s="9">
        <v>22</v>
      </c>
    </row>
    <row r="206" spans="23:41" x14ac:dyDescent="0.15">
      <c r="W206" s="9">
        <v>23</v>
      </c>
    </row>
    <row r="207" spans="23:41" x14ac:dyDescent="0.15">
      <c r="W207" s="9">
        <v>24</v>
      </c>
    </row>
    <row r="208" spans="23:41" x14ac:dyDescent="0.15">
      <c r="W208" s="9">
        <v>25</v>
      </c>
    </row>
    <row r="209" spans="23:23" x14ac:dyDescent="0.15">
      <c r="W209" s="9">
        <v>26</v>
      </c>
    </row>
    <row r="210" spans="23:23" x14ac:dyDescent="0.15">
      <c r="W210" s="9">
        <v>27</v>
      </c>
    </row>
    <row r="211" spans="23:23" x14ac:dyDescent="0.15">
      <c r="W211" s="9">
        <v>28</v>
      </c>
    </row>
    <row r="212" spans="23:23" x14ac:dyDescent="0.15">
      <c r="W212" s="9">
        <v>29</v>
      </c>
    </row>
    <row r="213" spans="23:23" x14ac:dyDescent="0.15">
      <c r="W213" s="9">
        <v>30</v>
      </c>
    </row>
    <row r="214" spans="23:23" x14ac:dyDescent="0.15">
      <c r="W214" s="9">
        <v>31</v>
      </c>
    </row>
    <row r="215" spans="23:23" x14ac:dyDescent="0.15">
      <c r="W215" s="9">
        <v>32</v>
      </c>
    </row>
    <row r="216" spans="23:23" x14ac:dyDescent="0.15">
      <c r="W216" s="9">
        <v>33</v>
      </c>
    </row>
    <row r="217" spans="23:23" x14ac:dyDescent="0.15">
      <c r="W217" s="9">
        <v>34</v>
      </c>
    </row>
    <row r="218" spans="23:23" x14ac:dyDescent="0.15">
      <c r="W218" s="9">
        <v>35</v>
      </c>
    </row>
    <row r="219" spans="23:23" x14ac:dyDescent="0.15">
      <c r="W219" s="9">
        <v>36</v>
      </c>
    </row>
    <row r="220" spans="23:23" x14ac:dyDescent="0.15">
      <c r="W220" s="9">
        <v>37</v>
      </c>
    </row>
    <row r="221" spans="23:23" x14ac:dyDescent="0.15">
      <c r="W221" s="9">
        <v>38</v>
      </c>
    </row>
    <row r="222" spans="23:23" x14ac:dyDescent="0.15">
      <c r="W222" s="9">
        <v>39</v>
      </c>
    </row>
    <row r="223" spans="23:23" x14ac:dyDescent="0.15">
      <c r="W223" s="9">
        <v>40</v>
      </c>
    </row>
    <row r="224" spans="23:23" x14ac:dyDescent="0.15">
      <c r="W224" s="9">
        <v>41</v>
      </c>
    </row>
    <row r="225" spans="23:23" x14ac:dyDescent="0.15">
      <c r="W225" s="9">
        <v>42</v>
      </c>
    </row>
    <row r="226" spans="23:23" x14ac:dyDescent="0.15">
      <c r="W226" s="9">
        <v>43</v>
      </c>
    </row>
    <row r="227" spans="23:23" x14ac:dyDescent="0.15">
      <c r="W227" s="9">
        <v>44</v>
      </c>
    </row>
    <row r="228" spans="23:23" x14ac:dyDescent="0.15">
      <c r="W228" s="9">
        <v>45</v>
      </c>
    </row>
  </sheetData>
  <mergeCells count="30">
    <mergeCell ref="AJ139:AJ140"/>
    <mergeCell ref="AJ184:AJ185"/>
    <mergeCell ref="AH4:AI4"/>
    <mergeCell ref="AH49:AI49"/>
    <mergeCell ref="AM49:AN49"/>
    <mergeCell ref="AH94:AI94"/>
    <mergeCell ref="AM94:AN94"/>
    <mergeCell ref="AH139:AI139"/>
    <mergeCell ref="AM139:AN139"/>
    <mergeCell ref="AH184:AI184"/>
    <mergeCell ref="AM184:AN184"/>
    <mergeCell ref="AJ4:AJ5"/>
    <mergeCell ref="AJ49:AJ50"/>
    <mergeCell ref="AJ94:AJ95"/>
    <mergeCell ref="AM4:AN4"/>
    <mergeCell ref="AA184:AC184"/>
    <mergeCell ref="Y49:Z49"/>
    <mergeCell ref="Y94:Z94"/>
    <mergeCell ref="Y139:Z139"/>
    <mergeCell ref="Y184:Z184"/>
    <mergeCell ref="Y4:Z4"/>
    <mergeCell ref="AA4:AC4"/>
    <mergeCell ref="AA49:AC49"/>
    <mergeCell ref="AA94:AC94"/>
    <mergeCell ref="AA139:AC139"/>
    <mergeCell ref="N4:S4"/>
    <mergeCell ref="N27:S27"/>
    <mergeCell ref="N50:S50"/>
    <mergeCell ref="N73:S73"/>
    <mergeCell ref="N96:S96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"/>
  <sheetViews>
    <sheetView workbookViewId="0">
      <selection activeCell="K18" sqref="K18"/>
    </sheetView>
  </sheetViews>
  <sheetFormatPr defaultColWidth="6.625" defaultRowHeight="11.25" x14ac:dyDescent="0.15"/>
  <cols>
    <col min="1" max="16384" width="6.625" style="3"/>
  </cols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C1:U164"/>
  <sheetViews>
    <sheetView workbookViewId="0">
      <selection activeCell="N4" sqref="N4:S4"/>
    </sheetView>
  </sheetViews>
  <sheetFormatPr defaultColWidth="6.625" defaultRowHeight="11.25" x14ac:dyDescent="0.15"/>
  <cols>
    <col min="1" max="20" width="6.625" style="9"/>
    <col min="21" max="21" width="6.625" style="12"/>
    <col min="22" max="16384" width="6.625" style="9"/>
  </cols>
  <sheetData>
    <row r="1" spans="3:19" x14ac:dyDescent="0.15">
      <c r="N1" s="9" t="s">
        <v>60</v>
      </c>
    </row>
    <row r="3" spans="3:19" x14ac:dyDescent="0.15">
      <c r="C3" s="9" t="s">
        <v>102</v>
      </c>
    </row>
    <row r="4" spans="3:19" x14ac:dyDescent="0.15">
      <c r="C4" s="9" t="s">
        <v>55</v>
      </c>
      <c r="D4" s="9" t="s">
        <v>56</v>
      </c>
      <c r="E4" s="9" t="s">
        <v>57</v>
      </c>
      <c r="F4" s="9" t="s">
        <v>58</v>
      </c>
      <c r="G4" s="9" t="s">
        <v>59</v>
      </c>
      <c r="H4" s="9" t="s">
        <v>55</v>
      </c>
      <c r="I4" s="9" t="s">
        <v>56</v>
      </c>
      <c r="J4" s="9" t="s">
        <v>57</v>
      </c>
      <c r="K4" s="9" t="s">
        <v>58</v>
      </c>
      <c r="L4" s="9" t="s">
        <v>59</v>
      </c>
      <c r="N4" s="9" t="s">
        <v>102</v>
      </c>
      <c r="O4" s="9" t="s">
        <v>55</v>
      </c>
      <c r="P4" s="9" t="s">
        <v>56</v>
      </c>
      <c r="Q4" s="9" t="s">
        <v>57</v>
      </c>
      <c r="R4" s="9" t="s">
        <v>58</v>
      </c>
      <c r="S4" s="9" t="s">
        <v>59</v>
      </c>
    </row>
    <row r="5" spans="3:19" x14ac:dyDescent="0.15">
      <c r="C5" s="9">
        <f>基础状态预估!D19</f>
        <v>18.226342304552581</v>
      </c>
      <c r="D5" s="9">
        <f>基础状态预估!D42</f>
        <v>17.420973982667814</v>
      </c>
      <c r="E5" s="9">
        <f>基础状态预估!D65</f>
        <v>16.55360159735687</v>
      </c>
      <c r="F5" s="9">
        <f>基础状态预估!D88</f>
        <v>15.589627930182091</v>
      </c>
      <c r="G5" s="9">
        <f>基础状态预估!D111</f>
        <v>14.671687356650759</v>
      </c>
      <c r="H5" s="9">
        <f>门客属性!S6</f>
        <v>0.6813408514566176</v>
      </c>
      <c r="I5" s="9">
        <f>门客属性!S29</f>
        <v>0.6813408514566176</v>
      </c>
      <c r="J5" s="9">
        <f>门客属性!S52</f>
        <v>0.6813408514566176</v>
      </c>
      <c r="K5" s="9">
        <f>门客属性!S75</f>
        <v>0.6813408514566176</v>
      </c>
      <c r="L5" s="9">
        <f>门客属性!S98</f>
        <v>0.6813408514566176</v>
      </c>
      <c r="N5" s="9">
        <v>1</v>
      </c>
      <c r="O5" s="9">
        <f>IFERROR(求节点(C$5:C$20,H$5:H$20,$N5),0)</f>
        <v>0</v>
      </c>
      <c r="P5" s="9">
        <f t="shared" ref="P5:S5" si="0">IFERROR(求节点(D$5:D$20,I$5:I$20,$N5),0)</f>
        <v>0</v>
      </c>
      <c r="Q5" s="9">
        <f t="shared" si="0"/>
        <v>0</v>
      </c>
      <c r="R5" s="9">
        <f t="shared" si="0"/>
        <v>0</v>
      </c>
      <c r="S5" s="9">
        <f t="shared" si="0"/>
        <v>0</v>
      </c>
    </row>
    <row r="6" spans="3:19" x14ac:dyDescent="0.15">
      <c r="C6" s="9">
        <f>基础状态预估!D20</f>
        <v>24.310866931512376</v>
      </c>
      <c r="D6" s="9">
        <f>基础状态预估!D43</f>
        <v>23.346355732194773</v>
      </c>
      <c r="E6" s="9">
        <f>基础状态预估!D66</f>
        <v>22.270075478919804</v>
      </c>
      <c r="F6" s="9">
        <f>基础状态预估!D89</f>
        <v>21.127034033068878</v>
      </c>
      <c r="G6" s="9">
        <f>基础状态预估!D112</f>
        <v>19.990401674856564</v>
      </c>
      <c r="H6" s="9">
        <f>门客属性!S7</f>
        <v>1.3444926808689612</v>
      </c>
      <c r="I6" s="9">
        <f>门客属性!S30</f>
        <v>1.3444926808689612</v>
      </c>
      <c r="J6" s="9">
        <f>门客属性!S53</f>
        <v>1.3444926808689612</v>
      </c>
      <c r="K6" s="9">
        <f>门客属性!S76</f>
        <v>1.3444926808689612</v>
      </c>
      <c r="L6" s="9">
        <f>门客属性!S99</f>
        <v>1.3444926808689612</v>
      </c>
      <c r="N6" s="9">
        <v>2</v>
      </c>
      <c r="O6" s="9">
        <f t="shared" ref="O6:O69" si="1">IFERROR(求节点(C$5:C$20,H$5:H$20,$N6),0)</f>
        <v>0</v>
      </c>
      <c r="P6" s="9">
        <f t="shared" ref="P6:P69" si="2">IFERROR(求节点(D$5:D$20,I$5:I$20,$N6),0)</f>
        <v>0</v>
      </c>
      <c r="Q6" s="9">
        <f t="shared" ref="Q6:Q69" si="3">IFERROR(求节点(E$5:E$20,J$5:J$20,$N6),0)</f>
        <v>0</v>
      </c>
      <c r="R6" s="9">
        <f t="shared" ref="R6:R69" si="4">IFERROR(求节点(F$5:F$20,K$5:K$20,$N6),0)</f>
        <v>0</v>
      </c>
      <c r="S6" s="9">
        <f t="shared" ref="S6:S69" si="5">IFERROR(求节点(G$5:G$20,L$5:L$20,$N6),0)</f>
        <v>0</v>
      </c>
    </row>
    <row r="7" spans="3:19" x14ac:dyDescent="0.15">
      <c r="C7" s="9">
        <f>基础状态预估!D21</f>
        <v>32.979382606869549</v>
      </c>
      <c r="D7" s="9">
        <f>基础状态预估!D44</f>
        <v>31.845462834406923</v>
      </c>
      <c r="E7" s="9">
        <f>基础状态预估!D67</f>
        <v>30.615521552489891</v>
      </c>
      <c r="F7" s="9">
        <f>基础状态预估!D90</f>
        <v>29.279653557700659</v>
      </c>
      <c r="G7" s="9">
        <f>基础状态预估!D113</f>
        <v>27.953695907743711</v>
      </c>
      <c r="H7" s="9">
        <f>门客属性!S8</f>
        <v>2.1896438483685303</v>
      </c>
      <c r="I7" s="9">
        <f>门客属性!S31</f>
        <v>2.1896438483685303</v>
      </c>
      <c r="J7" s="9">
        <f>门客属性!S54</f>
        <v>2.1896438483685303</v>
      </c>
      <c r="K7" s="9">
        <f>门客属性!S77</f>
        <v>2.1896438483685303</v>
      </c>
      <c r="L7" s="9">
        <f>门客属性!S100</f>
        <v>2.1896438483685303</v>
      </c>
      <c r="N7" s="9">
        <v>3</v>
      </c>
      <c r="O7" s="9">
        <f t="shared" si="1"/>
        <v>0</v>
      </c>
      <c r="P7" s="9">
        <f t="shared" si="2"/>
        <v>0</v>
      </c>
      <c r="Q7" s="9">
        <f t="shared" si="3"/>
        <v>0</v>
      </c>
      <c r="R7" s="9">
        <f t="shared" si="4"/>
        <v>0</v>
      </c>
      <c r="S7" s="9">
        <f t="shared" si="5"/>
        <v>0</v>
      </c>
    </row>
    <row r="8" spans="3:19" x14ac:dyDescent="0.15">
      <c r="C8" s="9">
        <f>基础状态预估!D22</f>
        <v>41.947199016886806</v>
      </c>
      <c r="D8" s="9">
        <f>基础状态预估!D45</f>
        <v>40.787439392565133</v>
      </c>
      <c r="E8" s="9">
        <f>基础状态预估!D68</f>
        <v>39.486304880774611</v>
      </c>
      <c r="F8" s="9">
        <f>基础状态预估!D91</f>
        <v>38.056251761612167</v>
      </c>
      <c r="G8" s="9">
        <f>基础状态预估!D114</f>
        <v>36.474789469426575</v>
      </c>
      <c r="H8" s="9">
        <f>门客属性!S9</f>
        <v>3.3478730812846704</v>
      </c>
      <c r="I8" s="9">
        <f>门客属性!S32</f>
        <v>3.3478730812846704</v>
      </c>
      <c r="J8" s="9">
        <f>门客属性!S55</f>
        <v>3.3478730812846704</v>
      </c>
      <c r="K8" s="9">
        <f>门客属性!S78</f>
        <v>3.3478730812846704</v>
      </c>
      <c r="L8" s="9">
        <f>门客属性!S101</f>
        <v>3.3478730812846704</v>
      </c>
      <c r="N8" s="9">
        <v>4</v>
      </c>
      <c r="O8" s="9">
        <f t="shared" si="1"/>
        <v>0</v>
      </c>
      <c r="P8" s="9">
        <f t="shared" si="2"/>
        <v>0</v>
      </c>
      <c r="Q8" s="9">
        <f t="shared" si="3"/>
        <v>0</v>
      </c>
      <c r="R8" s="9">
        <f t="shared" si="4"/>
        <v>0</v>
      </c>
      <c r="S8" s="9">
        <f t="shared" si="5"/>
        <v>0</v>
      </c>
    </row>
    <row r="9" spans="3:19" x14ac:dyDescent="0.15">
      <c r="C9" s="9">
        <f>基础状态预估!D23</f>
        <v>51.024751728602688</v>
      </c>
      <c r="D9" s="9">
        <f>基础状态预估!D46</f>
        <v>49.81327866937707</v>
      </c>
      <c r="E9" s="9">
        <f>基础状态预估!D69</f>
        <v>48.49295716189016</v>
      </c>
      <c r="F9" s="9">
        <f>基础状态预估!D92</f>
        <v>47.007818211309306</v>
      </c>
      <c r="G9" s="9">
        <f>基础状态预估!D115</f>
        <v>45.378719658137989</v>
      </c>
      <c r="H9" s="9">
        <f>门客属性!S10</f>
        <v>6.3201474718548418</v>
      </c>
      <c r="I9" s="9">
        <f>门客属性!S33</f>
        <v>6.3201474718548418</v>
      </c>
      <c r="J9" s="9">
        <f>门客属性!S56</f>
        <v>6.3201474718548418</v>
      </c>
      <c r="K9" s="9">
        <f>门客属性!S79</f>
        <v>6.3201474718548418</v>
      </c>
      <c r="L9" s="9">
        <f>门客属性!S102</f>
        <v>6.3201474718548418</v>
      </c>
      <c r="N9" s="9">
        <v>5</v>
      </c>
      <c r="O9" s="9">
        <f t="shared" si="1"/>
        <v>0</v>
      </c>
      <c r="P9" s="9">
        <f t="shared" si="2"/>
        <v>0</v>
      </c>
      <c r="Q9" s="9">
        <f t="shared" si="3"/>
        <v>0</v>
      </c>
      <c r="R9" s="9">
        <f t="shared" si="4"/>
        <v>0</v>
      </c>
      <c r="S9" s="9">
        <f t="shared" si="5"/>
        <v>0</v>
      </c>
    </row>
    <row r="10" spans="3:19" x14ac:dyDescent="0.15">
      <c r="C10" s="9">
        <f>基础状态预估!D24</f>
        <v>60.108849423225884</v>
      </c>
      <c r="D10" s="9">
        <f>基础状态预估!D47</f>
        <v>58.959670032750353</v>
      </c>
      <c r="E10" s="9">
        <f>基础状态预估!D70</f>
        <v>57.686819122040689</v>
      </c>
      <c r="F10" s="9">
        <f>基础状态预估!D93</f>
        <v>56.279027610646125</v>
      </c>
      <c r="G10" s="9">
        <f>基础状态预估!D116</f>
        <v>54.706384157580409</v>
      </c>
      <c r="H10" s="9">
        <f>门客属性!S11</f>
        <v>9.9344490873097211</v>
      </c>
      <c r="I10" s="9">
        <f>门客属性!S34</f>
        <v>9.9344490873097211</v>
      </c>
      <c r="J10" s="9">
        <f>门客属性!S57</f>
        <v>9.9344490873097211</v>
      </c>
      <c r="K10" s="9">
        <f>门客属性!S80</f>
        <v>9.9344490873097211</v>
      </c>
      <c r="L10" s="9">
        <f>门客属性!S103</f>
        <v>9.9344490873097211</v>
      </c>
      <c r="N10" s="9">
        <v>6</v>
      </c>
      <c r="O10" s="9">
        <f t="shared" si="1"/>
        <v>0</v>
      </c>
      <c r="P10" s="9">
        <f t="shared" si="2"/>
        <v>0</v>
      </c>
      <c r="Q10" s="9">
        <f t="shared" si="3"/>
        <v>0</v>
      </c>
      <c r="R10" s="9">
        <f t="shared" si="4"/>
        <v>0</v>
      </c>
      <c r="S10" s="9">
        <f t="shared" si="5"/>
        <v>0</v>
      </c>
    </row>
    <row r="11" spans="3:19" x14ac:dyDescent="0.15">
      <c r="C11" s="9">
        <f>基础状态预估!D25</f>
        <v>68.617325920549462</v>
      </c>
      <c r="D11" s="9">
        <f>基础状态预估!D48</f>
        <v>67.444013295864096</v>
      </c>
      <c r="E11" s="9">
        <f>基础状态预估!D71</f>
        <v>66.152018816255293</v>
      </c>
      <c r="F11" s="9">
        <f>基础状态预估!D94</f>
        <v>64.756218484668864</v>
      </c>
      <c r="G11" s="9">
        <f>基础状态预估!D117</f>
        <v>63.227467500622204</v>
      </c>
      <c r="H11" s="9">
        <f>门客属性!S12</f>
        <v>13.934349785380476</v>
      </c>
      <c r="I11" s="9">
        <f>门客属性!S35</f>
        <v>13.934349785380476</v>
      </c>
      <c r="J11" s="9">
        <f>门客属性!S58</f>
        <v>13.934349785380476</v>
      </c>
      <c r="K11" s="9">
        <f>门客属性!S81</f>
        <v>13.934349785380476</v>
      </c>
      <c r="L11" s="9">
        <f>门客属性!S104</f>
        <v>13.934349785380476</v>
      </c>
      <c r="N11" s="9">
        <v>7</v>
      </c>
      <c r="O11" s="9">
        <f t="shared" si="1"/>
        <v>0</v>
      </c>
      <c r="P11" s="9">
        <f t="shared" si="2"/>
        <v>0</v>
      </c>
      <c r="Q11" s="9">
        <f t="shared" si="3"/>
        <v>0</v>
      </c>
      <c r="R11" s="9">
        <f t="shared" si="4"/>
        <v>0</v>
      </c>
      <c r="S11" s="9">
        <f t="shared" si="5"/>
        <v>0</v>
      </c>
    </row>
    <row r="12" spans="3:19" x14ac:dyDescent="0.15">
      <c r="C12" s="9">
        <f>基础状态预估!D26</f>
        <v>77.137764615612369</v>
      </c>
      <c r="D12" s="9">
        <f>基础状态预估!D49</f>
        <v>76.018081402346411</v>
      </c>
      <c r="E12" s="9">
        <f>基础状态预估!D72</f>
        <v>74.771148405180824</v>
      </c>
      <c r="F12" s="9">
        <f>基础状态预估!D95</f>
        <v>73.446658299619131</v>
      </c>
      <c r="G12" s="9">
        <f>基础状态预估!D118</f>
        <v>71.964465094771541</v>
      </c>
      <c r="H12" s="9">
        <f>门客属性!S13</f>
        <v>16</v>
      </c>
      <c r="I12" s="9">
        <f>门客属性!S36</f>
        <v>16</v>
      </c>
      <c r="J12" s="9">
        <f>门客属性!S59</f>
        <v>16</v>
      </c>
      <c r="K12" s="9">
        <f>门客属性!S82</f>
        <v>16</v>
      </c>
      <c r="L12" s="9">
        <f>门客属性!S105</f>
        <v>16</v>
      </c>
      <c r="N12" s="9">
        <v>8</v>
      </c>
      <c r="O12" s="9">
        <f t="shared" si="1"/>
        <v>0</v>
      </c>
      <c r="P12" s="9">
        <f t="shared" si="2"/>
        <v>0</v>
      </c>
      <c r="Q12" s="9">
        <f t="shared" si="3"/>
        <v>0</v>
      </c>
      <c r="R12" s="9">
        <f t="shared" si="4"/>
        <v>0</v>
      </c>
      <c r="S12" s="9">
        <f t="shared" si="5"/>
        <v>0</v>
      </c>
    </row>
    <row r="13" spans="3:19" x14ac:dyDescent="0.15">
      <c r="C13" s="9">
        <f>基础状态预估!D27</f>
        <v>85.643863186592412</v>
      </c>
      <c r="D13" s="9">
        <f>基础状态预估!D50</f>
        <v>84.53544812855209</v>
      </c>
      <c r="E13" s="9">
        <f>基础状态预估!D73</f>
        <v>83.32493049129468</v>
      </c>
      <c r="F13" s="9">
        <f>基础状态预估!D96</f>
        <v>82.027450452783569</v>
      </c>
      <c r="G13" s="9">
        <f>基础状态预估!D119</f>
        <v>80.54663523468885</v>
      </c>
      <c r="H13" s="9">
        <f>门客属性!S14</f>
        <v>18</v>
      </c>
      <c r="I13" s="9">
        <f>门客属性!S37</f>
        <v>18</v>
      </c>
      <c r="J13" s="9">
        <f>门客属性!S60</f>
        <v>18</v>
      </c>
      <c r="K13" s="9">
        <f>门客属性!S83</f>
        <v>18</v>
      </c>
      <c r="L13" s="9">
        <f>门客属性!S106</f>
        <v>18</v>
      </c>
      <c r="N13" s="9">
        <v>9</v>
      </c>
      <c r="O13" s="9">
        <f t="shared" si="1"/>
        <v>0</v>
      </c>
      <c r="P13" s="9">
        <f t="shared" si="2"/>
        <v>0</v>
      </c>
      <c r="Q13" s="9">
        <f t="shared" si="3"/>
        <v>0</v>
      </c>
      <c r="R13" s="9">
        <f t="shared" si="4"/>
        <v>0</v>
      </c>
      <c r="S13" s="9">
        <f t="shared" si="5"/>
        <v>0</v>
      </c>
    </row>
    <row r="14" spans="3:19" x14ac:dyDescent="0.15">
      <c r="C14" s="9">
        <f>基础状态预估!D28</f>
        <v>96.265821375882837</v>
      </c>
      <c r="D14" s="9">
        <f>基础状态预估!D51</f>
        <v>95.320056465518832</v>
      </c>
      <c r="E14" s="9">
        <f>基础状态预估!D74</f>
        <v>94.309081972684396</v>
      </c>
      <c r="F14" s="9">
        <f>基础状态预估!D97</f>
        <v>93.208444061349098</v>
      </c>
      <c r="G14" s="9">
        <f>基础状态预估!D120</f>
        <v>92.03038330510195</v>
      </c>
      <c r="H14" s="9">
        <f>门客属性!S15</f>
        <v>20</v>
      </c>
      <c r="I14" s="9">
        <f>门客属性!S38</f>
        <v>20</v>
      </c>
      <c r="J14" s="9">
        <f>门客属性!S61</f>
        <v>20</v>
      </c>
      <c r="K14" s="9">
        <f>门客属性!S84</f>
        <v>20</v>
      </c>
      <c r="L14" s="9">
        <f>门客属性!S107</f>
        <v>20</v>
      </c>
      <c r="N14" s="9">
        <v>10</v>
      </c>
      <c r="O14" s="9">
        <f t="shared" si="1"/>
        <v>0</v>
      </c>
      <c r="P14" s="9">
        <f t="shared" si="2"/>
        <v>0</v>
      </c>
      <c r="Q14" s="9">
        <f t="shared" si="3"/>
        <v>0</v>
      </c>
      <c r="R14" s="9">
        <f t="shared" si="4"/>
        <v>0</v>
      </c>
      <c r="S14" s="9">
        <f t="shared" si="5"/>
        <v>0</v>
      </c>
    </row>
    <row r="15" spans="3:19" x14ac:dyDescent="0.15">
      <c r="C15" s="9">
        <f>基础状态预估!D29</f>
        <v>106.86832874572353</v>
      </c>
      <c r="D15" s="9">
        <f>基础状态预估!D52</f>
        <v>105.93060744042049</v>
      </c>
      <c r="E15" s="9">
        <f>基础状态预估!D75</f>
        <v>104.93378702762401</v>
      </c>
      <c r="F15" s="9">
        <f>基础状态预估!D98</f>
        <v>103.87052361677672</v>
      </c>
      <c r="G15" s="9">
        <f>基础状态预估!D121</f>
        <v>102.71853803916484</v>
      </c>
      <c r="H15" s="9">
        <f>门客属性!S16</f>
        <v>22</v>
      </c>
      <c r="I15" s="9">
        <f>门客属性!S39</f>
        <v>22</v>
      </c>
      <c r="J15" s="9">
        <f>门客属性!S62</f>
        <v>22</v>
      </c>
      <c r="K15" s="9">
        <f>门客属性!S85</f>
        <v>22</v>
      </c>
      <c r="L15" s="9">
        <f>门客属性!S108</f>
        <v>22</v>
      </c>
      <c r="N15" s="9">
        <v>11</v>
      </c>
      <c r="O15" s="9">
        <f t="shared" si="1"/>
        <v>0</v>
      </c>
      <c r="P15" s="9">
        <f t="shared" si="2"/>
        <v>0</v>
      </c>
      <c r="Q15" s="9">
        <f t="shared" si="3"/>
        <v>0</v>
      </c>
      <c r="R15" s="9">
        <f t="shared" si="4"/>
        <v>0</v>
      </c>
      <c r="S15" s="9">
        <f t="shared" si="5"/>
        <v>0</v>
      </c>
    </row>
    <row r="16" spans="3:19" x14ac:dyDescent="0.15">
      <c r="C16" s="9">
        <f>基础状态预估!D30</f>
        <v>117.44125295293078</v>
      </c>
      <c r="D16" s="9">
        <f>基础状态预估!D53</f>
        <v>116.57008716694446</v>
      </c>
      <c r="E16" s="9">
        <f>基础状态预估!D76</f>
        <v>115.63935175516689</v>
      </c>
      <c r="F16" s="9">
        <f>基础状态预估!D99</f>
        <v>114.60606674176169</v>
      </c>
      <c r="G16" s="9">
        <f>基础状态预估!D122</f>
        <v>113.4549371467006</v>
      </c>
      <c r="H16" s="9">
        <f>门客属性!S17</f>
        <v>24</v>
      </c>
      <c r="I16" s="9">
        <f>门客属性!S40</f>
        <v>24</v>
      </c>
      <c r="J16" s="9">
        <f>门客属性!S63</f>
        <v>24</v>
      </c>
      <c r="K16" s="9">
        <f>门客属性!S86</f>
        <v>24</v>
      </c>
      <c r="L16" s="9">
        <f>门客属性!S109</f>
        <v>24</v>
      </c>
      <c r="N16" s="9">
        <v>12</v>
      </c>
      <c r="O16" s="9">
        <f t="shared" si="1"/>
        <v>0</v>
      </c>
      <c r="P16" s="9">
        <f t="shared" si="2"/>
        <v>0</v>
      </c>
      <c r="Q16" s="9">
        <f t="shared" si="3"/>
        <v>0</v>
      </c>
      <c r="R16" s="9">
        <f t="shared" si="4"/>
        <v>0</v>
      </c>
      <c r="S16" s="9">
        <f t="shared" si="5"/>
        <v>0</v>
      </c>
    </row>
    <row r="17" spans="3:19" x14ac:dyDescent="0.15">
      <c r="C17" s="9">
        <f>基础状态预估!D31</f>
        <v>128.00586023511804</v>
      </c>
      <c r="D17" s="9">
        <f>基础状态预估!D54</f>
        <v>127.12838978012395</v>
      </c>
      <c r="E17" s="9">
        <f>基础状态预估!D77</f>
        <v>126.19151638854794</v>
      </c>
      <c r="F17" s="9">
        <f>基础状态预估!D100</f>
        <v>125.19410714767859</v>
      </c>
      <c r="G17" s="9">
        <f>基础状态预估!D123</f>
        <v>124.11624751239822</v>
      </c>
      <c r="H17" s="9">
        <f>门客属性!S18</f>
        <v>26</v>
      </c>
      <c r="I17" s="9">
        <f>门客属性!S41</f>
        <v>26</v>
      </c>
      <c r="J17" s="9">
        <f>门客属性!S64</f>
        <v>26</v>
      </c>
      <c r="K17" s="9">
        <f>门客属性!S87</f>
        <v>26</v>
      </c>
      <c r="L17" s="9">
        <f>门客属性!S110</f>
        <v>26</v>
      </c>
      <c r="N17" s="9">
        <v>13</v>
      </c>
      <c r="O17" s="9">
        <f t="shared" si="1"/>
        <v>0</v>
      </c>
      <c r="P17" s="9">
        <f t="shared" si="2"/>
        <v>0</v>
      </c>
      <c r="Q17" s="9">
        <f t="shared" si="3"/>
        <v>0</v>
      </c>
      <c r="R17" s="9">
        <f t="shared" si="4"/>
        <v>0</v>
      </c>
      <c r="S17" s="9">
        <f t="shared" si="5"/>
        <v>0</v>
      </c>
    </row>
    <row r="18" spans="3:19" x14ac:dyDescent="0.15">
      <c r="C18" s="9">
        <f>基础状态预估!D32</f>
        <v>138.53345528648683</v>
      </c>
      <c r="D18" s="9">
        <f>基础状态预估!D55</f>
        <v>137.70627422196659</v>
      </c>
      <c r="E18" s="9">
        <f>基础状态预估!D78</f>
        <v>136.8190741194654</v>
      </c>
      <c r="F18" s="9">
        <f>基础状态预估!D101</f>
        <v>135.89542876835631</v>
      </c>
      <c r="G18" s="9">
        <f>基础状态预估!D124</f>
        <v>134.91256595481366</v>
      </c>
      <c r="H18" s="9">
        <f>门客属性!S19</f>
        <v>28</v>
      </c>
      <c r="I18" s="9">
        <f>门客属性!S42</f>
        <v>28</v>
      </c>
      <c r="J18" s="9">
        <f>门客属性!S65</f>
        <v>28</v>
      </c>
      <c r="K18" s="9">
        <f>门客属性!S88</f>
        <v>28</v>
      </c>
      <c r="L18" s="9">
        <f>门客属性!S111</f>
        <v>28</v>
      </c>
      <c r="N18" s="9">
        <v>14</v>
      </c>
      <c r="O18" s="9">
        <f t="shared" si="1"/>
        <v>0</v>
      </c>
      <c r="P18" s="9">
        <f t="shared" si="2"/>
        <v>0</v>
      </c>
      <c r="Q18" s="9">
        <f t="shared" si="3"/>
        <v>0</v>
      </c>
      <c r="R18" s="9">
        <f t="shared" si="4"/>
        <v>0</v>
      </c>
      <c r="S18" s="9">
        <f t="shared" si="5"/>
        <v>0</v>
      </c>
    </row>
    <row r="19" spans="3:19" x14ac:dyDescent="0.15">
      <c r="C19" s="9">
        <f>基础状态预估!D33</f>
        <v>149.05713970651243</v>
      </c>
      <c r="D19" s="9">
        <f>基础状态预估!D56</f>
        <v>148.27357279823164</v>
      </c>
      <c r="E19" s="9">
        <f>基础状态预估!D79</f>
        <v>147.45018844840658</v>
      </c>
      <c r="F19" s="9">
        <f>基础状态预估!D102</f>
        <v>146.55064673623977</v>
      </c>
      <c r="G19" s="9">
        <f>基础状态预估!D125</f>
        <v>145.53468456757108</v>
      </c>
      <c r="H19" s="9">
        <f>门客属性!S20</f>
        <v>30</v>
      </c>
      <c r="I19" s="9">
        <f>门客属性!S43</f>
        <v>30</v>
      </c>
      <c r="J19" s="9">
        <f>门客属性!S66</f>
        <v>30</v>
      </c>
      <c r="K19" s="9">
        <f>门客属性!S89</f>
        <v>30</v>
      </c>
      <c r="L19" s="9">
        <f>门客属性!S112</f>
        <v>30</v>
      </c>
      <c r="N19" s="9">
        <v>15</v>
      </c>
      <c r="O19" s="9">
        <f t="shared" si="1"/>
        <v>0</v>
      </c>
      <c r="P19" s="9">
        <f t="shared" si="2"/>
        <v>0</v>
      </c>
      <c r="Q19" s="9">
        <f t="shared" si="3"/>
        <v>0</v>
      </c>
      <c r="R19" s="9">
        <f t="shared" si="4"/>
        <v>0</v>
      </c>
      <c r="S19" s="9">
        <f t="shared" si="5"/>
        <v>0.72227576862466292</v>
      </c>
    </row>
    <row r="20" spans="3:19" x14ac:dyDescent="0.15">
      <c r="C20" s="9">
        <f>基础状态预估!D34</f>
        <v>155.35264798579232</v>
      </c>
      <c r="D20" s="9">
        <f>基础状态预估!D57</f>
        <v>154.14666602127767</v>
      </c>
      <c r="E20" s="9">
        <f>基础状态预估!D80</f>
        <v>153.14946182958477</v>
      </c>
      <c r="F20" s="9">
        <f>基础状态预估!D103</f>
        <v>152.12605579164665</v>
      </c>
      <c r="G20" s="9">
        <f>基础状态预估!D126</f>
        <v>151.0810487166913</v>
      </c>
      <c r="H20" s="9">
        <f>门客属性!S21</f>
        <v>32</v>
      </c>
      <c r="I20" s="9">
        <f>门客属性!S44</f>
        <v>32</v>
      </c>
      <c r="J20" s="9">
        <f>门客属性!S67</f>
        <v>32</v>
      </c>
      <c r="K20" s="9">
        <f>门客属性!S90</f>
        <v>32</v>
      </c>
      <c r="L20" s="9">
        <f>门客属性!S113</f>
        <v>32</v>
      </c>
      <c r="N20" s="9">
        <v>16</v>
      </c>
      <c r="O20" s="9">
        <f t="shared" si="1"/>
        <v>0</v>
      </c>
      <c r="P20" s="9">
        <f t="shared" si="2"/>
        <v>0</v>
      </c>
      <c r="Q20" s="9">
        <f t="shared" si="3"/>
        <v>0</v>
      </c>
      <c r="R20" s="9">
        <f t="shared" si="4"/>
        <v>0.73048642318876911</v>
      </c>
      <c r="S20" s="9">
        <f t="shared" si="5"/>
        <v>0.84695850015291863</v>
      </c>
    </row>
    <row r="21" spans="3:19" x14ac:dyDescent="0.15">
      <c r="N21" s="9">
        <v>17</v>
      </c>
      <c r="O21" s="9">
        <f t="shared" si="1"/>
        <v>0</v>
      </c>
      <c r="P21" s="9">
        <f t="shared" si="2"/>
        <v>0</v>
      </c>
      <c r="Q21" s="9">
        <f t="shared" si="3"/>
        <v>0.73312625684687238</v>
      </c>
      <c r="R21" s="9">
        <f t="shared" si="4"/>
        <v>0.85024499192849479</v>
      </c>
      <c r="S21" s="9">
        <f t="shared" si="5"/>
        <v>0.97164123168117422</v>
      </c>
    </row>
    <row r="22" spans="3:19" x14ac:dyDescent="0.15">
      <c r="N22" s="9">
        <v>18</v>
      </c>
      <c r="O22" s="9">
        <f t="shared" si="1"/>
        <v>0</v>
      </c>
      <c r="P22" s="9">
        <f t="shared" si="2"/>
        <v>0.74614379224635441</v>
      </c>
      <c r="Q22" s="9">
        <f t="shared" si="3"/>
        <v>0.84913340446127417</v>
      </c>
      <c r="R22" s="9">
        <f t="shared" si="4"/>
        <v>0.97000356066822047</v>
      </c>
      <c r="S22" s="9">
        <f t="shared" si="5"/>
        <v>1.0963239632094299</v>
      </c>
    </row>
    <row r="23" spans="3:19" x14ac:dyDescent="0.15">
      <c r="N23" s="9">
        <v>19</v>
      </c>
      <c r="O23" s="9">
        <f t="shared" si="1"/>
        <v>0.76566173887674893</v>
      </c>
      <c r="P23" s="9">
        <f t="shared" si="2"/>
        <v>0.85806094078539741</v>
      </c>
      <c r="Q23" s="9">
        <f t="shared" si="3"/>
        <v>0.96514055207567595</v>
      </c>
      <c r="R23" s="9">
        <f t="shared" si="4"/>
        <v>1.089762129407946</v>
      </c>
      <c r="S23" s="9">
        <f t="shared" si="5"/>
        <v>1.2210066947376856</v>
      </c>
    </row>
    <row r="24" spans="3:19" x14ac:dyDescent="0.15">
      <c r="N24" s="9">
        <v>20</v>
      </c>
      <c r="O24" s="9">
        <f t="shared" si="1"/>
        <v>0.87465165511013843</v>
      </c>
      <c r="P24" s="9">
        <f t="shared" si="2"/>
        <v>0.96997808932444052</v>
      </c>
      <c r="Q24" s="9">
        <f t="shared" si="3"/>
        <v>1.0811476996900777</v>
      </c>
      <c r="R24" s="9">
        <f t="shared" si="4"/>
        <v>1.2095206981476718</v>
      </c>
      <c r="S24" s="9">
        <f t="shared" si="5"/>
        <v>1.3455113592530292</v>
      </c>
    </row>
    <row r="25" spans="3:19" x14ac:dyDescent="0.15">
      <c r="N25" s="9">
        <v>21</v>
      </c>
      <c r="O25" s="9">
        <f t="shared" si="1"/>
        <v>0.98364157134352803</v>
      </c>
      <c r="P25" s="9">
        <f t="shared" si="2"/>
        <v>1.0818952378634836</v>
      </c>
      <c r="Q25" s="9">
        <f t="shared" si="3"/>
        <v>1.1971548473044795</v>
      </c>
      <c r="R25" s="9">
        <f t="shared" si="4"/>
        <v>1.3292792668873976</v>
      </c>
      <c r="S25" s="9">
        <f t="shared" si="5"/>
        <v>1.4516422069629165</v>
      </c>
    </row>
    <row r="26" spans="3:19" x14ac:dyDescent="0.15">
      <c r="N26" s="9">
        <v>22</v>
      </c>
      <c r="O26" s="9">
        <f t="shared" si="1"/>
        <v>1.0926314875769174</v>
      </c>
      <c r="P26" s="9">
        <f t="shared" si="2"/>
        <v>1.1938123864025267</v>
      </c>
      <c r="Q26" s="9">
        <f t="shared" si="3"/>
        <v>1.3131619949188813</v>
      </c>
      <c r="R26" s="9">
        <f t="shared" si="4"/>
        <v>1.4349897540992431</v>
      </c>
      <c r="S26" s="9">
        <f t="shared" si="5"/>
        <v>1.5577730546728037</v>
      </c>
    </row>
    <row r="27" spans="3:19" x14ac:dyDescent="0.15">
      <c r="N27" s="9">
        <v>23</v>
      </c>
      <c r="O27" s="9">
        <f t="shared" si="1"/>
        <v>1.201621403810307</v>
      </c>
      <c r="P27" s="9">
        <f t="shared" si="2"/>
        <v>1.3057295349415696</v>
      </c>
      <c r="Q27" s="9">
        <f t="shared" si="3"/>
        <v>1.4184128231524511</v>
      </c>
      <c r="R27" s="9">
        <f t="shared" si="4"/>
        <v>1.538655964075814</v>
      </c>
      <c r="S27" s="9">
        <f t="shared" si="5"/>
        <v>1.6639039023826909</v>
      </c>
    </row>
    <row r="28" spans="3:19" x14ac:dyDescent="0.15">
      <c r="N28" s="9">
        <v>24</v>
      </c>
      <c r="O28" s="9">
        <f t="shared" si="1"/>
        <v>1.3106113200436966</v>
      </c>
      <c r="P28" s="9">
        <f t="shared" si="2"/>
        <v>1.4094910635721516</v>
      </c>
      <c r="Q28" s="9">
        <f t="shared" si="3"/>
        <v>1.519683763021819</v>
      </c>
      <c r="R28" s="9">
        <f t="shared" si="4"/>
        <v>1.6423221740523848</v>
      </c>
      <c r="S28" s="9">
        <f t="shared" si="5"/>
        <v>1.7700347500925782</v>
      </c>
    </row>
    <row r="29" spans="3:19" x14ac:dyDescent="0.15">
      <c r="N29" s="9">
        <v>25</v>
      </c>
      <c r="O29" s="9">
        <f t="shared" si="1"/>
        <v>1.4116808407808805</v>
      </c>
      <c r="P29" s="9">
        <f t="shared" si="2"/>
        <v>1.5089310585428695</v>
      </c>
      <c r="Q29" s="9">
        <f t="shared" si="3"/>
        <v>1.6209547028911868</v>
      </c>
      <c r="R29" s="9">
        <f t="shared" si="4"/>
        <v>1.7459883840289556</v>
      </c>
      <c r="S29" s="9">
        <f t="shared" si="5"/>
        <v>1.8761655978024654</v>
      </c>
    </row>
    <row r="30" spans="3:19" x14ac:dyDescent="0.15">
      <c r="N30" s="9">
        <v>26</v>
      </c>
      <c r="O30" s="9">
        <f t="shared" si="1"/>
        <v>1.509177482553377</v>
      </c>
      <c r="P30" s="9">
        <f t="shared" si="2"/>
        <v>1.6083710535135873</v>
      </c>
      <c r="Q30" s="9">
        <f t="shared" si="3"/>
        <v>1.7222256427605549</v>
      </c>
      <c r="R30" s="9">
        <f t="shared" si="4"/>
        <v>1.8496545940055262</v>
      </c>
      <c r="S30" s="9">
        <f t="shared" si="5"/>
        <v>1.9822964455123526</v>
      </c>
    </row>
    <row r="31" spans="3:19" x14ac:dyDescent="0.15">
      <c r="N31" s="9">
        <v>27</v>
      </c>
      <c r="O31" s="9">
        <f t="shared" si="1"/>
        <v>1.6066741243258735</v>
      </c>
      <c r="P31" s="9">
        <f t="shared" si="2"/>
        <v>1.7078110484843054</v>
      </c>
      <c r="Q31" s="9">
        <f t="shared" si="3"/>
        <v>1.8234965826299228</v>
      </c>
      <c r="R31" s="9">
        <f t="shared" si="4"/>
        <v>1.9533208039820971</v>
      </c>
      <c r="S31" s="9">
        <f t="shared" si="5"/>
        <v>2.0884272932222396</v>
      </c>
    </row>
    <row r="32" spans="3:19" x14ac:dyDescent="0.15">
      <c r="N32" s="9">
        <v>28</v>
      </c>
      <c r="O32" s="9">
        <f t="shared" si="1"/>
        <v>1.70417076609837</v>
      </c>
      <c r="P32" s="9">
        <f t="shared" si="2"/>
        <v>1.8072510434550233</v>
      </c>
      <c r="Q32" s="9">
        <f t="shared" si="3"/>
        <v>1.9247675224992906</v>
      </c>
      <c r="R32" s="9">
        <f t="shared" si="4"/>
        <v>2.0569870139586679</v>
      </c>
      <c r="S32" s="9">
        <f t="shared" si="5"/>
        <v>2.1959377298834619</v>
      </c>
    </row>
    <row r="33" spans="14:19" x14ac:dyDescent="0.15">
      <c r="N33" s="9">
        <v>29</v>
      </c>
      <c r="O33" s="9">
        <f t="shared" si="1"/>
        <v>1.8016674078708665</v>
      </c>
      <c r="P33" s="9">
        <f t="shared" si="2"/>
        <v>1.9066910384257412</v>
      </c>
      <c r="Q33" s="9">
        <f t="shared" si="3"/>
        <v>2.0260384623686587</v>
      </c>
      <c r="R33" s="9">
        <f t="shared" si="4"/>
        <v>2.1606532239352387</v>
      </c>
      <c r="S33" s="9">
        <f t="shared" si="5"/>
        <v>2.3318626818314603</v>
      </c>
    </row>
    <row r="34" spans="14:19" x14ac:dyDescent="0.15">
      <c r="N34" s="9">
        <v>30</v>
      </c>
      <c r="O34" s="9">
        <f t="shared" si="1"/>
        <v>1.8991640496433631</v>
      </c>
      <c r="P34" s="9">
        <f t="shared" si="2"/>
        <v>2.0061310333964588</v>
      </c>
      <c r="Q34" s="9">
        <f t="shared" si="3"/>
        <v>2.1273094022380263</v>
      </c>
      <c r="R34" s="9">
        <f t="shared" si="4"/>
        <v>2.2847064555329326</v>
      </c>
      <c r="S34" s="9">
        <f t="shared" si="5"/>
        <v>2.4677876337794586</v>
      </c>
    </row>
    <row r="35" spans="14:19" x14ac:dyDescent="0.15">
      <c r="N35" s="9">
        <v>31</v>
      </c>
      <c r="O35" s="9">
        <f t="shared" si="1"/>
        <v>1.9966606914158596</v>
      </c>
      <c r="P35" s="9">
        <f t="shared" si="2"/>
        <v>2.1055710283671769</v>
      </c>
      <c r="Q35" s="9">
        <f t="shared" si="3"/>
        <v>2.23984394466809</v>
      </c>
      <c r="R35" s="9">
        <f t="shared" si="4"/>
        <v>2.4166743553964523</v>
      </c>
      <c r="S35" s="9">
        <f t="shared" si="5"/>
        <v>2.6037125857274566</v>
      </c>
    </row>
    <row r="36" spans="14:19" x14ac:dyDescent="0.15">
      <c r="N36" s="9">
        <v>32</v>
      </c>
      <c r="O36" s="9">
        <f t="shared" si="1"/>
        <v>2.0941573331883561</v>
      </c>
      <c r="P36" s="9">
        <f t="shared" si="2"/>
        <v>2.2096606155337946</v>
      </c>
      <c r="Q36" s="9">
        <f t="shared" si="3"/>
        <v>2.3704106815675359</v>
      </c>
      <c r="R36" s="9">
        <f t="shared" si="4"/>
        <v>2.5486422552599715</v>
      </c>
      <c r="S36" s="9">
        <f t="shared" si="5"/>
        <v>2.7396375376754549</v>
      </c>
    </row>
    <row r="37" spans="14:19" x14ac:dyDescent="0.15">
      <c r="N37" s="9">
        <v>33</v>
      </c>
      <c r="O37" s="9">
        <f t="shared" si="1"/>
        <v>2.1923066668673052</v>
      </c>
      <c r="P37" s="9">
        <f t="shared" si="2"/>
        <v>2.3391878207756189</v>
      </c>
      <c r="Q37" s="9">
        <f t="shared" si="3"/>
        <v>2.5009774184669813</v>
      </c>
      <c r="R37" s="9">
        <f t="shared" si="4"/>
        <v>2.6806101551234911</v>
      </c>
      <c r="S37" s="9">
        <f t="shared" si="5"/>
        <v>2.8755624896234533</v>
      </c>
    </row>
    <row r="38" spans="14:19" x14ac:dyDescent="0.15">
      <c r="N38" s="9">
        <v>34</v>
      </c>
      <c r="O38" s="9">
        <f t="shared" si="1"/>
        <v>2.3214606526271355</v>
      </c>
      <c r="P38" s="9">
        <f t="shared" si="2"/>
        <v>2.4687150260174429</v>
      </c>
      <c r="Q38" s="9">
        <f t="shared" si="3"/>
        <v>2.6315441553664272</v>
      </c>
      <c r="R38" s="9">
        <f t="shared" si="4"/>
        <v>2.8125780549870107</v>
      </c>
      <c r="S38" s="9">
        <f t="shared" si="5"/>
        <v>3.0114874415714512</v>
      </c>
    </row>
    <row r="39" spans="14:19" x14ac:dyDescent="0.15">
      <c r="N39" s="9">
        <v>35</v>
      </c>
      <c r="O39" s="9">
        <f t="shared" si="1"/>
        <v>2.4506146383869658</v>
      </c>
      <c r="P39" s="9">
        <f t="shared" si="2"/>
        <v>2.5982422312592672</v>
      </c>
      <c r="Q39" s="9">
        <f t="shared" si="3"/>
        <v>2.7621108922658726</v>
      </c>
      <c r="R39" s="9">
        <f t="shared" si="4"/>
        <v>2.9445459548505304</v>
      </c>
      <c r="S39" s="9">
        <f t="shared" si="5"/>
        <v>3.1474123935194496</v>
      </c>
    </row>
    <row r="40" spans="14:19" x14ac:dyDescent="0.15">
      <c r="N40" s="9">
        <v>36</v>
      </c>
      <c r="O40" s="9">
        <f t="shared" si="1"/>
        <v>2.5797686241467961</v>
      </c>
      <c r="P40" s="9">
        <f t="shared" si="2"/>
        <v>2.7277694365010916</v>
      </c>
      <c r="Q40" s="9">
        <f t="shared" si="3"/>
        <v>2.8926776291653185</v>
      </c>
      <c r="R40" s="9">
        <f t="shared" si="4"/>
        <v>3.07651385471405</v>
      </c>
      <c r="S40" s="9">
        <f t="shared" si="5"/>
        <v>3.2833373454674479</v>
      </c>
    </row>
    <row r="41" spans="14:19" x14ac:dyDescent="0.15">
      <c r="N41" s="9">
        <v>37</v>
      </c>
      <c r="O41" s="9">
        <f t="shared" si="1"/>
        <v>2.7089226099066259</v>
      </c>
      <c r="P41" s="9">
        <f t="shared" si="2"/>
        <v>2.857296641742916</v>
      </c>
      <c r="Q41" s="9">
        <f t="shared" si="3"/>
        <v>3.0232443660647643</v>
      </c>
      <c r="R41" s="9">
        <f t="shared" si="4"/>
        <v>3.2084817545775697</v>
      </c>
      <c r="S41" s="9">
        <f t="shared" si="5"/>
        <v>3.5231967615691722</v>
      </c>
    </row>
    <row r="42" spans="14:19" x14ac:dyDescent="0.15">
      <c r="N42" s="9">
        <v>38</v>
      </c>
      <c r="O42" s="9">
        <f t="shared" si="1"/>
        <v>2.8380765956664562</v>
      </c>
      <c r="P42" s="9">
        <f t="shared" si="2"/>
        <v>2.9868238469847403</v>
      </c>
      <c r="Q42" s="9">
        <f t="shared" si="3"/>
        <v>3.1538111029642097</v>
      </c>
      <c r="R42" s="9">
        <f t="shared" si="4"/>
        <v>3.3404496544410893</v>
      </c>
      <c r="S42" s="9">
        <f t="shared" si="5"/>
        <v>3.8570127650165578</v>
      </c>
    </row>
    <row r="43" spans="14:19" x14ac:dyDescent="0.15">
      <c r="N43" s="9">
        <v>39</v>
      </c>
      <c r="O43" s="9">
        <f t="shared" si="1"/>
        <v>2.9672305814262865</v>
      </c>
      <c r="P43" s="9">
        <f t="shared" si="2"/>
        <v>3.1163510522265643</v>
      </c>
      <c r="Q43" s="9">
        <f t="shared" si="3"/>
        <v>3.2843778398636552</v>
      </c>
      <c r="R43" s="9">
        <f t="shared" si="4"/>
        <v>3.661234852754375</v>
      </c>
      <c r="S43" s="9">
        <f t="shared" si="5"/>
        <v>4.1908287684639438</v>
      </c>
    </row>
    <row r="44" spans="14:19" x14ac:dyDescent="0.15">
      <c r="N44" s="9">
        <v>40</v>
      </c>
      <c r="O44" s="9">
        <f t="shared" si="1"/>
        <v>3.0963845671861163</v>
      </c>
      <c r="P44" s="9">
        <f t="shared" si="2"/>
        <v>3.2458782574683891</v>
      </c>
      <c r="Q44" s="9">
        <f t="shared" si="3"/>
        <v>3.5173969842597947</v>
      </c>
      <c r="R44" s="9">
        <f t="shared" si="4"/>
        <v>3.9932744356891288</v>
      </c>
      <c r="S44" s="9">
        <f t="shared" si="5"/>
        <v>4.5246447719113299</v>
      </c>
    </row>
    <row r="45" spans="14:19" x14ac:dyDescent="0.15">
      <c r="N45" s="9">
        <v>41</v>
      </c>
      <c r="O45" s="9">
        <f t="shared" si="1"/>
        <v>3.2255385529459466</v>
      </c>
      <c r="P45" s="9">
        <f t="shared" si="2"/>
        <v>3.4178708322468228</v>
      </c>
      <c r="Q45" s="9">
        <f t="shared" si="3"/>
        <v>3.8474057708543663</v>
      </c>
      <c r="R45" s="9">
        <f t="shared" si="4"/>
        <v>4.3253140186238825</v>
      </c>
      <c r="S45" s="9">
        <f t="shared" si="5"/>
        <v>4.858460775358715</v>
      </c>
    </row>
    <row r="46" spans="14:19" x14ac:dyDescent="0.15">
      <c r="N46" s="9">
        <v>42</v>
      </c>
      <c r="O46" s="9">
        <f t="shared" si="1"/>
        <v>3.36516177294952</v>
      </c>
      <c r="P46" s="9">
        <f t="shared" si="2"/>
        <v>3.7471780910417105</v>
      </c>
      <c r="Q46" s="9">
        <f t="shared" si="3"/>
        <v>4.1774145574489374</v>
      </c>
      <c r="R46" s="9">
        <f t="shared" si="4"/>
        <v>4.6573536015586363</v>
      </c>
      <c r="S46" s="9">
        <f t="shared" si="5"/>
        <v>5.1922767788061011</v>
      </c>
    </row>
    <row r="47" spans="14:19" x14ac:dyDescent="0.15">
      <c r="N47" s="9">
        <v>43</v>
      </c>
      <c r="O47" s="9">
        <f t="shared" si="1"/>
        <v>3.6925930184584583</v>
      </c>
      <c r="P47" s="9">
        <f t="shared" si="2"/>
        <v>4.0764853498365987</v>
      </c>
      <c r="Q47" s="9">
        <f t="shared" si="3"/>
        <v>4.5074233440435094</v>
      </c>
      <c r="R47" s="9">
        <f t="shared" si="4"/>
        <v>4.9893931844933892</v>
      </c>
      <c r="S47" s="9">
        <f t="shared" si="5"/>
        <v>5.5260927822534871</v>
      </c>
    </row>
    <row r="48" spans="14:19" x14ac:dyDescent="0.15">
      <c r="N48" s="9">
        <v>44</v>
      </c>
      <c r="O48" s="9">
        <f t="shared" si="1"/>
        <v>4.0200242639673966</v>
      </c>
      <c r="P48" s="9">
        <f t="shared" si="2"/>
        <v>4.4057926086314865</v>
      </c>
      <c r="Q48" s="9">
        <f t="shared" si="3"/>
        <v>4.8374321306380805</v>
      </c>
      <c r="R48" s="9">
        <f t="shared" si="4"/>
        <v>5.321432767428143</v>
      </c>
      <c r="S48" s="9">
        <f t="shared" si="5"/>
        <v>5.8599087857008723</v>
      </c>
    </row>
    <row r="49" spans="14:19" x14ac:dyDescent="0.15">
      <c r="N49" s="9">
        <v>45</v>
      </c>
      <c r="O49" s="9">
        <f t="shared" si="1"/>
        <v>4.347455509476335</v>
      </c>
      <c r="P49" s="9">
        <f t="shared" si="2"/>
        <v>4.7350998674263742</v>
      </c>
      <c r="Q49" s="9">
        <f t="shared" si="3"/>
        <v>5.1674409172326516</v>
      </c>
      <c r="R49" s="9">
        <f t="shared" si="4"/>
        <v>5.6534723503628967</v>
      </c>
      <c r="S49" s="9">
        <f t="shared" si="5"/>
        <v>6.1937247891482583</v>
      </c>
    </row>
    <row r="50" spans="14:19" x14ac:dyDescent="0.15">
      <c r="N50" s="9">
        <v>46</v>
      </c>
      <c r="O50" s="9">
        <f t="shared" si="1"/>
        <v>4.6748867549852733</v>
      </c>
      <c r="P50" s="9">
        <f t="shared" si="2"/>
        <v>5.064407126221262</v>
      </c>
      <c r="Q50" s="9">
        <f t="shared" si="3"/>
        <v>5.4974497038272236</v>
      </c>
      <c r="R50" s="9">
        <f t="shared" si="4"/>
        <v>5.9855119332976496</v>
      </c>
      <c r="S50" s="9">
        <f t="shared" si="5"/>
        <v>6.5608823893013746</v>
      </c>
    </row>
    <row r="51" spans="14:19" x14ac:dyDescent="0.15">
      <c r="N51" s="9">
        <v>47</v>
      </c>
      <c r="O51" s="9">
        <f t="shared" si="1"/>
        <v>5.0023180004942116</v>
      </c>
      <c r="P51" s="9">
        <f t="shared" si="2"/>
        <v>5.3937143850161497</v>
      </c>
      <c r="Q51" s="9">
        <f t="shared" si="3"/>
        <v>5.8274584904217948</v>
      </c>
      <c r="R51" s="9">
        <f t="shared" si="4"/>
        <v>6.3175515162324043</v>
      </c>
      <c r="S51" s="9">
        <f t="shared" si="5"/>
        <v>6.94836433782889</v>
      </c>
    </row>
    <row r="52" spans="14:19" x14ac:dyDescent="0.15">
      <c r="N52" s="9">
        <v>48</v>
      </c>
      <c r="O52" s="9">
        <f t="shared" si="1"/>
        <v>5.3297492460031499</v>
      </c>
      <c r="P52" s="9">
        <f t="shared" si="2"/>
        <v>5.7230216438110375</v>
      </c>
      <c r="Q52" s="9">
        <f t="shared" si="3"/>
        <v>6.1574672770163659</v>
      </c>
      <c r="R52" s="9">
        <f t="shared" si="4"/>
        <v>6.7069410483159881</v>
      </c>
      <c r="S52" s="9">
        <f t="shared" si="5"/>
        <v>7.3358462863564053</v>
      </c>
    </row>
    <row r="53" spans="14:19" x14ac:dyDescent="0.15">
      <c r="N53" s="9">
        <v>49</v>
      </c>
      <c r="O53" s="9">
        <f t="shared" si="1"/>
        <v>5.6571804915120882</v>
      </c>
      <c r="P53" s="9">
        <f t="shared" si="2"/>
        <v>6.0523289026059253</v>
      </c>
      <c r="Q53" s="9">
        <f t="shared" si="3"/>
        <v>6.5194767370568192</v>
      </c>
      <c r="R53" s="9">
        <f t="shared" si="4"/>
        <v>7.0967824875260028</v>
      </c>
      <c r="S53" s="9">
        <f t="shared" si="5"/>
        <v>7.7233282348839207</v>
      </c>
    </row>
    <row r="54" spans="14:19" x14ac:dyDescent="0.15">
      <c r="N54" s="9">
        <v>50</v>
      </c>
      <c r="O54" s="9">
        <f t="shared" si="1"/>
        <v>5.9846117370210266</v>
      </c>
      <c r="P54" s="9">
        <f t="shared" si="2"/>
        <v>6.3939325505923259</v>
      </c>
      <c r="Q54" s="9">
        <f t="shared" si="3"/>
        <v>6.9125978901827363</v>
      </c>
      <c r="R54" s="9">
        <f t="shared" si="4"/>
        <v>7.4866239267360175</v>
      </c>
      <c r="S54" s="9">
        <f t="shared" si="5"/>
        <v>8.1108101834114361</v>
      </c>
    </row>
    <row r="55" spans="14:19" x14ac:dyDescent="0.15">
      <c r="N55" s="9">
        <v>51</v>
      </c>
      <c r="O55" s="9">
        <f t="shared" si="1"/>
        <v>6.3120429825299649</v>
      </c>
      <c r="P55" s="9">
        <f t="shared" si="2"/>
        <v>6.7890940379881473</v>
      </c>
      <c r="Q55" s="9">
        <f t="shared" si="3"/>
        <v>7.3057190433086534</v>
      </c>
      <c r="R55" s="9">
        <f t="shared" si="4"/>
        <v>7.8764653659460322</v>
      </c>
      <c r="S55" s="9">
        <f t="shared" si="5"/>
        <v>8.4982921319389515</v>
      </c>
    </row>
    <row r="56" spans="14:19" x14ac:dyDescent="0.15">
      <c r="N56" s="9">
        <v>52</v>
      </c>
      <c r="O56" s="9">
        <f t="shared" si="1"/>
        <v>6.7081707539984512</v>
      </c>
      <c r="P56" s="9">
        <f t="shared" si="2"/>
        <v>7.1842555253839686</v>
      </c>
      <c r="Q56" s="9">
        <f t="shared" si="3"/>
        <v>7.6988401964345705</v>
      </c>
      <c r="R56" s="9">
        <f t="shared" si="4"/>
        <v>8.2663068051560469</v>
      </c>
      <c r="S56" s="9">
        <f t="shared" si="5"/>
        <v>8.8857740804664669</v>
      </c>
    </row>
    <row r="57" spans="14:19" x14ac:dyDescent="0.15">
      <c r="N57" s="9">
        <v>53</v>
      </c>
      <c r="O57" s="9">
        <f t="shared" si="1"/>
        <v>7.1060420381871001</v>
      </c>
      <c r="P57" s="9">
        <f t="shared" si="2"/>
        <v>7.5794170127797891</v>
      </c>
      <c r="Q57" s="9">
        <f t="shared" si="3"/>
        <v>8.0919613495604885</v>
      </c>
      <c r="R57" s="9">
        <f t="shared" si="4"/>
        <v>8.6561482443660616</v>
      </c>
      <c r="S57" s="9">
        <f t="shared" si="5"/>
        <v>9.2732560289939823</v>
      </c>
    </row>
    <row r="58" spans="14:19" x14ac:dyDescent="0.15">
      <c r="N58" s="9">
        <v>54</v>
      </c>
      <c r="O58" s="9">
        <f t="shared" si="1"/>
        <v>7.503913322375749</v>
      </c>
      <c r="P58" s="9">
        <f t="shared" si="2"/>
        <v>7.9745785001756104</v>
      </c>
      <c r="Q58" s="9">
        <f t="shared" si="3"/>
        <v>8.4850825026864047</v>
      </c>
      <c r="R58" s="9">
        <f t="shared" si="4"/>
        <v>9.0459896835760745</v>
      </c>
      <c r="S58" s="9">
        <f t="shared" si="5"/>
        <v>9.6607379775214959</v>
      </c>
    </row>
    <row r="59" spans="14:19" x14ac:dyDescent="0.15">
      <c r="N59" s="9">
        <v>55</v>
      </c>
      <c r="O59" s="9">
        <f t="shared" si="1"/>
        <v>7.9017846065643988</v>
      </c>
      <c r="P59" s="9">
        <f t="shared" si="2"/>
        <v>8.3697399875714318</v>
      </c>
      <c r="Q59" s="9">
        <f t="shared" si="3"/>
        <v>8.878203655812321</v>
      </c>
      <c r="R59" s="9">
        <f t="shared" si="4"/>
        <v>9.4358311227860892</v>
      </c>
      <c r="S59" s="9">
        <f t="shared" si="5"/>
        <v>10.072275953422677</v>
      </c>
    </row>
    <row r="60" spans="14:19" x14ac:dyDescent="0.15">
      <c r="N60" s="9">
        <v>56</v>
      </c>
      <c r="O60" s="9">
        <f t="shared" si="1"/>
        <v>8.2996558907530478</v>
      </c>
      <c r="P60" s="9">
        <f t="shared" si="2"/>
        <v>8.7649014749672531</v>
      </c>
      <c r="Q60" s="9">
        <f t="shared" si="3"/>
        <v>9.271324808938239</v>
      </c>
      <c r="R60" s="9">
        <f t="shared" si="4"/>
        <v>9.8256725619961038</v>
      </c>
      <c r="S60" s="9">
        <f t="shared" si="5"/>
        <v>10.541688179197585</v>
      </c>
    </row>
    <row r="61" spans="14:19" x14ac:dyDescent="0.15">
      <c r="N61" s="9">
        <v>57</v>
      </c>
      <c r="O61" s="9">
        <f t="shared" si="1"/>
        <v>8.6975271749416976</v>
      </c>
      <c r="P61" s="9">
        <f t="shared" si="2"/>
        <v>9.1600629623630745</v>
      </c>
      <c r="Q61" s="9">
        <f t="shared" si="3"/>
        <v>9.6644459620641552</v>
      </c>
      <c r="R61" s="9">
        <f t="shared" si="4"/>
        <v>10.274634651881989</v>
      </c>
      <c r="S61" s="9">
        <f t="shared" si="5"/>
        <v>11.011100404972495</v>
      </c>
    </row>
    <row r="62" spans="14:19" x14ac:dyDescent="0.15">
      <c r="N62" s="9">
        <v>58</v>
      </c>
      <c r="O62" s="9">
        <f t="shared" si="1"/>
        <v>9.0953984591303474</v>
      </c>
      <c r="P62" s="9">
        <f t="shared" si="2"/>
        <v>9.5552244497588958</v>
      </c>
      <c r="Q62" s="9">
        <f t="shared" si="3"/>
        <v>10.08243052397069</v>
      </c>
      <c r="R62" s="9">
        <f t="shared" si="4"/>
        <v>10.746477359862995</v>
      </c>
      <c r="S62" s="9">
        <f t="shared" si="5"/>
        <v>11.480512630747405</v>
      </c>
    </row>
    <row r="63" spans="14:19" x14ac:dyDescent="0.15">
      <c r="N63" s="9">
        <v>59</v>
      </c>
      <c r="O63" s="9">
        <f t="shared" si="1"/>
        <v>9.4932697433189954</v>
      </c>
      <c r="P63" s="9">
        <f t="shared" si="2"/>
        <v>9.9534624462878245</v>
      </c>
      <c r="Q63" s="9">
        <f t="shared" si="3"/>
        <v>10.554941609657707</v>
      </c>
      <c r="R63" s="9">
        <f t="shared" si="4"/>
        <v>11.218320067844001</v>
      </c>
      <c r="S63" s="9">
        <f t="shared" si="5"/>
        <v>11.949924856522314</v>
      </c>
    </row>
    <row r="64" spans="14:19" x14ac:dyDescent="0.15">
      <c r="N64" s="9">
        <v>60</v>
      </c>
      <c r="O64" s="9">
        <f t="shared" si="1"/>
        <v>9.8911410275076452</v>
      </c>
      <c r="P64" s="9">
        <f t="shared" si="2"/>
        <v>10.424907385987588</v>
      </c>
      <c r="Q64" s="9">
        <f t="shared" si="3"/>
        <v>11.027452695344724</v>
      </c>
      <c r="R64" s="9">
        <f t="shared" si="4"/>
        <v>11.690162775825005</v>
      </c>
      <c r="S64" s="9">
        <f t="shared" si="5"/>
        <v>12.419337082297224</v>
      </c>
    </row>
    <row r="65" spans="14:19" x14ac:dyDescent="0.15">
      <c r="N65" s="9">
        <v>61</v>
      </c>
      <c r="O65" s="9">
        <f t="shared" si="1"/>
        <v>10.353385875258327</v>
      </c>
      <c r="P65" s="9">
        <f t="shared" si="2"/>
        <v>10.896352325687351</v>
      </c>
      <c r="Q65" s="9">
        <f t="shared" si="3"/>
        <v>11.499963781031743</v>
      </c>
      <c r="R65" s="9">
        <f t="shared" si="4"/>
        <v>12.162005483806011</v>
      </c>
      <c r="S65" s="9">
        <f t="shared" si="5"/>
        <v>12.888749308072132</v>
      </c>
    </row>
    <row r="66" spans="14:19" x14ac:dyDescent="0.15">
      <c r="N66" s="9">
        <v>62</v>
      </c>
      <c r="O66" s="9">
        <f t="shared" si="1"/>
        <v>10.823493620085378</v>
      </c>
      <c r="P66" s="9">
        <f t="shared" si="2"/>
        <v>11.367797265387116</v>
      </c>
      <c r="Q66" s="9">
        <f t="shared" si="3"/>
        <v>11.972474866718761</v>
      </c>
      <c r="R66" s="9">
        <f t="shared" si="4"/>
        <v>12.633848191787017</v>
      </c>
      <c r="S66" s="9">
        <f t="shared" si="5"/>
        <v>13.358161533847042</v>
      </c>
    </row>
    <row r="67" spans="14:19" x14ac:dyDescent="0.15">
      <c r="N67" s="9">
        <v>63</v>
      </c>
      <c r="O67" s="9">
        <f t="shared" si="1"/>
        <v>11.29360136491243</v>
      </c>
      <c r="P67" s="9">
        <f t="shared" si="2"/>
        <v>11.83924220508688</v>
      </c>
      <c r="Q67" s="9">
        <f t="shared" si="3"/>
        <v>12.444985952405778</v>
      </c>
      <c r="R67" s="9">
        <f t="shared" si="4"/>
        <v>13.105690899768021</v>
      </c>
      <c r="S67" s="9">
        <f t="shared" si="5"/>
        <v>13.827573759621952</v>
      </c>
    </row>
    <row r="68" spans="14:19" x14ac:dyDescent="0.15">
      <c r="N68" s="9">
        <v>64</v>
      </c>
      <c r="O68" s="9">
        <f t="shared" si="1"/>
        <v>11.76370910973948</v>
      </c>
      <c r="P68" s="9">
        <f t="shared" si="2"/>
        <v>12.310687144786643</v>
      </c>
      <c r="Q68" s="9">
        <f t="shared" si="3"/>
        <v>12.917497038092797</v>
      </c>
      <c r="R68" s="9">
        <f t="shared" si="4"/>
        <v>13.577533607749027</v>
      </c>
      <c r="S68" s="9">
        <f t="shared" si="5"/>
        <v>14.116996273026176</v>
      </c>
    </row>
    <row r="69" spans="14:19" x14ac:dyDescent="0.15">
      <c r="N69" s="9">
        <v>65</v>
      </c>
      <c r="O69" s="9">
        <f t="shared" si="1"/>
        <v>12.233816854566532</v>
      </c>
      <c r="P69" s="9">
        <f t="shared" si="2"/>
        <v>12.782132084486406</v>
      </c>
      <c r="Q69" s="9">
        <f t="shared" si="3"/>
        <v>13.390008123779815</v>
      </c>
      <c r="R69" s="9">
        <f t="shared" si="4"/>
        <v>13.99229476287146</v>
      </c>
      <c r="S69" s="9">
        <f t="shared" si="5"/>
        <v>14.353421909219868</v>
      </c>
    </row>
    <row r="70" spans="14:19" x14ac:dyDescent="0.15">
      <c r="N70" s="9">
        <v>66</v>
      </c>
      <c r="O70" s="9">
        <f t="shared" ref="O70:O104" si="6">IFERROR(求节点(C$5:C$20,H$5:H$20,$N70),0)</f>
        <v>12.703924599393583</v>
      </c>
      <c r="P70" s="9">
        <f t="shared" ref="P70:P104" si="7">IFERROR(求节点(D$5:D$20,I$5:I$20,$N70),0)</f>
        <v>13.253577024186171</v>
      </c>
      <c r="Q70" s="9">
        <f t="shared" ref="Q70:Q104" si="8">IFERROR(求节点(E$5:E$20,J$5:J$20,$N70),0)</f>
        <v>13.862519209466832</v>
      </c>
      <c r="R70" s="9">
        <f t="shared" ref="R70:R104" si="9">IFERROR(求节点(F$5:F$20,K$5:K$20,$N70),0)</f>
        <v>14.229987015347101</v>
      </c>
      <c r="S70" s="9">
        <f t="shared" ref="S70:S104" si="10">IFERROR(求节点(G$5:G$20,L$5:L$20,$N70),0)</f>
        <v>14.589847545413562</v>
      </c>
    </row>
    <row r="71" spans="14:19" x14ac:dyDescent="0.15">
      <c r="N71" s="9">
        <v>67</v>
      </c>
      <c r="O71" s="9">
        <f t="shared" si="6"/>
        <v>13.174032344220635</v>
      </c>
      <c r="P71" s="9">
        <f t="shared" si="7"/>
        <v>13.725021963885935</v>
      </c>
      <c r="Q71" s="9">
        <f t="shared" si="8"/>
        <v>14.137575934392807</v>
      </c>
      <c r="R71" s="9">
        <f t="shared" si="9"/>
        <v>14.467679267822742</v>
      </c>
      <c r="S71" s="9">
        <f t="shared" si="10"/>
        <v>14.826273181607256</v>
      </c>
    </row>
    <row r="72" spans="14:19" x14ac:dyDescent="0.15">
      <c r="N72" s="9">
        <v>68</v>
      </c>
      <c r="O72" s="9">
        <f t="shared" si="6"/>
        <v>13.644140089047685</v>
      </c>
      <c r="P72" s="9">
        <f t="shared" si="7"/>
        <v>14.068297176567588</v>
      </c>
      <c r="Q72" s="9">
        <f t="shared" si="8"/>
        <v>14.377234729785977</v>
      </c>
      <c r="R72" s="9">
        <f t="shared" si="9"/>
        <v>14.705371520298383</v>
      </c>
      <c r="S72" s="9">
        <f t="shared" si="10"/>
        <v>15.062698817800948</v>
      </c>
    </row>
    <row r="73" spans="14:19" x14ac:dyDescent="0.15">
      <c r="N73" s="9">
        <v>69</v>
      </c>
      <c r="O73" s="9">
        <f t="shared" si="6"/>
        <v>14.027123270718075</v>
      </c>
      <c r="P73" s="9">
        <f t="shared" si="7"/>
        <v>14.309215511827583</v>
      </c>
      <c r="Q73" s="9">
        <f t="shared" si="8"/>
        <v>14.616893525179147</v>
      </c>
      <c r="R73" s="9">
        <f t="shared" si="9"/>
        <v>14.943063772774025</v>
      </c>
      <c r="S73" s="9">
        <f t="shared" si="10"/>
        <v>15.299124453994642</v>
      </c>
    </row>
    <row r="74" spans="14:19" x14ac:dyDescent="0.15">
      <c r="N74" s="9">
        <v>70</v>
      </c>
      <c r="O74" s="9">
        <f t="shared" si="6"/>
        <v>14.269557996035264</v>
      </c>
      <c r="P74" s="9">
        <f t="shared" si="7"/>
        <v>14.550133847087576</v>
      </c>
      <c r="Q74" s="9">
        <f t="shared" si="8"/>
        <v>14.856552320572318</v>
      </c>
      <c r="R74" s="9">
        <f t="shared" si="9"/>
        <v>15.180756025249666</v>
      </c>
      <c r="S74" s="9">
        <f t="shared" si="10"/>
        <v>15.535550090188334</v>
      </c>
    </row>
    <row r="75" spans="14:19" x14ac:dyDescent="0.15">
      <c r="N75" s="9">
        <v>71</v>
      </c>
      <c r="O75" s="9">
        <f t="shared" si="6"/>
        <v>14.511992721352453</v>
      </c>
      <c r="P75" s="9">
        <f t="shared" si="7"/>
        <v>14.791052182347569</v>
      </c>
      <c r="Q75" s="9">
        <f t="shared" si="8"/>
        <v>15.096211115965488</v>
      </c>
      <c r="R75" s="9">
        <f t="shared" si="9"/>
        <v>15.418448277725307</v>
      </c>
      <c r="S75" s="9">
        <f t="shared" si="10"/>
        <v>15.771975726382028</v>
      </c>
    </row>
    <row r="76" spans="14:19" x14ac:dyDescent="0.15">
      <c r="N76" s="9">
        <v>72</v>
      </c>
      <c r="O76" s="9">
        <f t="shared" si="6"/>
        <v>14.754427446669643</v>
      </c>
      <c r="P76" s="9">
        <f t="shared" si="7"/>
        <v>15.031970517607563</v>
      </c>
      <c r="Q76" s="9">
        <f t="shared" si="8"/>
        <v>15.335869911358659</v>
      </c>
      <c r="R76" s="9">
        <f t="shared" si="9"/>
        <v>15.656140530200947</v>
      </c>
      <c r="S76" s="9">
        <f t="shared" si="10"/>
        <v>16.008281100152789</v>
      </c>
    </row>
    <row r="77" spans="14:19" x14ac:dyDescent="0.15">
      <c r="N77" s="9">
        <v>73</v>
      </c>
      <c r="O77" s="9">
        <f t="shared" si="6"/>
        <v>14.996862171986832</v>
      </c>
      <c r="P77" s="9">
        <f t="shared" si="7"/>
        <v>15.272888852867556</v>
      </c>
      <c r="Q77" s="9">
        <f t="shared" si="8"/>
        <v>15.575528706751829</v>
      </c>
      <c r="R77" s="9">
        <f t="shared" si="9"/>
        <v>15.89383278267659</v>
      </c>
      <c r="S77" s="9">
        <f t="shared" si="10"/>
        <v>16.241322390105502</v>
      </c>
    </row>
    <row r="78" spans="14:19" x14ac:dyDescent="0.15">
      <c r="N78" s="9">
        <v>74</v>
      </c>
      <c r="O78" s="9">
        <f t="shared" si="6"/>
        <v>15.239296897304021</v>
      </c>
      <c r="P78" s="9">
        <f t="shared" si="7"/>
        <v>15.513807188127549</v>
      </c>
      <c r="Q78" s="9">
        <f t="shared" si="8"/>
        <v>15.815187502144999</v>
      </c>
      <c r="R78" s="9">
        <f t="shared" si="9"/>
        <v>16.128972171916974</v>
      </c>
      <c r="S78" s="9">
        <f t="shared" si="10"/>
        <v>16.474363680058218</v>
      </c>
    </row>
    <row r="79" spans="14:19" x14ac:dyDescent="0.15">
      <c r="N79" s="9">
        <v>75</v>
      </c>
      <c r="O79" s="9">
        <f t="shared" si="6"/>
        <v>15.48173162262121</v>
      </c>
      <c r="P79" s="9">
        <f t="shared" si="7"/>
        <v>15.754725523387544</v>
      </c>
      <c r="Q79" s="9">
        <f t="shared" si="8"/>
        <v>16.05350886719237</v>
      </c>
      <c r="R79" s="9">
        <f t="shared" si="9"/>
        <v>16.362050885898228</v>
      </c>
      <c r="S79" s="9">
        <f t="shared" si="10"/>
        <v>16.707404970010931</v>
      </c>
    </row>
    <row r="80" spans="14:19" x14ac:dyDescent="0.15">
      <c r="N80" s="9">
        <v>76</v>
      </c>
      <c r="O80" s="9">
        <f t="shared" si="6"/>
        <v>15.724166347938398</v>
      </c>
      <c r="P80" s="9">
        <f t="shared" si="7"/>
        <v>15.995643858647536</v>
      </c>
      <c r="Q80" s="9">
        <f t="shared" si="8"/>
        <v>16.28732356808904</v>
      </c>
      <c r="R80" s="9">
        <f t="shared" si="9"/>
        <v>16.595129599879481</v>
      </c>
      <c r="S80" s="9">
        <f t="shared" si="10"/>
        <v>16.940446259963647</v>
      </c>
    </row>
    <row r="81" spans="14:19" x14ac:dyDescent="0.15">
      <c r="N81" s="9">
        <v>77</v>
      </c>
      <c r="O81" s="9">
        <f t="shared" si="6"/>
        <v>15.966601073255587</v>
      </c>
      <c r="P81" s="9">
        <f t="shared" si="7"/>
        <v>16.230568585154959</v>
      </c>
      <c r="Q81" s="9">
        <f t="shared" si="8"/>
        <v>16.521138268985709</v>
      </c>
      <c r="R81" s="9">
        <f t="shared" si="9"/>
        <v>16.828208313860735</v>
      </c>
      <c r="S81" s="9">
        <f t="shared" si="10"/>
        <v>17.173487549916363</v>
      </c>
    </row>
    <row r="82" spans="14:19" x14ac:dyDescent="0.15">
      <c r="N82" s="9">
        <v>78</v>
      </c>
      <c r="O82" s="9">
        <f t="shared" si="6"/>
        <v>16.202733456987975</v>
      </c>
      <c r="P82" s="9">
        <f t="shared" si="7"/>
        <v>16.465382943194346</v>
      </c>
      <c r="Q82" s="9">
        <f t="shared" si="8"/>
        <v>16.754952969882378</v>
      </c>
      <c r="R82" s="9">
        <f t="shared" si="9"/>
        <v>17.061287027841988</v>
      </c>
      <c r="S82" s="9">
        <f t="shared" si="10"/>
        <v>17.406528839869075</v>
      </c>
    </row>
    <row r="83" spans="14:19" x14ac:dyDescent="0.15">
      <c r="N83" s="9">
        <v>79</v>
      </c>
      <c r="O83" s="9">
        <f t="shared" si="6"/>
        <v>16.437858877098122</v>
      </c>
      <c r="P83" s="9">
        <f t="shared" si="7"/>
        <v>16.700197301233729</v>
      </c>
      <c r="Q83" s="9">
        <f t="shared" si="8"/>
        <v>16.988767670779048</v>
      </c>
      <c r="R83" s="9">
        <f t="shared" si="9"/>
        <v>17.294365741823242</v>
      </c>
      <c r="S83" s="9">
        <f t="shared" si="10"/>
        <v>17.639570129821792</v>
      </c>
    </row>
    <row r="84" spans="14:19" x14ac:dyDescent="0.15">
      <c r="N84" s="9">
        <v>80</v>
      </c>
      <c r="O84" s="9">
        <f t="shared" si="6"/>
        <v>16.67298429720827</v>
      </c>
      <c r="P84" s="9">
        <f t="shared" si="7"/>
        <v>16.935011659273112</v>
      </c>
      <c r="Q84" s="9">
        <f t="shared" si="8"/>
        <v>17.222582371675717</v>
      </c>
      <c r="R84" s="9">
        <f t="shared" si="9"/>
        <v>17.527444455804496</v>
      </c>
      <c r="S84" s="9">
        <f t="shared" si="10"/>
        <v>17.872611419774504</v>
      </c>
    </row>
    <row r="85" spans="14:19" x14ac:dyDescent="0.15">
      <c r="N85" s="9">
        <v>81</v>
      </c>
      <c r="O85" s="9">
        <f t="shared" si="6"/>
        <v>16.908109717318414</v>
      </c>
      <c r="P85" s="9">
        <f t="shared" si="7"/>
        <v>17.169826017312499</v>
      </c>
      <c r="Q85" s="9">
        <f t="shared" si="8"/>
        <v>17.456397072572386</v>
      </c>
      <c r="R85" s="9">
        <f t="shared" si="9"/>
        <v>17.760523169785749</v>
      </c>
      <c r="S85" s="9">
        <f t="shared" si="10"/>
        <v>18.078957629953447</v>
      </c>
    </row>
    <row r="86" spans="14:19" x14ac:dyDescent="0.15">
      <c r="N86" s="9">
        <v>82</v>
      </c>
      <c r="O86" s="9">
        <f t="shared" si="6"/>
        <v>17.143235137428562</v>
      </c>
      <c r="P86" s="9">
        <f t="shared" si="7"/>
        <v>17.404640375351882</v>
      </c>
      <c r="Q86" s="9">
        <f t="shared" si="8"/>
        <v>17.690211773469056</v>
      </c>
      <c r="R86" s="9">
        <f t="shared" si="9"/>
        <v>17.993601883767003</v>
      </c>
      <c r="S86" s="9">
        <f t="shared" si="10"/>
        <v>18.253116797129262</v>
      </c>
    </row>
    <row r="87" spans="14:19" x14ac:dyDescent="0.15">
      <c r="N87" s="9">
        <v>83</v>
      </c>
      <c r="O87" s="9">
        <f t="shared" si="6"/>
        <v>17.378360557538709</v>
      </c>
      <c r="P87" s="9">
        <f t="shared" si="7"/>
        <v>17.639454733391268</v>
      </c>
      <c r="Q87" s="9">
        <f t="shared" si="8"/>
        <v>17.924026474365725</v>
      </c>
      <c r="R87" s="9">
        <f t="shared" si="9"/>
        <v>18.173964780101723</v>
      </c>
      <c r="S87" s="9">
        <f t="shared" si="10"/>
        <v>18.427275964305075</v>
      </c>
    </row>
    <row r="88" spans="14:19" x14ac:dyDescent="0.15">
      <c r="N88" s="9">
        <v>84</v>
      </c>
      <c r="O88" s="9">
        <f t="shared" si="6"/>
        <v>17.613485977648853</v>
      </c>
      <c r="P88" s="9">
        <f t="shared" si="7"/>
        <v>17.874269091430651</v>
      </c>
      <c r="Q88" s="9">
        <f t="shared" si="8"/>
        <v>18.122917006352122</v>
      </c>
      <c r="R88" s="9">
        <f t="shared" si="9"/>
        <v>18.352839759376181</v>
      </c>
      <c r="S88" s="9">
        <f t="shared" si="10"/>
        <v>18.601435131480887</v>
      </c>
    </row>
    <row r="89" spans="14:19" x14ac:dyDescent="0.15">
      <c r="N89" s="9">
        <v>85</v>
      </c>
      <c r="O89" s="9">
        <f t="shared" si="6"/>
        <v>17.848611397759001</v>
      </c>
      <c r="P89" s="9">
        <f t="shared" si="7"/>
        <v>18.086150902644384</v>
      </c>
      <c r="Q89" s="9">
        <f t="shared" si="8"/>
        <v>18.304997525123969</v>
      </c>
      <c r="R89" s="9">
        <f t="shared" si="9"/>
        <v>18.531714738650638</v>
      </c>
      <c r="S89" s="9">
        <f t="shared" si="10"/>
        <v>18.775594298656703</v>
      </c>
    </row>
    <row r="90" spans="14:19" x14ac:dyDescent="0.15">
      <c r="N90" s="9">
        <v>86</v>
      </c>
      <c r="O90" s="9">
        <f t="shared" si="6"/>
        <v>18.067056715355303</v>
      </c>
      <c r="P90" s="9">
        <f t="shared" si="7"/>
        <v>18.271600381893855</v>
      </c>
      <c r="Q90" s="9">
        <f t="shared" si="8"/>
        <v>18.487078043895817</v>
      </c>
      <c r="R90" s="9">
        <f t="shared" si="9"/>
        <v>18.710589717925096</v>
      </c>
      <c r="S90" s="9">
        <f t="shared" si="10"/>
        <v>18.949753465832515</v>
      </c>
    </row>
    <row r="91" spans="14:19" x14ac:dyDescent="0.15">
      <c r="N91" s="9">
        <v>87</v>
      </c>
      <c r="O91" s="9">
        <f t="shared" si="6"/>
        <v>18.255345914423746</v>
      </c>
      <c r="P91" s="9">
        <f t="shared" si="7"/>
        <v>18.457049861143329</v>
      </c>
      <c r="Q91" s="9">
        <f t="shared" si="8"/>
        <v>18.669158562667665</v>
      </c>
      <c r="R91" s="9">
        <f t="shared" si="9"/>
        <v>18.889464697199553</v>
      </c>
      <c r="S91" s="9">
        <f t="shared" si="10"/>
        <v>19.123912633008327</v>
      </c>
    </row>
    <row r="92" spans="14:19" x14ac:dyDescent="0.15">
      <c r="N92" s="9">
        <v>88</v>
      </c>
      <c r="O92" s="9">
        <f t="shared" si="6"/>
        <v>18.443635113492192</v>
      </c>
      <c r="P92" s="9">
        <f t="shared" si="7"/>
        <v>18.642499340392799</v>
      </c>
      <c r="Q92" s="9">
        <f t="shared" si="8"/>
        <v>18.851239081439513</v>
      </c>
      <c r="R92" s="9">
        <f t="shared" si="9"/>
        <v>19.068339676474011</v>
      </c>
      <c r="S92" s="9">
        <f t="shared" si="10"/>
        <v>19.298071800184143</v>
      </c>
    </row>
    <row r="93" spans="14:19" x14ac:dyDescent="0.15">
      <c r="N93" s="9">
        <v>89</v>
      </c>
      <c r="O93" s="9">
        <f t="shared" si="6"/>
        <v>18.631924312560635</v>
      </c>
      <c r="P93" s="9">
        <f t="shared" si="7"/>
        <v>18.827948819642273</v>
      </c>
      <c r="Q93" s="9">
        <f t="shared" si="8"/>
        <v>19.03331960021136</v>
      </c>
      <c r="R93" s="9">
        <f t="shared" si="9"/>
        <v>19.247214655748465</v>
      </c>
      <c r="S93" s="9">
        <f t="shared" si="10"/>
        <v>19.472230967359955</v>
      </c>
    </row>
    <row r="94" spans="14:19" x14ac:dyDescent="0.15">
      <c r="N94" s="9">
        <v>90</v>
      </c>
      <c r="O94" s="9">
        <f t="shared" si="6"/>
        <v>18.820213511629081</v>
      </c>
      <c r="P94" s="9">
        <f t="shared" si="7"/>
        <v>19.013398298891744</v>
      </c>
      <c r="Q94" s="9">
        <f t="shared" si="8"/>
        <v>19.215400118983208</v>
      </c>
      <c r="R94" s="9">
        <f t="shared" si="9"/>
        <v>19.426089635022922</v>
      </c>
      <c r="S94" s="9">
        <f t="shared" si="10"/>
        <v>19.646390134535768</v>
      </c>
    </row>
    <row r="95" spans="14:19" x14ac:dyDescent="0.15">
      <c r="N95" s="9">
        <v>91</v>
      </c>
      <c r="O95" s="9">
        <f t="shared" si="6"/>
        <v>19.008502710697528</v>
      </c>
      <c r="P95" s="9">
        <f t="shared" si="7"/>
        <v>19.198847778141218</v>
      </c>
      <c r="Q95" s="9">
        <f t="shared" si="8"/>
        <v>19.397480637755056</v>
      </c>
      <c r="R95" s="9">
        <f t="shared" si="9"/>
        <v>19.60496461429738</v>
      </c>
      <c r="S95" s="9">
        <f t="shared" si="10"/>
        <v>19.820549301711583</v>
      </c>
    </row>
    <row r="96" spans="14:19" x14ac:dyDescent="0.15">
      <c r="N96" s="9">
        <v>92</v>
      </c>
      <c r="O96" s="9">
        <f t="shared" si="6"/>
        <v>19.19679190976597</v>
      </c>
      <c r="P96" s="9">
        <f t="shared" si="7"/>
        <v>19.384297257390688</v>
      </c>
      <c r="Q96" s="9">
        <f t="shared" si="8"/>
        <v>19.579561156526903</v>
      </c>
      <c r="R96" s="9">
        <f t="shared" si="9"/>
        <v>19.783839593571837</v>
      </c>
      <c r="S96" s="9">
        <f t="shared" si="10"/>
        <v>19.994708468887396</v>
      </c>
    </row>
    <row r="97" spans="14:19" x14ac:dyDescent="0.15">
      <c r="N97" s="9">
        <v>93</v>
      </c>
      <c r="O97" s="9">
        <f t="shared" si="6"/>
        <v>19.385081108834417</v>
      </c>
      <c r="P97" s="9">
        <f t="shared" si="7"/>
        <v>19.569746736640163</v>
      </c>
      <c r="Q97" s="9">
        <f t="shared" si="8"/>
        <v>19.761641675298751</v>
      </c>
      <c r="R97" s="9">
        <f t="shared" si="9"/>
        <v>19.962714572846295</v>
      </c>
      <c r="S97" s="9">
        <f t="shared" si="10"/>
        <v>20.181437623055345</v>
      </c>
    </row>
    <row r="98" spans="14:19" x14ac:dyDescent="0.15">
      <c r="N98" s="9">
        <v>94</v>
      </c>
      <c r="O98" s="9">
        <f t="shared" si="6"/>
        <v>19.573370307902859</v>
      </c>
      <c r="P98" s="9">
        <f t="shared" si="7"/>
        <v>19.755196215889633</v>
      </c>
      <c r="Q98" s="9">
        <f t="shared" si="8"/>
        <v>19.943722194070599</v>
      </c>
      <c r="R98" s="9">
        <f t="shared" si="9"/>
        <v>20.148480591339791</v>
      </c>
      <c r="S98" s="9">
        <f t="shared" si="10"/>
        <v>20.368560662510045</v>
      </c>
    </row>
    <row r="99" spans="14:19" x14ac:dyDescent="0.15">
      <c r="N99" s="9">
        <v>95</v>
      </c>
      <c r="O99" s="9">
        <f t="shared" si="6"/>
        <v>19.761659506971306</v>
      </c>
      <c r="P99" s="9">
        <f t="shared" si="7"/>
        <v>19.940645695139107</v>
      </c>
      <c r="Q99" s="9">
        <f t="shared" si="8"/>
        <v>20.130058768453885</v>
      </c>
      <c r="R99" s="9">
        <f t="shared" si="9"/>
        <v>20.336061258844932</v>
      </c>
      <c r="S99" s="9">
        <f t="shared" si="10"/>
        <v>20.555683701964746</v>
      </c>
    </row>
    <row r="100" spans="14:19" x14ac:dyDescent="0.15">
      <c r="N100" s="9">
        <v>96</v>
      </c>
      <c r="O100" s="9">
        <f t="shared" si="6"/>
        <v>19.949948706039748</v>
      </c>
      <c r="P100" s="9">
        <f t="shared" si="7"/>
        <v>20.128163662017084</v>
      </c>
      <c r="Q100" s="9">
        <f t="shared" si="8"/>
        <v>20.318299288040841</v>
      </c>
      <c r="R100" s="9">
        <f t="shared" si="9"/>
        <v>20.52364192635007</v>
      </c>
      <c r="S100" s="9">
        <f t="shared" si="10"/>
        <v>20.742806741419447</v>
      </c>
    </row>
    <row r="101" spans="14:19" x14ac:dyDescent="0.15">
      <c r="N101" s="9">
        <v>97</v>
      </c>
      <c r="O101" s="9">
        <f t="shared" si="6"/>
        <v>20.138491509320819</v>
      </c>
      <c r="P101" s="9">
        <f t="shared" si="7"/>
        <v>20.316655287450185</v>
      </c>
      <c r="Q101" s="9">
        <f t="shared" si="8"/>
        <v>20.506539807627799</v>
      </c>
      <c r="R101" s="9">
        <f t="shared" si="9"/>
        <v>20.711222593855208</v>
      </c>
      <c r="S101" s="9">
        <f t="shared" si="10"/>
        <v>20.929929780874147</v>
      </c>
    </row>
    <row r="102" spans="14:19" x14ac:dyDescent="0.15">
      <c r="N102" s="9">
        <v>98</v>
      </c>
      <c r="O102" s="9">
        <f t="shared" si="6"/>
        <v>20.327126134153911</v>
      </c>
      <c r="P102" s="9">
        <f t="shared" si="7"/>
        <v>20.505146912883287</v>
      </c>
      <c r="Q102" s="9">
        <f t="shared" si="8"/>
        <v>20.694780327214755</v>
      </c>
      <c r="R102" s="9">
        <f t="shared" si="9"/>
        <v>20.898803261360346</v>
      </c>
      <c r="S102" s="9">
        <f t="shared" si="10"/>
        <v>21.117052820328851</v>
      </c>
    </row>
    <row r="103" spans="14:19" x14ac:dyDescent="0.15">
      <c r="N103" s="9">
        <v>99</v>
      </c>
      <c r="O103" s="9">
        <f t="shared" si="6"/>
        <v>20.515760758987003</v>
      </c>
      <c r="P103" s="9">
        <f t="shared" si="7"/>
        <v>20.693638538316389</v>
      </c>
      <c r="Q103" s="9">
        <f t="shared" si="8"/>
        <v>20.883020846801713</v>
      </c>
      <c r="R103" s="9">
        <f t="shared" si="9"/>
        <v>21.086383928865484</v>
      </c>
      <c r="S103" s="9">
        <f t="shared" si="10"/>
        <v>21.304175859783552</v>
      </c>
    </row>
    <row r="104" spans="14:19" x14ac:dyDescent="0.15">
      <c r="N104" s="9">
        <v>100</v>
      </c>
      <c r="O104" s="9">
        <f t="shared" si="6"/>
        <v>20.704395383820096</v>
      </c>
      <c r="P104" s="9">
        <f t="shared" si="7"/>
        <v>20.882130163749494</v>
      </c>
      <c r="Q104" s="9">
        <f t="shared" si="8"/>
        <v>21.071261366388669</v>
      </c>
      <c r="R104" s="9">
        <f t="shared" si="9"/>
        <v>21.273964596370622</v>
      </c>
      <c r="S104" s="9">
        <f t="shared" si="10"/>
        <v>21.491298899238252</v>
      </c>
    </row>
    <row r="105" spans="14:19" x14ac:dyDescent="0.15">
      <c r="N105" s="9">
        <v>101</v>
      </c>
      <c r="O105" s="9">
        <f t="shared" ref="O105:O142" si="11">IFERROR(求节点(C$5:C$20,H$5:H$20,$N105),0)</f>
        <v>20.893030008653188</v>
      </c>
      <c r="P105" s="9">
        <f t="shared" ref="P105:P142" si="12">IFERROR(求节点(D$5:D$20,I$5:I$20,$N105),0)</f>
        <v>21.070621789182596</v>
      </c>
      <c r="Q105" s="9">
        <f t="shared" ref="Q105:Q142" si="13">IFERROR(求节点(E$5:E$20,J$5:J$20,$N105),0)</f>
        <v>21.259501885975627</v>
      </c>
      <c r="R105" s="9">
        <f t="shared" ref="R105:R142" si="14">IFERROR(求节点(F$5:F$20,K$5:K$20,$N105),0)</f>
        <v>21.46154526387576</v>
      </c>
      <c r="S105" s="9">
        <f t="shared" ref="S105:S142" si="15">IFERROR(求节点(G$5:G$20,L$5:L$20,$N105),0)</f>
        <v>21.678421938692953</v>
      </c>
    </row>
    <row r="106" spans="14:19" x14ac:dyDescent="0.15">
      <c r="N106" s="9">
        <v>102</v>
      </c>
      <c r="O106" s="9">
        <f t="shared" si="11"/>
        <v>21.08166463348628</v>
      </c>
      <c r="P106" s="9">
        <f t="shared" si="12"/>
        <v>21.259113414615697</v>
      </c>
      <c r="Q106" s="9">
        <f t="shared" si="13"/>
        <v>21.447742405562582</v>
      </c>
      <c r="R106" s="9">
        <f t="shared" si="14"/>
        <v>21.649125931380897</v>
      </c>
      <c r="S106" s="9">
        <f t="shared" si="15"/>
        <v>21.865544978147653</v>
      </c>
    </row>
    <row r="107" spans="14:19" x14ac:dyDescent="0.15">
      <c r="N107" s="9">
        <v>103</v>
      </c>
      <c r="O107" s="9">
        <f t="shared" si="11"/>
        <v>21.270299258319373</v>
      </c>
      <c r="P107" s="9">
        <f t="shared" si="12"/>
        <v>21.447605040048799</v>
      </c>
      <c r="Q107" s="9">
        <f t="shared" si="13"/>
        <v>21.635982925149541</v>
      </c>
      <c r="R107" s="9">
        <f t="shared" si="14"/>
        <v>21.836706598886035</v>
      </c>
      <c r="S107" s="9">
        <f t="shared" si="15"/>
        <v>22.052431352079228</v>
      </c>
    </row>
    <row r="108" spans="14:19" x14ac:dyDescent="0.15">
      <c r="N108" s="9">
        <v>104</v>
      </c>
      <c r="O108" s="9">
        <f t="shared" si="11"/>
        <v>21.458933883152465</v>
      </c>
      <c r="P108" s="9">
        <f t="shared" si="12"/>
        <v>21.636096665481901</v>
      </c>
      <c r="Q108" s="9">
        <f t="shared" si="13"/>
        <v>21.824223444736496</v>
      </c>
      <c r="R108" s="9">
        <f t="shared" si="14"/>
        <v>22.024121068066307</v>
      </c>
      <c r="S108" s="9">
        <f t="shared" si="15"/>
        <v>22.23871354781059</v>
      </c>
    </row>
    <row r="109" spans="14:19" x14ac:dyDescent="0.15">
      <c r="N109" s="9">
        <v>105</v>
      </c>
      <c r="O109" s="9">
        <f t="shared" si="11"/>
        <v>21.647568507985561</v>
      </c>
      <c r="P109" s="9">
        <f t="shared" si="12"/>
        <v>21.824588290915003</v>
      </c>
      <c r="Q109" s="9">
        <f t="shared" si="13"/>
        <v>22.012369823369642</v>
      </c>
      <c r="R109" s="9">
        <f t="shared" si="14"/>
        <v>22.210418116731258</v>
      </c>
      <c r="S109" s="9">
        <f t="shared" si="15"/>
        <v>22.424995743541952</v>
      </c>
    </row>
    <row r="110" spans="14:19" x14ac:dyDescent="0.15">
      <c r="N110" s="9">
        <v>106</v>
      </c>
      <c r="O110" s="9">
        <f t="shared" si="11"/>
        <v>21.836203132818653</v>
      </c>
      <c r="P110" s="9">
        <f t="shared" si="12"/>
        <v>22.013044352047878</v>
      </c>
      <c r="Q110" s="9">
        <f t="shared" si="13"/>
        <v>22.199188552778143</v>
      </c>
      <c r="R110" s="9">
        <f t="shared" si="14"/>
        <v>22.396715165396209</v>
      </c>
      <c r="S110" s="9">
        <f t="shared" si="15"/>
        <v>22.611277939273315</v>
      </c>
    </row>
    <row r="111" spans="14:19" x14ac:dyDescent="0.15">
      <c r="N111" s="9">
        <v>107</v>
      </c>
      <c r="O111" s="9">
        <f t="shared" si="11"/>
        <v>22.024907253981205</v>
      </c>
      <c r="P111" s="9">
        <f t="shared" si="12"/>
        <v>22.201023468640773</v>
      </c>
      <c r="Q111" s="9">
        <f t="shared" si="13"/>
        <v>22.38600728218664</v>
      </c>
      <c r="R111" s="9">
        <f t="shared" si="14"/>
        <v>22.58301221406116</v>
      </c>
      <c r="S111" s="9">
        <f t="shared" si="15"/>
        <v>22.797560135004677</v>
      </c>
    </row>
    <row r="112" spans="14:19" x14ac:dyDescent="0.15">
      <c r="N112" s="9">
        <v>108</v>
      </c>
      <c r="O112" s="9">
        <f t="shared" si="11"/>
        <v>22.214069680648056</v>
      </c>
      <c r="P112" s="9">
        <f t="shared" si="12"/>
        <v>22.389002585233669</v>
      </c>
      <c r="Q112" s="9">
        <f t="shared" si="13"/>
        <v>22.57282601159514</v>
      </c>
      <c r="R112" s="9">
        <f t="shared" si="14"/>
        <v>22.769309262726111</v>
      </c>
      <c r="S112" s="9">
        <f t="shared" si="15"/>
        <v>22.983842330736039</v>
      </c>
    </row>
    <row r="113" spans="14:19" x14ac:dyDescent="0.15">
      <c r="N113" s="9">
        <v>109</v>
      </c>
      <c r="O113" s="9">
        <f t="shared" si="11"/>
        <v>22.403232107314903</v>
      </c>
      <c r="P113" s="9">
        <f t="shared" si="12"/>
        <v>22.576981701826565</v>
      </c>
      <c r="Q113" s="9">
        <f t="shared" si="13"/>
        <v>22.759644741003637</v>
      </c>
      <c r="R113" s="9">
        <f t="shared" si="14"/>
        <v>22.955606311391062</v>
      </c>
      <c r="S113" s="9">
        <f t="shared" si="15"/>
        <v>23.170124526467401</v>
      </c>
    </row>
    <row r="114" spans="14:19" x14ac:dyDescent="0.15">
      <c r="N114" s="9">
        <v>110</v>
      </c>
      <c r="O114" s="9">
        <f t="shared" si="11"/>
        <v>22.592394533981754</v>
      </c>
      <c r="P114" s="9">
        <f t="shared" si="12"/>
        <v>22.764960818419461</v>
      </c>
      <c r="Q114" s="9">
        <f t="shared" si="13"/>
        <v>22.946463470412137</v>
      </c>
      <c r="R114" s="9">
        <f t="shared" si="14"/>
        <v>23.141903360056013</v>
      </c>
      <c r="S114" s="9">
        <f t="shared" si="15"/>
        <v>23.356406722198763</v>
      </c>
    </row>
    <row r="115" spans="14:19" x14ac:dyDescent="0.15">
      <c r="N115" s="9">
        <v>111</v>
      </c>
      <c r="O115" s="9">
        <f t="shared" si="11"/>
        <v>22.781556960648604</v>
      </c>
      <c r="P115" s="9">
        <f t="shared" si="12"/>
        <v>22.952939935012356</v>
      </c>
      <c r="Q115" s="9">
        <f t="shared" si="13"/>
        <v>23.133282199820634</v>
      </c>
      <c r="R115" s="9">
        <f t="shared" si="14"/>
        <v>23.328200408720964</v>
      </c>
      <c r="S115" s="9">
        <f t="shared" si="15"/>
        <v>23.542688917930125</v>
      </c>
    </row>
    <row r="116" spans="14:19" x14ac:dyDescent="0.15">
      <c r="N116" s="9">
        <v>112</v>
      </c>
      <c r="O116" s="9">
        <f t="shared" si="11"/>
        <v>22.970719387315452</v>
      </c>
      <c r="P116" s="9">
        <f t="shared" si="12"/>
        <v>23.140919051605252</v>
      </c>
      <c r="Q116" s="9">
        <f t="shared" si="13"/>
        <v>23.320100929229135</v>
      </c>
      <c r="R116" s="9">
        <f t="shared" si="14"/>
        <v>23.514497457385914</v>
      </c>
      <c r="S116" s="9">
        <f t="shared" si="15"/>
        <v>23.728971113661487</v>
      </c>
    </row>
    <row r="117" spans="14:19" x14ac:dyDescent="0.15">
      <c r="N117" s="9">
        <v>113</v>
      </c>
      <c r="O117" s="9">
        <f t="shared" si="11"/>
        <v>23.159881813982302</v>
      </c>
      <c r="P117" s="9">
        <f t="shared" si="12"/>
        <v>23.328898168198148</v>
      </c>
      <c r="Q117" s="9">
        <f t="shared" si="13"/>
        <v>23.506919658637631</v>
      </c>
      <c r="R117" s="9">
        <f t="shared" si="14"/>
        <v>23.700794506050862</v>
      </c>
      <c r="S117" s="9">
        <f t="shared" si="15"/>
        <v>23.915253309392853</v>
      </c>
    </row>
    <row r="118" spans="14:19" x14ac:dyDescent="0.15">
      <c r="N118" s="9">
        <v>114</v>
      </c>
      <c r="O118" s="9">
        <f t="shared" si="11"/>
        <v>23.34904424064915</v>
      </c>
      <c r="P118" s="9">
        <f t="shared" si="12"/>
        <v>23.516877284791043</v>
      </c>
      <c r="Q118" s="9">
        <f t="shared" si="13"/>
        <v>23.693738388046132</v>
      </c>
      <c r="R118" s="9">
        <f t="shared" si="14"/>
        <v>23.887091554715813</v>
      </c>
      <c r="S118" s="9">
        <f t="shared" si="15"/>
        <v>24.102250630476554</v>
      </c>
    </row>
    <row r="119" spans="14:19" x14ac:dyDescent="0.15">
      <c r="N119" s="9">
        <v>115</v>
      </c>
      <c r="O119" s="9">
        <f t="shared" si="11"/>
        <v>23.538206667316</v>
      </c>
      <c r="P119" s="9">
        <f t="shared" si="12"/>
        <v>23.704856401383939</v>
      </c>
      <c r="Q119" s="9">
        <f t="shared" si="13"/>
        <v>23.880557117454629</v>
      </c>
      <c r="R119" s="9">
        <f t="shared" si="14"/>
        <v>24.074410985061629</v>
      </c>
      <c r="S119" s="9">
        <f t="shared" si="15"/>
        <v>24.289844831507875</v>
      </c>
    </row>
    <row r="120" spans="14:19" x14ac:dyDescent="0.15">
      <c r="N120" s="9">
        <v>116</v>
      </c>
      <c r="O120" s="9">
        <f t="shared" si="11"/>
        <v>23.727369093982851</v>
      </c>
      <c r="P120" s="9">
        <f t="shared" si="12"/>
        <v>23.892835517976835</v>
      </c>
      <c r="Q120" s="9">
        <f t="shared" si="13"/>
        <v>24.068355310471983</v>
      </c>
      <c r="R120" s="9">
        <f t="shared" si="14"/>
        <v>24.263303350723774</v>
      </c>
      <c r="S120" s="9">
        <f t="shared" si="15"/>
        <v>24.477439032539198</v>
      </c>
    </row>
    <row r="121" spans="14:19" x14ac:dyDescent="0.15">
      <c r="N121" s="9">
        <v>117</v>
      </c>
      <c r="O121" s="9">
        <f t="shared" si="11"/>
        <v>23.916531520649698</v>
      </c>
      <c r="P121" s="9">
        <f t="shared" si="12"/>
        <v>24.081435974854308</v>
      </c>
      <c r="Q121" s="9">
        <f t="shared" si="13"/>
        <v>24.257889881764886</v>
      </c>
      <c r="R121" s="9">
        <f t="shared" si="14"/>
        <v>24.452195716385916</v>
      </c>
      <c r="S121" s="9">
        <f t="shared" si="15"/>
        <v>24.665033233570522</v>
      </c>
    </row>
    <row r="122" spans="14:19" x14ac:dyDescent="0.15">
      <c r="N122" s="9">
        <v>118</v>
      </c>
      <c r="O122" s="9">
        <f t="shared" si="11"/>
        <v>24.105777154255666</v>
      </c>
      <c r="P122" s="9">
        <f t="shared" si="12"/>
        <v>24.270860361829492</v>
      </c>
      <c r="Q122" s="9">
        <f t="shared" si="13"/>
        <v>24.447424453057785</v>
      </c>
      <c r="R122" s="9">
        <f t="shared" si="14"/>
        <v>24.641088082048057</v>
      </c>
      <c r="S122" s="9">
        <f t="shared" si="15"/>
        <v>24.852627434601843</v>
      </c>
    </row>
    <row r="123" spans="14:19" x14ac:dyDescent="0.15">
      <c r="N123" s="9">
        <v>119</v>
      </c>
      <c r="O123" s="9">
        <f t="shared" si="11"/>
        <v>24.295088497931651</v>
      </c>
      <c r="P123" s="9">
        <f t="shared" si="12"/>
        <v>24.460284748804675</v>
      </c>
      <c r="Q123" s="9">
        <f t="shared" si="13"/>
        <v>24.636959024350688</v>
      </c>
      <c r="R123" s="9">
        <f t="shared" si="14"/>
        <v>24.829980447710202</v>
      </c>
      <c r="S123" s="9">
        <f t="shared" si="15"/>
        <v>25.040221635633166</v>
      </c>
    </row>
    <row r="124" spans="14:19" x14ac:dyDescent="0.15">
      <c r="N124" s="9">
        <v>120</v>
      </c>
      <c r="O124" s="9">
        <f t="shared" si="11"/>
        <v>24.48439984160764</v>
      </c>
      <c r="P124" s="9">
        <f t="shared" si="12"/>
        <v>24.649709135779858</v>
      </c>
      <c r="Q124" s="9">
        <f t="shared" si="13"/>
        <v>24.826493595643591</v>
      </c>
      <c r="R124" s="9">
        <f t="shared" si="14"/>
        <v>25.018872813372344</v>
      </c>
      <c r="S124" s="9">
        <f t="shared" si="15"/>
        <v>25.227815836664487</v>
      </c>
    </row>
    <row r="125" spans="14:19" x14ac:dyDescent="0.15">
      <c r="N125" s="9">
        <v>121</v>
      </c>
      <c r="O125" s="9">
        <f t="shared" si="11"/>
        <v>24.673711185283629</v>
      </c>
      <c r="P125" s="9">
        <f t="shared" si="12"/>
        <v>24.839133522755041</v>
      </c>
      <c r="Q125" s="9">
        <f t="shared" si="13"/>
        <v>25.016028166936493</v>
      </c>
      <c r="R125" s="9">
        <f t="shared" si="14"/>
        <v>25.207765179034489</v>
      </c>
      <c r="S125" s="9">
        <f t="shared" si="15"/>
        <v>25.415410037695811</v>
      </c>
    </row>
    <row r="126" spans="14:19" x14ac:dyDescent="0.15">
      <c r="N126" s="9">
        <v>122</v>
      </c>
      <c r="O126" s="9">
        <f t="shared" si="11"/>
        <v>24.863022528959618</v>
      </c>
      <c r="P126" s="9">
        <f t="shared" si="12"/>
        <v>25.028557909730225</v>
      </c>
      <c r="Q126" s="9">
        <f t="shared" si="13"/>
        <v>25.205562738229393</v>
      </c>
      <c r="R126" s="9">
        <f t="shared" si="14"/>
        <v>25.39665754469663</v>
      </c>
      <c r="S126" s="9">
        <f t="shared" si="15"/>
        <v>25.603004238727134</v>
      </c>
    </row>
    <row r="127" spans="14:19" x14ac:dyDescent="0.15">
      <c r="N127" s="9">
        <v>123</v>
      </c>
      <c r="O127" s="9">
        <f t="shared" si="11"/>
        <v>25.052333872635607</v>
      </c>
      <c r="P127" s="9">
        <f t="shared" si="12"/>
        <v>25.217982296705408</v>
      </c>
      <c r="Q127" s="9">
        <f t="shared" si="13"/>
        <v>25.395097309522296</v>
      </c>
      <c r="R127" s="9">
        <f t="shared" si="14"/>
        <v>25.585549910358772</v>
      </c>
      <c r="S127" s="9">
        <f t="shared" si="15"/>
        <v>25.790598439758455</v>
      </c>
    </row>
    <row r="128" spans="14:19" x14ac:dyDescent="0.15">
      <c r="N128" s="9">
        <v>124</v>
      </c>
      <c r="O128" s="9">
        <f t="shared" si="11"/>
        <v>25.241645216311593</v>
      </c>
      <c r="P128" s="9">
        <f t="shared" si="12"/>
        <v>25.407406683680591</v>
      </c>
      <c r="Q128" s="9">
        <f t="shared" si="13"/>
        <v>25.584631880815198</v>
      </c>
      <c r="R128" s="9">
        <f t="shared" si="14"/>
        <v>25.774442276020917</v>
      </c>
      <c r="S128" s="9">
        <f t="shared" si="15"/>
        <v>25.978192640789779</v>
      </c>
    </row>
    <row r="129" spans="14:19" x14ac:dyDescent="0.15">
      <c r="N129" s="9">
        <v>125</v>
      </c>
      <c r="O129" s="9">
        <f t="shared" si="11"/>
        <v>25.430956559987582</v>
      </c>
      <c r="P129" s="9">
        <f t="shared" si="12"/>
        <v>25.596831070655774</v>
      </c>
      <c r="Q129" s="9">
        <f t="shared" si="13"/>
        <v>25.774166452108101</v>
      </c>
      <c r="R129" s="9">
        <f t="shared" si="14"/>
        <v>25.963334641683058</v>
      </c>
      <c r="S129" s="9">
        <f t="shared" si="15"/>
        <v>26.163713675604416</v>
      </c>
    </row>
    <row r="130" spans="14:19" x14ac:dyDescent="0.15">
      <c r="N130" s="9">
        <v>126</v>
      </c>
      <c r="O130" s="9">
        <f t="shared" si="11"/>
        <v>25.620267903663571</v>
      </c>
      <c r="P130" s="9">
        <f t="shared" si="12"/>
        <v>25.786255457630958</v>
      </c>
      <c r="Q130" s="9">
        <f t="shared" si="13"/>
        <v>25.963701023401001</v>
      </c>
      <c r="R130" s="9">
        <f t="shared" si="14"/>
        <v>26.150615574578044</v>
      </c>
      <c r="S130" s="9">
        <f t="shared" si="15"/>
        <v>26.348962009160658</v>
      </c>
    </row>
    <row r="131" spans="14:19" x14ac:dyDescent="0.15">
      <c r="N131" s="9">
        <v>127</v>
      </c>
      <c r="O131" s="9">
        <f t="shared" si="11"/>
        <v>25.80957924733956</v>
      </c>
      <c r="P131" s="9">
        <f t="shared" si="12"/>
        <v>25.975679844606141</v>
      </c>
      <c r="Q131" s="9">
        <f t="shared" si="13"/>
        <v>26.152148524039543</v>
      </c>
      <c r="R131" s="9">
        <f t="shared" si="14"/>
        <v>26.337508378186104</v>
      </c>
      <c r="S131" s="9">
        <f t="shared" si="15"/>
        <v>26.534210342716904</v>
      </c>
    </row>
    <row r="132" spans="14:19" x14ac:dyDescent="0.15">
      <c r="N132" s="9">
        <v>128</v>
      </c>
      <c r="O132" s="9">
        <f t="shared" si="11"/>
        <v>25.998890591015549</v>
      </c>
      <c r="P132" s="9">
        <f t="shared" si="12"/>
        <v>26.164798589863253</v>
      </c>
      <c r="Q132" s="9">
        <f t="shared" si="13"/>
        <v>26.340338515629206</v>
      </c>
      <c r="R132" s="9">
        <f t="shared" si="14"/>
        <v>26.524401181794161</v>
      </c>
      <c r="S132" s="9">
        <f t="shared" si="15"/>
        <v>26.719458676273145</v>
      </c>
    </row>
    <row r="133" spans="14:19" x14ac:dyDescent="0.15">
      <c r="N133" s="9">
        <v>129</v>
      </c>
      <c r="O133" s="9">
        <f t="shared" si="11"/>
        <v>26.188863602756587</v>
      </c>
      <c r="P133" s="9">
        <f t="shared" si="12"/>
        <v>26.353872313536073</v>
      </c>
      <c r="Q133" s="9">
        <f t="shared" si="13"/>
        <v>26.528528507218866</v>
      </c>
      <c r="R133" s="9">
        <f t="shared" si="14"/>
        <v>26.711293985402222</v>
      </c>
      <c r="S133" s="9">
        <f t="shared" si="15"/>
        <v>26.904707009829391</v>
      </c>
    </row>
    <row r="134" spans="14:19" x14ac:dyDescent="0.15">
      <c r="N134" s="9">
        <v>130</v>
      </c>
      <c r="O134" s="9">
        <f t="shared" si="11"/>
        <v>26.378840514885248</v>
      </c>
      <c r="P134" s="9">
        <f t="shared" si="12"/>
        <v>26.542946037208896</v>
      </c>
      <c r="Q134" s="9">
        <f t="shared" si="13"/>
        <v>26.716718498808529</v>
      </c>
      <c r="R134" s="9">
        <f t="shared" si="14"/>
        <v>26.898186789010282</v>
      </c>
      <c r="S134" s="9">
        <f t="shared" si="15"/>
        <v>27.089955343385633</v>
      </c>
    </row>
    <row r="135" spans="14:19" x14ac:dyDescent="0.15">
      <c r="N135" s="9">
        <v>131</v>
      </c>
      <c r="O135" s="9">
        <f t="shared" si="11"/>
        <v>26.568817427013908</v>
      </c>
      <c r="P135" s="9">
        <f t="shared" si="12"/>
        <v>26.73201976088172</v>
      </c>
      <c r="Q135" s="9">
        <f t="shared" si="13"/>
        <v>26.904908490398189</v>
      </c>
      <c r="R135" s="9">
        <f t="shared" si="14"/>
        <v>27.085079592618339</v>
      </c>
      <c r="S135" s="9">
        <f t="shared" si="15"/>
        <v>27.275203676941878</v>
      </c>
    </row>
    <row r="136" spans="14:19" x14ac:dyDescent="0.15">
      <c r="N136" s="9">
        <v>132</v>
      </c>
      <c r="O136" s="9">
        <f t="shared" si="11"/>
        <v>26.758794339142565</v>
      </c>
      <c r="P136" s="9">
        <f t="shared" si="12"/>
        <v>26.92109348455454</v>
      </c>
      <c r="Q136" s="9">
        <f t="shared" si="13"/>
        <v>27.093098481987852</v>
      </c>
      <c r="R136" s="9">
        <f t="shared" si="14"/>
        <v>27.271972396226399</v>
      </c>
      <c r="S136" s="9">
        <f t="shared" si="15"/>
        <v>27.46045201049812</v>
      </c>
    </row>
    <row r="137" spans="14:19" x14ac:dyDescent="0.15">
      <c r="N137" s="9">
        <v>133</v>
      </c>
      <c r="O137" s="9">
        <f t="shared" si="11"/>
        <v>26.948771251271225</v>
      </c>
      <c r="P137" s="9">
        <f t="shared" si="12"/>
        <v>27.110167208227363</v>
      </c>
      <c r="Q137" s="9">
        <f t="shared" si="13"/>
        <v>27.281288473577511</v>
      </c>
      <c r="R137" s="9">
        <f t="shared" si="14"/>
        <v>27.45886519983446</v>
      </c>
      <c r="S137" s="9">
        <f t="shared" si="15"/>
        <v>27.645700344054365</v>
      </c>
    </row>
    <row r="138" spans="14:19" x14ac:dyDescent="0.15">
      <c r="N138" s="9">
        <v>134</v>
      </c>
      <c r="O138" s="9">
        <f t="shared" si="11"/>
        <v>27.138748163399885</v>
      </c>
      <c r="P138" s="9">
        <f t="shared" si="12"/>
        <v>27.299240931900183</v>
      </c>
      <c r="Q138" s="9">
        <f t="shared" si="13"/>
        <v>27.469478465167175</v>
      </c>
      <c r="R138" s="9">
        <f t="shared" si="14"/>
        <v>27.645758003442516</v>
      </c>
      <c r="S138" s="9">
        <f t="shared" si="15"/>
        <v>27.830948677610607</v>
      </c>
    </row>
    <row r="139" spans="14:19" x14ac:dyDescent="0.15">
      <c r="N139" s="9">
        <v>135</v>
      </c>
      <c r="O139" s="9">
        <f t="shared" si="11"/>
        <v>27.328725075528546</v>
      </c>
      <c r="P139" s="9">
        <f t="shared" si="12"/>
        <v>27.488314655573006</v>
      </c>
      <c r="Q139" s="9">
        <f t="shared" si="13"/>
        <v>27.657668456756834</v>
      </c>
      <c r="R139" s="9">
        <f t="shared" si="14"/>
        <v>27.832650807050577</v>
      </c>
      <c r="S139" s="9">
        <f t="shared" si="15"/>
        <v>28.016462637704183</v>
      </c>
    </row>
    <row r="140" spans="14:19" x14ac:dyDescent="0.15">
      <c r="N140" s="9">
        <v>136</v>
      </c>
      <c r="O140" s="9">
        <f t="shared" si="11"/>
        <v>27.518701987657202</v>
      </c>
      <c r="P140" s="9">
        <f t="shared" si="12"/>
        <v>27.67738837924583</v>
      </c>
      <c r="Q140" s="9">
        <f t="shared" si="13"/>
        <v>27.845858448346497</v>
      </c>
      <c r="R140" s="9">
        <f t="shared" si="14"/>
        <v>28.01962817315589</v>
      </c>
      <c r="S140" s="9">
        <f t="shared" si="15"/>
        <v>28.204748993083228</v>
      </c>
    </row>
    <row r="141" spans="14:19" x14ac:dyDescent="0.15">
      <c r="N141" s="9">
        <v>137</v>
      </c>
      <c r="O141" s="9">
        <f t="shared" si="11"/>
        <v>27.708678899785863</v>
      </c>
      <c r="P141" s="9">
        <f t="shared" si="12"/>
        <v>27.86646210291865</v>
      </c>
      <c r="Q141" s="9">
        <f t="shared" si="13"/>
        <v>28.03403704916277</v>
      </c>
      <c r="R141" s="9">
        <f t="shared" si="14"/>
        <v>28.207329636047437</v>
      </c>
      <c r="S141" s="9">
        <f t="shared" si="15"/>
        <v>28.39303534846227</v>
      </c>
    </row>
    <row r="142" spans="14:19" x14ac:dyDescent="0.15">
      <c r="N142" s="9">
        <v>138</v>
      </c>
      <c r="O142" s="9">
        <f t="shared" si="11"/>
        <v>27.898655811914523</v>
      </c>
      <c r="P142" s="9">
        <f t="shared" si="12"/>
        <v>28.055591459995867</v>
      </c>
      <c r="Q142" s="9">
        <f t="shared" si="13"/>
        <v>28.222164082521388</v>
      </c>
      <c r="R142" s="9">
        <f t="shared" si="14"/>
        <v>28.395031098938979</v>
      </c>
      <c r="S142" s="9">
        <f t="shared" si="15"/>
        <v>28.581321703841315</v>
      </c>
    </row>
    <row r="143" spans="14:19" x14ac:dyDescent="0.15">
      <c r="N143" s="9">
        <v>139</v>
      </c>
      <c r="O143" s="9">
        <f t="shared" ref="O143:O164" si="16">IFERROR(求节点(C$5:C$20,H$5:H$20,$N143),0)</f>
        <v>28.088665660217895</v>
      </c>
      <c r="P143" s="9">
        <f t="shared" ref="P143:P164" si="17">IFERROR(求节点(D$5:D$20,I$5:I$20,$N143),0)</f>
        <v>28.244854589599505</v>
      </c>
      <c r="Q143" s="9">
        <f t="shared" ref="Q143:Q164" si="18">IFERROR(求节点(E$5:E$20,J$5:J$20,$N143),0)</f>
        <v>28.410291115880007</v>
      </c>
      <c r="R143" s="9">
        <f t="shared" ref="R143:R164" si="19">IFERROR(求节点(F$5:F$20,K$5:K$20,$N143),0)</f>
        <v>28.582732561830525</v>
      </c>
      <c r="S143" s="9">
        <f t="shared" ref="S143:S164" si="20">IFERROR(求节点(G$5:G$20,L$5:L$20,$N143),0)</f>
        <v>28.76960805922036</v>
      </c>
    </row>
    <row r="144" spans="14:19" x14ac:dyDescent="0.15">
      <c r="N144" s="9">
        <v>140</v>
      </c>
      <c r="O144" s="9">
        <f t="shared" si="16"/>
        <v>28.27871316831251</v>
      </c>
      <c r="P144" s="9">
        <f t="shared" si="17"/>
        <v>28.434117719203144</v>
      </c>
      <c r="Q144" s="9">
        <f t="shared" si="18"/>
        <v>28.598418149238626</v>
      </c>
      <c r="R144" s="9">
        <f t="shared" si="19"/>
        <v>28.770434024722071</v>
      </c>
      <c r="S144" s="9">
        <f t="shared" si="20"/>
        <v>28.957894414599402</v>
      </c>
    </row>
    <row r="145" spans="14:19" x14ac:dyDescent="0.15">
      <c r="N145" s="9">
        <v>141</v>
      </c>
      <c r="O145" s="9">
        <f t="shared" si="16"/>
        <v>28.468760676407125</v>
      </c>
      <c r="P145" s="9">
        <f t="shared" si="17"/>
        <v>28.623380848806782</v>
      </c>
      <c r="Q145" s="9">
        <f t="shared" si="18"/>
        <v>28.786545182597244</v>
      </c>
      <c r="R145" s="9">
        <f t="shared" si="19"/>
        <v>28.958135487613617</v>
      </c>
      <c r="S145" s="9">
        <f t="shared" si="20"/>
        <v>29.146180769978447</v>
      </c>
    </row>
    <row r="146" spans="14:19" x14ac:dyDescent="0.15">
      <c r="N146" s="9">
        <v>142</v>
      </c>
      <c r="O146" s="9">
        <f t="shared" si="16"/>
        <v>28.658808184501744</v>
      </c>
      <c r="P146" s="9">
        <f t="shared" si="17"/>
        <v>28.812643978410421</v>
      </c>
      <c r="Q146" s="9">
        <f t="shared" si="18"/>
        <v>28.974672215955859</v>
      </c>
      <c r="R146" s="9">
        <f t="shared" si="19"/>
        <v>29.14583695050516</v>
      </c>
      <c r="S146" s="9">
        <f t="shared" si="20"/>
        <v>29.334467125357492</v>
      </c>
    </row>
    <row r="147" spans="14:19" x14ac:dyDescent="0.15">
      <c r="N147" s="9">
        <v>143</v>
      </c>
      <c r="O147" s="9">
        <f t="shared" si="16"/>
        <v>28.848855692596359</v>
      </c>
      <c r="P147" s="9">
        <f t="shared" si="17"/>
        <v>29.001907108014059</v>
      </c>
      <c r="Q147" s="9">
        <f t="shared" si="18"/>
        <v>29.162799249314478</v>
      </c>
      <c r="R147" s="9">
        <f t="shared" si="19"/>
        <v>29.333538413396706</v>
      </c>
      <c r="S147" s="9">
        <f t="shared" si="20"/>
        <v>29.522753480736533</v>
      </c>
    </row>
    <row r="148" spans="14:19" x14ac:dyDescent="0.15">
      <c r="N148" s="9">
        <v>144</v>
      </c>
      <c r="O148" s="9">
        <f t="shared" si="16"/>
        <v>29.038903200690974</v>
      </c>
      <c r="P148" s="9">
        <f t="shared" si="17"/>
        <v>29.191170237617698</v>
      </c>
      <c r="Q148" s="9">
        <f t="shared" si="18"/>
        <v>29.350926282673097</v>
      </c>
      <c r="R148" s="9">
        <f t="shared" si="19"/>
        <v>29.521239876288252</v>
      </c>
      <c r="S148" s="9">
        <f t="shared" si="20"/>
        <v>29.711039836115578</v>
      </c>
    </row>
    <row r="149" spans="14:19" x14ac:dyDescent="0.15">
      <c r="N149" s="9">
        <v>145</v>
      </c>
      <c r="O149" s="9">
        <f t="shared" si="16"/>
        <v>29.22895070878559</v>
      </c>
      <c r="P149" s="9">
        <f t="shared" si="17"/>
        <v>29.38043336722134</v>
      </c>
      <c r="Q149" s="9">
        <f t="shared" si="18"/>
        <v>29.539053316031715</v>
      </c>
      <c r="R149" s="9">
        <f t="shared" si="19"/>
        <v>29.708941339179795</v>
      </c>
      <c r="S149" s="9">
        <f t="shared" si="20"/>
        <v>29.899326191494623</v>
      </c>
    </row>
    <row r="150" spans="14:19" x14ac:dyDescent="0.15">
      <c r="N150" s="9">
        <v>146</v>
      </c>
      <c r="O150" s="9">
        <f t="shared" si="16"/>
        <v>29.418998216880208</v>
      </c>
      <c r="P150" s="9">
        <f t="shared" si="17"/>
        <v>29.569696496824978</v>
      </c>
      <c r="Q150" s="9">
        <f t="shared" si="18"/>
        <v>29.727180349390334</v>
      </c>
      <c r="R150" s="9">
        <f t="shared" si="19"/>
        <v>29.896642802071341</v>
      </c>
      <c r="S150" s="9">
        <f t="shared" si="20"/>
        <v>30.167791158286185</v>
      </c>
    </row>
    <row r="151" spans="14:19" x14ac:dyDescent="0.15">
      <c r="N151" s="9">
        <v>147</v>
      </c>
      <c r="O151" s="9">
        <f t="shared" si="16"/>
        <v>29.609045724974823</v>
      </c>
      <c r="P151" s="9">
        <f t="shared" si="17"/>
        <v>29.758959626428616</v>
      </c>
      <c r="Q151" s="9">
        <f t="shared" si="18"/>
        <v>29.915307382748953</v>
      </c>
      <c r="R151" s="9">
        <f t="shared" si="19"/>
        <v>30.161191137473388</v>
      </c>
      <c r="S151" s="9">
        <f t="shared" si="20"/>
        <v>30.528387748453682</v>
      </c>
    </row>
    <row r="152" spans="14:19" x14ac:dyDescent="0.15">
      <c r="N152" s="9">
        <v>148</v>
      </c>
      <c r="O152" s="9">
        <f t="shared" si="16"/>
        <v>29.799093233069438</v>
      </c>
      <c r="P152" s="9">
        <f t="shared" si="17"/>
        <v>29.948222756032255</v>
      </c>
      <c r="Q152" s="9">
        <f t="shared" si="18"/>
        <v>30.19294092942064</v>
      </c>
      <c r="R152" s="9">
        <f t="shared" si="19"/>
        <v>30.519909211810994</v>
      </c>
      <c r="S152" s="9">
        <f t="shared" si="20"/>
        <v>30.888984338621178</v>
      </c>
    </row>
    <row r="153" spans="14:19" x14ac:dyDescent="0.15">
      <c r="N153" s="9">
        <v>149</v>
      </c>
      <c r="O153" s="9">
        <f t="shared" si="16"/>
        <v>29.989140741164054</v>
      </c>
      <c r="P153" s="9">
        <f t="shared" si="17"/>
        <v>30.2473746539278</v>
      </c>
      <c r="Q153" s="9">
        <f t="shared" si="18"/>
        <v>30.543862856872831</v>
      </c>
      <c r="R153" s="9">
        <f t="shared" si="19"/>
        <v>30.878627286148596</v>
      </c>
      <c r="S153" s="9">
        <f t="shared" si="20"/>
        <v>31.249580928788674</v>
      </c>
    </row>
    <row r="154" spans="14:19" x14ac:dyDescent="0.15">
      <c r="N154" s="9">
        <v>150</v>
      </c>
      <c r="O154" s="9">
        <f t="shared" si="16"/>
        <v>30.299534287514405</v>
      </c>
      <c r="P154" s="9">
        <f t="shared" si="17"/>
        <v>30.587910709468687</v>
      </c>
      <c r="Q154" s="9">
        <f t="shared" si="18"/>
        <v>30.894784784325019</v>
      </c>
      <c r="R154" s="9">
        <f t="shared" si="19"/>
        <v>31.237345360486202</v>
      </c>
      <c r="S154" s="9">
        <f t="shared" si="20"/>
        <v>31.610177518956171</v>
      </c>
    </row>
    <row r="155" spans="14:19" x14ac:dyDescent="0.15">
      <c r="N155" s="9">
        <v>151</v>
      </c>
      <c r="O155" s="9">
        <f t="shared" si="16"/>
        <v>30.617221106636304</v>
      </c>
      <c r="P155" s="9">
        <f t="shared" si="17"/>
        <v>30.928446765009571</v>
      </c>
      <c r="Q155" s="9">
        <f t="shared" si="18"/>
        <v>31.245706711777206</v>
      </c>
      <c r="R155" s="9">
        <f t="shared" si="19"/>
        <v>31.596063434823808</v>
      </c>
      <c r="S155" s="9">
        <f t="shared" si="20"/>
        <v>31.970774109123667</v>
      </c>
    </row>
    <row r="156" spans="14:19" x14ac:dyDescent="0.15">
      <c r="N156" s="9">
        <v>152</v>
      </c>
      <c r="O156" s="9">
        <f t="shared" si="16"/>
        <v>30.9349079257582</v>
      </c>
      <c r="P156" s="9">
        <f t="shared" si="17"/>
        <v>31.268982820550455</v>
      </c>
      <c r="Q156" s="9">
        <f t="shared" si="18"/>
        <v>31.596628639229394</v>
      </c>
      <c r="R156" s="9">
        <f t="shared" si="19"/>
        <v>31.95478150916141</v>
      </c>
      <c r="S156" s="9">
        <f t="shared" si="20"/>
        <v>32.194640170396369</v>
      </c>
    </row>
    <row r="157" spans="14:19" x14ac:dyDescent="0.15">
      <c r="N157" s="9">
        <v>153</v>
      </c>
      <c r="O157" s="9">
        <f t="shared" si="16"/>
        <v>31.252594744880099</v>
      </c>
      <c r="P157" s="9">
        <f t="shared" si="17"/>
        <v>31.609518876091343</v>
      </c>
      <c r="Q157" s="9">
        <f t="shared" si="18"/>
        <v>31.947550566681585</v>
      </c>
      <c r="R157" s="9">
        <f t="shared" si="19"/>
        <v>32.183835796713289</v>
      </c>
      <c r="S157" s="9">
        <f t="shared" si="20"/>
        <v>32.40644701362266</v>
      </c>
    </row>
    <row r="158" spans="14:19" x14ac:dyDescent="0.15">
      <c r="N158" s="9">
        <v>154</v>
      </c>
      <c r="O158" s="9">
        <f t="shared" si="16"/>
        <v>31.570281564001995</v>
      </c>
      <c r="P158" s="9">
        <f t="shared" si="17"/>
        <v>31.950054931632227</v>
      </c>
      <c r="Q158" s="9">
        <f t="shared" si="18"/>
        <v>32.177716729318796</v>
      </c>
      <c r="R158" s="9">
        <f t="shared" si="19"/>
        <v>32.394187664665658</v>
      </c>
      <c r="S158" s="9">
        <f t="shared" si="20"/>
        <v>32.618253856848952</v>
      </c>
    </row>
    <row r="159" spans="14:19" x14ac:dyDescent="0.15">
      <c r="N159" s="9">
        <v>155</v>
      </c>
      <c r="O159" s="9">
        <f t="shared" si="16"/>
        <v>31.887968383123894</v>
      </c>
      <c r="P159" s="9">
        <f t="shared" si="17"/>
        <v>32.177147440317299</v>
      </c>
      <c r="Q159" s="9">
        <f t="shared" si="18"/>
        <v>32.386662941846836</v>
      </c>
      <c r="R159" s="9">
        <f t="shared" si="19"/>
        <v>32.604539532618034</v>
      </c>
      <c r="S159" s="9">
        <f t="shared" si="20"/>
        <v>32.830060700075244</v>
      </c>
    </row>
    <row r="160" spans="14:19" x14ac:dyDescent="0.15">
      <c r="N160" s="9">
        <v>156</v>
      </c>
      <c r="O160" s="9">
        <f t="shared" si="16"/>
        <v>32.133343491232544</v>
      </c>
      <c r="P160" s="9">
        <f t="shared" si="17"/>
        <v>32.384741939932248</v>
      </c>
      <c r="Q160" s="9">
        <f t="shared" si="18"/>
        <v>32.595609154374884</v>
      </c>
      <c r="R160" s="9">
        <f t="shared" si="19"/>
        <v>32.81489140057041</v>
      </c>
      <c r="S160" s="9">
        <f t="shared" si="20"/>
        <v>33.041867543301535</v>
      </c>
    </row>
    <row r="161" spans="14:19" x14ac:dyDescent="0.15">
      <c r="N161" s="9">
        <v>157</v>
      </c>
      <c r="O161" s="9">
        <f t="shared" si="16"/>
        <v>32.339326462330185</v>
      </c>
      <c r="P161" s="9">
        <f t="shared" si="17"/>
        <v>32.592336439547196</v>
      </c>
      <c r="Q161" s="9">
        <f t="shared" si="18"/>
        <v>32.804555366902925</v>
      </c>
      <c r="R161" s="9">
        <f t="shared" si="19"/>
        <v>33.025243268522786</v>
      </c>
      <c r="S161" s="9">
        <f t="shared" si="20"/>
        <v>33.253674386527827</v>
      </c>
    </row>
    <row r="162" spans="14:19" x14ac:dyDescent="0.15">
      <c r="N162" s="9">
        <v>158</v>
      </c>
      <c r="O162" s="9">
        <f t="shared" si="16"/>
        <v>32.545309433427832</v>
      </c>
      <c r="P162" s="9">
        <f t="shared" si="17"/>
        <v>32.799930939162145</v>
      </c>
      <c r="Q162" s="9">
        <f t="shared" si="18"/>
        <v>33.013501579430972</v>
      </c>
      <c r="R162" s="9">
        <f t="shared" si="19"/>
        <v>33.235595136475162</v>
      </c>
      <c r="S162" s="9">
        <f t="shared" si="20"/>
        <v>33.465481229754118</v>
      </c>
    </row>
    <row r="163" spans="14:19" x14ac:dyDescent="0.15">
      <c r="N163" s="9">
        <v>159</v>
      </c>
      <c r="O163" s="9">
        <f t="shared" si="16"/>
        <v>32.751292404525479</v>
      </c>
      <c r="P163" s="9">
        <f t="shared" si="17"/>
        <v>33.007525438777101</v>
      </c>
      <c r="Q163" s="9">
        <f t="shared" si="18"/>
        <v>33.222447791959013</v>
      </c>
      <c r="R163" s="9">
        <f t="shared" si="19"/>
        <v>33.445947004427531</v>
      </c>
      <c r="S163" s="9">
        <f t="shared" si="20"/>
        <v>33.67728807298041</v>
      </c>
    </row>
    <row r="164" spans="14:19" x14ac:dyDescent="0.15">
      <c r="N164" s="9">
        <v>160</v>
      </c>
      <c r="O164" s="9">
        <f t="shared" si="16"/>
        <v>32.957275375623119</v>
      </c>
      <c r="P164" s="9">
        <f t="shared" si="17"/>
        <v>33.21511993839205</v>
      </c>
      <c r="Q164" s="9">
        <f t="shared" si="18"/>
        <v>33.431394004487061</v>
      </c>
      <c r="R164" s="9">
        <f t="shared" si="19"/>
        <v>33.656298872379907</v>
      </c>
      <c r="S164" s="9">
        <f t="shared" si="20"/>
        <v>33.889094916206702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tabColor rgb="FFFFFF00"/>
  </sheetPr>
  <dimension ref="B1:CD113"/>
  <sheetViews>
    <sheetView topLeftCell="AH1" workbookViewId="0">
      <selection activeCell="D26" sqref="D26:D27"/>
    </sheetView>
  </sheetViews>
  <sheetFormatPr defaultColWidth="6.625" defaultRowHeight="11.25" x14ac:dyDescent="0.15"/>
  <cols>
    <col min="1" max="8" width="6.625" style="36"/>
    <col min="9" max="9" width="6.625" style="11"/>
    <col min="10" max="10" width="6.625" style="36"/>
    <col min="11" max="20" width="6.625" style="36" customWidth="1"/>
    <col min="21" max="41" width="6.625" style="36"/>
    <col min="42" max="42" width="6.625" style="36" customWidth="1"/>
    <col min="43" max="43" width="6.625" style="11" customWidth="1"/>
    <col min="44" max="44" width="6.625" style="36" customWidth="1"/>
    <col min="45" max="45" width="10.5" style="36" customWidth="1"/>
    <col min="46" max="56" width="6.625" style="36" customWidth="1"/>
    <col min="57" max="57" width="6.625" style="11" customWidth="1"/>
    <col min="58" max="66" width="6.625" style="36" customWidth="1"/>
    <col min="67" max="16384" width="6.625" style="36"/>
  </cols>
  <sheetData>
    <row r="1" spans="2:82" x14ac:dyDescent="0.15">
      <c r="K1" s="38" t="s">
        <v>91</v>
      </c>
      <c r="L1" s="39">
        <v>0</v>
      </c>
      <c r="AR1" s="40" t="s">
        <v>112</v>
      </c>
    </row>
    <row r="2" spans="2:82" x14ac:dyDescent="0.15">
      <c r="AS2" s="40" t="s">
        <v>118</v>
      </c>
    </row>
    <row r="3" spans="2:82" x14ac:dyDescent="0.15">
      <c r="B3" s="41" t="s">
        <v>66</v>
      </c>
      <c r="C3" s="35" t="s">
        <v>8</v>
      </c>
      <c r="D3" s="35" t="s">
        <v>9</v>
      </c>
      <c r="E3" s="35" t="s">
        <v>10</v>
      </c>
      <c r="F3" s="35" t="s">
        <v>11</v>
      </c>
      <c r="G3" s="35" t="s">
        <v>12</v>
      </c>
      <c r="K3" s="129" t="s">
        <v>13</v>
      </c>
      <c r="L3" s="129"/>
      <c r="M3" s="129"/>
      <c r="N3" s="129"/>
      <c r="O3" s="129" t="s">
        <v>80</v>
      </c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 t="s">
        <v>85</v>
      </c>
      <c r="AA3" s="129"/>
      <c r="AB3" s="129"/>
      <c r="AC3" s="129"/>
      <c r="AD3" s="129"/>
      <c r="AE3" s="129" t="s">
        <v>115</v>
      </c>
      <c r="AF3" s="129"/>
      <c r="AG3" s="129"/>
      <c r="AH3" s="129"/>
      <c r="AI3" s="129"/>
      <c r="AJ3" s="129" t="s">
        <v>42</v>
      </c>
      <c r="AK3" s="129"/>
      <c r="AL3" s="129"/>
      <c r="AM3" s="129"/>
      <c r="AN3" s="129"/>
      <c r="AS3" s="40" t="s">
        <v>117</v>
      </c>
      <c r="BG3" s="36" t="s">
        <v>0</v>
      </c>
      <c r="BH3" s="134" t="s">
        <v>42</v>
      </c>
      <c r="BI3" s="135"/>
      <c r="BJ3" s="135"/>
      <c r="BK3" s="135"/>
      <c r="BL3" s="136"/>
      <c r="BP3" s="36" t="s">
        <v>42</v>
      </c>
      <c r="BZ3" s="36" t="s">
        <v>42</v>
      </c>
    </row>
    <row r="4" spans="2:82" x14ac:dyDescent="0.15">
      <c r="B4" s="6" t="s">
        <v>84</v>
      </c>
      <c r="C4" s="35">
        <v>50</v>
      </c>
      <c r="D4" s="35">
        <v>200</v>
      </c>
      <c r="E4" s="35">
        <v>400</v>
      </c>
      <c r="F4" s="35">
        <v>2000</v>
      </c>
      <c r="G4" s="35">
        <v>5000</v>
      </c>
      <c r="K4" s="129"/>
      <c r="L4" s="129"/>
      <c r="M4" s="129"/>
      <c r="N4" s="129"/>
      <c r="O4" s="129" t="s">
        <v>81</v>
      </c>
      <c r="P4" s="129"/>
      <c r="Q4" s="129"/>
      <c r="R4" s="129"/>
      <c r="S4" s="129"/>
      <c r="T4" s="137" t="s">
        <v>82</v>
      </c>
      <c r="U4" s="129" t="s">
        <v>83</v>
      </c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29"/>
      <c r="AK4" s="129"/>
      <c r="AL4" s="129"/>
      <c r="AM4" s="129"/>
      <c r="AN4" s="129"/>
      <c r="BG4" s="35" t="s">
        <v>102</v>
      </c>
      <c r="BH4" s="35" t="s">
        <v>8</v>
      </c>
      <c r="BI4" s="35" t="s">
        <v>9</v>
      </c>
      <c r="BJ4" s="35" t="s">
        <v>10</v>
      </c>
      <c r="BK4" s="35" t="s">
        <v>11</v>
      </c>
      <c r="BL4" s="35" t="s">
        <v>12</v>
      </c>
      <c r="BY4" s="36" t="s">
        <v>102</v>
      </c>
      <c r="BZ4" s="36" t="s">
        <v>104</v>
      </c>
      <c r="CA4" s="36" t="s">
        <v>105</v>
      </c>
      <c r="CB4" s="36" t="s">
        <v>106</v>
      </c>
      <c r="CC4" s="36" t="s">
        <v>107</v>
      </c>
      <c r="CD4" s="36" t="s">
        <v>108</v>
      </c>
    </row>
    <row r="5" spans="2:82" x14ac:dyDescent="0.15">
      <c r="B5" s="6" t="s">
        <v>88</v>
      </c>
      <c r="C5" s="6">
        <f>INT(C4*C7)</f>
        <v>12</v>
      </c>
      <c r="D5" s="6">
        <f t="shared" ref="D5:G5" si="0">INT(D4*D7)</f>
        <v>100</v>
      </c>
      <c r="E5" s="6">
        <f t="shared" si="0"/>
        <v>400</v>
      </c>
      <c r="F5" s="6">
        <f t="shared" si="0"/>
        <v>3000</v>
      </c>
      <c r="G5" s="6">
        <f t="shared" si="0"/>
        <v>15000</v>
      </c>
      <c r="K5" s="35" t="s">
        <v>14</v>
      </c>
      <c r="L5" s="35" t="s">
        <v>79</v>
      </c>
      <c r="M5" s="35" t="s">
        <v>21</v>
      </c>
      <c r="N5" s="35" t="s">
        <v>78</v>
      </c>
      <c r="O5" s="35" t="s">
        <v>33</v>
      </c>
      <c r="P5" s="35" t="s">
        <v>34</v>
      </c>
      <c r="Q5" s="35" t="s">
        <v>10</v>
      </c>
      <c r="R5" s="35" t="s">
        <v>36</v>
      </c>
      <c r="S5" s="35" t="s">
        <v>37</v>
      </c>
      <c r="T5" s="138"/>
      <c r="U5" s="35" t="s">
        <v>33</v>
      </c>
      <c r="V5" s="35" t="s">
        <v>34</v>
      </c>
      <c r="W5" s="35" t="s">
        <v>35</v>
      </c>
      <c r="X5" s="35" t="s">
        <v>36</v>
      </c>
      <c r="Y5" s="35" t="s">
        <v>37</v>
      </c>
      <c r="Z5" s="35" t="s">
        <v>33</v>
      </c>
      <c r="AA5" s="35" t="s">
        <v>34</v>
      </c>
      <c r="AB5" s="35" t="s">
        <v>10</v>
      </c>
      <c r="AC5" s="35" t="s">
        <v>36</v>
      </c>
      <c r="AD5" s="35" t="s">
        <v>37</v>
      </c>
      <c r="AE5" s="35" t="s">
        <v>8</v>
      </c>
      <c r="AF5" s="35" t="s">
        <v>9</v>
      </c>
      <c r="AG5" s="35" t="s">
        <v>10</v>
      </c>
      <c r="AH5" s="35" t="s">
        <v>11</v>
      </c>
      <c r="AI5" s="35" t="s">
        <v>12</v>
      </c>
      <c r="AJ5" s="35" t="s">
        <v>33</v>
      </c>
      <c r="AK5" s="35" t="s">
        <v>34</v>
      </c>
      <c r="AL5" s="35" t="s">
        <v>35</v>
      </c>
      <c r="AM5" s="35" t="s">
        <v>36</v>
      </c>
      <c r="AN5" s="35" t="s">
        <v>37</v>
      </c>
      <c r="BG5" s="35">
        <v>5</v>
      </c>
      <c r="BH5" s="35" t="e">
        <f>求节点($L$6:$L$21,AJ$6:AJ$21,$BG5)</f>
        <v>#VALUE!</v>
      </c>
      <c r="BI5" s="45" t="e">
        <f t="shared" ref="BI5:BL5" si="1">求节点($L$6:$L$21,AK$6:AK$21,$BG5)</f>
        <v>#VALUE!</v>
      </c>
      <c r="BJ5" s="45" t="e">
        <f t="shared" si="1"/>
        <v>#VALUE!</v>
      </c>
      <c r="BK5" s="45" t="e">
        <f t="shared" si="1"/>
        <v>#VALUE!</v>
      </c>
      <c r="BL5" s="45" t="e">
        <f t="shared" si="1"/>
        <v>#VALUE!</v>
      </c>
      <c r="BP5" s="36" t="s">
        <v>104</v>
      </c>
      <c r="BQ5" s="36" t="s">
        <v>105</v>
      </c>
      <c r="BR5" s="36" t="s">
        <v>106</v>
      </c>
      <c r="BS5" s="36" t="s">
        <v>107</v>
      </c>
      <c r="BT5" s="36" t="s">
        <v>108</v>
      </c>
      <c r="BY5" s="36">
        <v>5</v>
      </c>
      <c r="BZ5" s="36" t="e">
        <v>#VALUE!</v>
      </c>
      <c r="CA5" s="36" t="e">
        <v>#VALUE!</v>
      </c>
      <c r="CB5" s="36" t="e">
        <v>#VALUE!</v>
      </c>
      <c r="CC5" s="36" t="e">
        <v>#VALUE!</v>
      </c>
      <c r="CD5" s="36" t="e">
        <v>#VALUE!</v>
      </c>
    </row>
    <row r="6" spans="2:82" x14ac:dyDescent="0.15">
      <c r="J6" s="36">
        <v>1</v>
      </c>
      <c r="K6" s="35">
        <f>求节点(节奏总纲!$Z$4:$Z$83,节奏总纲!$AA$4:$AA$83,基础状态预估!C19)</f>
        <v>2.5387719203926467</v>
      </c>
      <c r="L6" s="35">
        <f>基础状态预估!D19</f>
        <v>18.226342304552581</v>
      </c>
      <c r="M6" s="35">
        <f>基础状态预估!E19</f>
        <v>1</v>
      </c>
      <c r="N6" s="35" t="e">
        <f>$L$1*(求节点('[1]资源-钻石'!$K$4:$K$113,'[1]资源-钻石'!$L$4:$L$113,L6))</f>
        <v>#VALUE!</v>
      </c>
      <c r="O6" s="35">
        <v>0</v>
      </c>
      <c r="P6" s="35">
        <v>0</v>
      </c>
      <c r="Q6" s="35">
        <v>0</v>
      </c>
      <c r="R6" s="35">
        <v>0</v>
      </c>
      <c r="S6" s="35">
        <v>0</v>
      </c>
      <c r="T6" s="17" t="e">
        <f>N6</f>
        <v>#VALUE!</v>
      </c>
      <c r="U6" s="35">
        <f>IFERROR($T6/SUMPRODUCT($C$4:$G$4,$O6:$S6)*O6,0)</f>
        <v>0</v>
      </c>
      <c r="V6" s="35">
        <f t="shared" ref="V6:Y6" si="2">IFERROR($T6/SUMPRODUCT($C$4:$G$4,$O6:$S6)*P6,0)</f>
        <v>0</v>
      </c>
      <c r="W6" s="35">
        <f t="shared" si="2"/>
        <v>0</v>
      </c>
      <c r="X6" s="35">
        <f t="shared" si="2"/>
        <v>0</v>
      </c>
      <c r="Y6" s="35">
        <f t="shared" si="2"/>
        <v>0</v>
      </c>
      <c r="Z6" s="35">
        <v>1</v>
      </c>
      <c r="AA6" s="35"/>
      <c r="AB6" s="35"/>
      <c r="AC6" s="35"/>
      <c r="AD6" s="35"/>
      <c r="AE6" s="35">
        <f t="shared" ref="AE6:AE15" si="3">求节点($AS$9:$AS$56,AY$9:AY$56,$K6)</f>
        <v>0</v>
      </c>
      <c r="AF6" s="35">
        <f t="shared" ref="AF6:AF15" si="4">求节点($AS$9:$AS$56,AZ$9:AZ$56,$K6)</f>
        <v>0.3626817029132352</v>
      </c>
      <c r="AG6" s="35">
        <f t="shared" ref="AG6:AG15" si="5">求节点($AS$9:$AS$56,BA$9:BA$56,$K6)</f>
        <v>0</v>
      </c>
      <c r="AH6" s="35">
        <f t="shared" ref="AH6:AH15" si="6">求节点($AS$9:$AS$56,BB$9:BB$56,$K6)</f>
        <v>0</v>
      </c>
      <c r="AI6" s="35">
        <f t="shared" ref="AI6:AI15" si="7">求节点($AS$9:$AS$56,BC$9:BC$56,$K6)</f>
        <v>0</v>
      </c>
      <c r="AJ6" s="35">
        <f>SUM(U$6:U6)+Z6+AE6</f>
        <v>1</v>
      </c>
      <c r="AK6" s="35">
        <f>SUM(V$6:V6)+AA6+AF6</f>
        <v>0.3626817029132352</v>
      </c>
      <c r="AL6" s="35">
        <f>SUM(W$6:W6)+AB6+AG6</f>
        <v>0</v>
      </c>
      <c r="AM6" s="35">
        <f>SUM(X$6:X6)+AC6+AH6</f>
        <v>0</v>
      </c>
      <c r="AN6" s="35">
        <f>SUM(Y$6:Y6)+AD6+AI6</f>
        <v>0</v>
      </c>
      <c r="BG6" s="35">
        <v>10</v>
      </c>
      <c r="BH6" s="45" t="e">
        <f t="shared" ref="BH6:BH36" si="8">求节点($L$6:$L$21,AJ$6:AJ$21,$BG6)</f>
        <v>#VALUE!</v>
      </c>
      <c r="BI6" s="45" t="e">
        <f t="shared" ref="BI6:BI36" si="9">求节点($L$6:$L$21,AK$6:AK$21,$BG6)</f>
        <v>#VALUE!</v>
      </c>
      <c r="BJ6" s="45" t="e">
        <f t="shared" ref="BJ6:BJ36" si="10">求节点($L$6:$L$21,AL$6:AL$21,$BG6)</f>
        <v>#VALUE!</v>
      </c>
      <c r="BK6" s="45" t="e">
        <f t="shared" ref="BK6:BK36" si="11">求节点($L$6:$L$21,AM$6:AM$21,$BG6)</f>
        <v>#VALUE!</v>
      </c>
      <c r="BL6" s="45" t="e">
        <f t="shared" ref="BL6:BL36" si="12">求节点($L$6:$L$21,AN$6:AN$21,$BG6)</f>
        <v>#VALUE!</v>
      </c>
      <c r="BP6" s="36">
        <v>0</v>
      </c>
      <c r="BQ6" s="36">
        <v>3.6452684609105162</v>
      </c>
      <c r="BR6" s="36">
        <v>0</v>
      </c>
      <c r="BS6" s="36">
        <v>0</v>
      </c>
      <c r="BT6" s="36">
        <v>0</v>
      </c>
      <c r="BY6" s="36">
        <v>10</v>
      </c>
      <c r="BZ6" s="36" t="e">
        <v>#VALUE!</v>
      </c>
      <c r="CA6" s="36" t="e">
        <v>#VALUE!</v>
      </c>
      <c r="CB6" s="36" t="e">
        <v>#VALUE!</v>
      </c>
      <c r="CC6" s="36" t="e">
        <v>#VALUE!</v>
      </c>
      <c r="CD6" s="36" t="e">
        <v>#VALUE!</v>
      </c>
    </row>
    <row r="7" spans="2:82" x14ac:dyDescent="0.15">
      <c r="C7" s="36">
        <v>0.25</v>
      </c>
      <c r="D7" s="36">
        <v>0.5</v>
      </c>
      <c r="E7" s="36">
        <v>1</v>
      </c>
      <c r="F7" s="36">
        <v>1.5</v>
      </c>
      <c r="G7" s="36">
        <v>3</v>
      </c>
      <c r="J7" s="36">
        <v>2</v>
      </c>
      <c r="K7" s="45">
        <f>求节点(节奏总纲!$Z$4:$Z$83,节奏总纲!$AA$4:$AA$83,基础状态预估!C20)</f>
        <v>4.8228975321654577</v>
      </c>
      <c r="L7" s="35">
        <f>基础状态预估!D20</f>
        <v>24.310866931512376</v>
      </c>
      <c r="M7" s="35">
        <f>基础状态预估!E20</f>
        <v>2</v>
      </c>
      <c r="N7" s="35" t="e">
        <f>$L$1*(求节点('[1]资源-钻石'!$K$4:$K$113,'[1]资源-钻石'!$L$4:$L$113,L7))</f>
        <v>#VALUE!</v>
      </c>
      <c r="O7" s="26">
        <f>O6</f>
        <v>0</v>
      </c>
      <c r="P7" s="26">
        <f t="shared" ref="P7:S7" si="13">P6</f>
        <v>0</v>
      </c>
      <c r="Q7" s="26">
        <f t="shared" si="13"/>
        <v>0</v>
      </c>
      <c r="R7" s="26">
        <f t="shared" si="13"/>
        <v>0</v>
      </c>
      <c r="S7" s="26">
        <f t="shared" si="13"/>
        <v>0</v>
      </c>
      <c r="T7" s="35" t="e">
        <f>N7-N6</f>
        <v>#VALUE!</v>
      </c>
      <c r="U7" s="35">
        <f t="shared" ref="U7:U15" si="14">IFERROR($T7/SUMPRODUCT($C$4:$G$4,$O7:$S7)*O7,0)</f>
        <v>0</v>
      </c>
      <c r="V7" s="35">
        <f t="shared" ref="V7:V15" si="15">IFERROR($T7/SUMPRODUCT($C$4:$G$4,$O7:$S7)*P7,0)</f>
        <v>0</v>
      </c>
      <c r="W7" s="35">
        <f t="shared" ref="W7:W15" si="16">IFERROR($T7/SUMPRODUCT($C$4:$G$4,$O7:$S7)*Q7,0)</f>
        <v>0</v>
      </c>
      <c r="X7" s="35">
        <f t="shared" ref="X7:X15" si="17">IFERROR($T7/SUMPRODUCT($C$4:$G$4,$O7:$S7)*R7,0)</f>
        <v>0</v>
      </c>
      <c r="Y7" s="35">
        <f t="shared" ref="Y7:Y15" si="18">IFERROR($T7/SUMPRODUCT($C$4:$G$4,$O7:$S7)*S7,0)</f>
        <v>0</v>
      </c>
      <c r="Z7" s="35">
        <v>2</v>
      </c>
      <c r="AA7" s="35"/>
      <c r="AB7" s="35"/>
      <c r="AC7" s="35"/>
      <c r="AD7" s="35"/>
      <c r="AE7" s="35">
        <f t="shared" si="3"/>
        <v>0</v>
      </c>
      <c r="AF7" s="35">
        <f>求节点($AS$9:$AS$56,AZ$9:AZ$56,$K7)</f>
        <v>0.68898536173792246</v>
      </c>
      <c r="AG7" s="35">
        <f t="shared" si="5"/>
        <v>0</v>
      </c>
      <c r="AH7" s="35">
        <f t="shared" si="6"/>
        <v>0</v>
      </c>
      <c r="AI7" s="35">
        <f t="shared" si="7"/>
        <v>0</v>
      </c>
      <c r="AJ7" s="35">
        <f>SUM(U$6:U7)+Z7+AE7</f>
        <v>2</v>
      </c>
      <c r="AK7" s="35">
        <f>SUM(V$6:V7)+AA7+AF7</f>
        <v>0.68898536173792246</v>
      </c>
      <c r="AL7" s="35">
        <f>SUM(W$6:W7)+AB7+AG7</f>
        <v>0</v>
      </c>
      <c r="AM7" s="35">
        <f>SUM(X$6:X7)+AC7+AH7</f>
        <v>0</v>
      </c>
      <c r="AN7" s="35">
        <f>SUM(Y$6:Y7)+AD7+AI7</f>
        <v>0</v>
      </c>
      <c r="AT7" s="121" t="s">
        <v>114</v>
      </c>
      <c r="AU7" s="121"/>
      <c r="AV7" s="121"/>
      <c r="AW7" s="121"/>
      <c r="AX7" s="121"/>
      <c r="AY7" s="121" t="s">
        <v>116</v>
      </c>
      <c r="AZ7" s="121"/>
      <c r="BA7" s="121"/>
      <c r="BB7" s="121"/>
      <c r="BC7" s="121"/>
      <c r="BG7" s="35">
        <v>15</v>
      </c>
      <c r="BH7" s="45" t="e">
        <f t="shared" si="8"/>
        <v>#VALUE!</v>
      </c>
      <c r="BI7" s="45" t="e">
        <f t="shared" si="9"/>
        <v>#VALUE!</v>
      </c>
      <c r="BJ7" s="45" t="e">
        <f t="shared" si="10"/>
        <v>#VALUE!</v>
      </c>
      <c r="BK7" s="45" t="e">
        <f t="shared" si="11"/>
        <v>#VALUE!</v>
      </c>
      <c r="BL7" s="45" t="e">
        <f t="shared" si="12"/>
        <v>#VALUE!</v>
      </c>
      <c r="BP7" s="36">
        <v>0</v>
      </c>
      <c r="BQ7" s="36">
        <v>4.8621733863024748</v>
      </c>
      <c r="BR7" s="36">
        <v>0</v>
      </c>
      <c r="BS7" s="36">
        <v>0</v>
      </c>
      <c r="BT7" s="36">
        <v>0</v>
      </c>
      <c r="BY7" s="36">
        <v>15</v>
      </c>
      <c r="BZ7" s="36" t="e">
        <v>#VALUE!</v>
      </c>
      <c r="CA7" s="36" t="e">
        <v>#VALUE!</v>
      </c>
      <c r="CB7" s="36" t="e">
        <v>#VALUE!</v>
      </c>
      <c r="CC7" s="36" t="e">
        <v>#VALUE!</v>
      </c>
      <c r="CD7" s="36" t="e">
        <v>#VALUE!</v>
      </c>
    </row>
    <row r="8" spans="2:82" x14ac:dyDescent="0.15">
      <c r="J8" s="46">
        <v>3</v>
      </c>
      <c r="K8" s="45">
        <f>求节点(节奏总纲!$Z$4:$Z$83,节奏总纲!$AA$4:$AA$83,基础状态预估!C21)</f>
        <v>9.6550138771594227</v>
      </c>
      <c r="L8" s="35">
        <f>基础状态预估!D21</f>
        <v>32.979382606869549</v>
      </c>
      <c r="M8" s="35">
        <f>基础状态预估!E21</f>
        <v>3</v>
      </c>
      <c r="N8" s="35" t="e">
        <f>$L$1*(求节点('[1]资源-钻石'!$K$4:$K$113,'[1]资源-钻石'!$L$4:$L$113,L8))</f>
        <v>#VALUE!</v>
      </c>
      <c r="O8" s="26">
        <f t="shared" ref="O8:O21" si="19">O7</f>
        <v>0</v>
      </c>
      <c r="P8" s="26">
        <f t="shared" ref="P8:P21" si="20">P7</f>
        <v>0</v>
      </c>
      <c r="Q8" s="26">
        <f t="shared" ref="Q8:Q21" si="21">Q7</f>
        <v>0</v>
      </c>
      <c r="R8" s="26">
        <f t="shared" ref="R8:R21" si="22">R7</f>
        <v>0</v>
      </c>
      <c r="S8" s="26">
        <f t="shared" ref="S8:S21" si="23">S7</f>
        <v>0</v>
      </c>
      <c r="T8" s="35" t="e">
        <f t="shared" ref="T8:T15" si="24">N8-N7</f>
        <v>#VALUE!</v>
      </c>
      <c r="U8" s="35">
        <f t="shared" si="14"/>
        <v>0</v>
      </c>
      <c r="V8" s="35">
        <f t="shared" si="15"/>
        <v>0</v>
      </c>
      <c r="W8" s="35">
        <f t="shared" si="16"/>
        <v>0</v>
      </c>
      <c r="X8" s="35">
        <f t="shared" si="17"/>
        <v>0</v>
      </c>
      <c r="Y8" s="35">
        <f t="shared" si="18"/>
        <v>0</v>
      </c>
      <c r="Z8" s="35">
        <v>3</v>
      </c>
      <c r="AA8" s="35"/>
      <c r="AB8" s="35"/>
      <c r="AC8" s="35"/>
      <c r="AD8" s="35"/>
      <c r="AE8" s="35">
        <f t="shared" si="3"/>
        <v>0</v>
      </c>
      <c r="AF8" s="35">
        <f t="shared" si="4"/>
        <v>1.3792876967370604</v>
      </c>
      <c r="AG8" s="35">
        <f t="shared" si="5"/>
        <v>0</v>
      </c>
      <c r="AH8" s="35">
        <f t="shared" si="6"/>
        <v>0</v>
      </c>
      <c r="AI8" s="35">
        <f t="shared" si="7"/>
        <v>0</v>
      </c>
      <c r="AJ8" s="35">
        <f>SUM(U$6:U8)+Z8+AE8</f>
        <v>3</v>
      </c>
      <c r="AK8" s="35">
        <f>SUM(V$6:V8)+AA8+AF8</f>
        <v>1.3792876967370604</v>
      </c>
      <c r="AL8" s="35">
        <f>SUM(W$6:W8)+AB8+AG8</f>
        <v>0</v>
      </c>
      <c r="AM8" s="35">
        <f>SUM(X$6:X8)+AC8+AH8</f>
        <v>0</v>
      </c>
      <c r="AN8" s="35">
        <f>SUM(Y$6:Y8)+AD8+AI8</f>
        <v>0</v>
      </c>
      <c r="AS8" s="36" t="s">
        <v>113</v>
      </c>
      <c r="AT8" s="36" t="s">
        <v>104</v>
      </c>
      <c r="AU8" s="36" t="s">
        <v>105</v>
      </c>
      <c r="AV8" s="36" t="s">
        <v>106</v>
      </c>
      <c r="AW8" s="36" t="s">
        <v>107</v>
      </c>
      <c r="AX8" s="36" t="s">
        <v>108</v>
      </c>
      <c r="AY8" s="36" t="s">
        <v>104</v>
      </c>
      <c r="AZ8" s="36" t="s">
        <v>105</v>
      </c>
      <c r="BA8" s="36" t="s">
        <v>106</v>
      </c>
      <c r="BB8" s="36" t="s">
        <v>107</v>
      </c>
      <c r="BC8" s="36" t="s">
        <v>108</v>
      </c>
      <c r="BG8" s="35">
        <v>20</v>
      </c>
      <c r="BH8" s="45">
        <f t="shared" si="8"/>
        <v>1.2915030843311168</v>
      </c>
      <c r="BI8" s="45">
        <f t="shared" si="9"/>
        <v>0.45780022588916003</v>
      </c>
      <c r="BJ8" s="45">
        <f t="shared" si="10"/>
        <v>0</v>
      </c>
      <c r="BK8" s="45">
        <f t="shared" si="11"/>
        <v>0</v>
      </c>
      <c r="BL8" s="45">
        <f t="shared" si="12"/>
        <v>0</v>
      </c>
      <c r="BP8" s="36">
        <v>0</v>
      </c>
      <c r="BQ8" s="36">
        <v>6.5958765213739099</v>
      </c>
      <c r="BR8" s="36">
        <v>0</v>
      </c>
      <c r="BS8" s="36">
        <v>0</v>
      </c>
      <c r="BT8" s="36">
        <v>0</v>
      </c>
      <c r="BY8" s="36">
        <v>20</v>
      </c>
      <c r="BZ8" s="36">
        <v>0</v>
      </c>
      <c r="CA8" s="36">
        <v>4</v>
      </c>
      <c r="CB8" s="36">
        <v>0</v>
      </c>
      <c r="CC8" s="36">
        <v>0</v>
      </c>
      <c r="CD8" s="36">
        <v>0</v>
      </c>
    </row>
    <row r="9" spans="2:82" x14ac:dyDescent="0.15">
      <c r="J9" s="46">
        <v>4</v>
      </c>
      <c r="K9" s="45">
        <f>求节点(节奏总纲!$Z$4:$Z$83,节奏总纲!$AA$4:$AA$83,基础状态预估!C22)</f>
        <v>18.870223137985384</v>
      </c>
      <c r="L9" s="35">
        <f>基础状态预估!D22</f>
        <v>41.947199016886806</v>
      </c>
      <c r="M9" s="35">
        <f>基础状态预估!E22</f>
        <v>4</v>
      </c>
      <c r="N9" s="35" t="e">
        <f>$L$1*(求节点('[1]资源-钻石'!$K$4:$K$113,'[1]资源-钻石'!$L$4:$L$113,L9))</f>
        <v>#VALUE!</v>
      </c>
      <c r="O9" s="26">
        <f t="shared" si="19"/>
        <v>0</v>
      </c>
      <c r="P9" s="26">
        <f t="shared" si="20"/>
        <v>0</v>
      </c>
      <c r="Q9" s="26">
        <f t="shared" si="21"/>
        <v>0</v>
      </c>
      <c r="R9" s="26">
        <f t="shared" si="22"/>
        <v>0</v>
      </c>
      <c r="S9" s="26">
        <f t="shared" si="23"/>
        <v>0</v>
      </c>
      <c r="T9" s="35" t="e">
        <f t="shared" si="24"/>
        <v>#VALUE!</v>
      </c>
      <c r="U9" s="35">
        <f t="shared" si="14"/>
        <v>0</v>
      </c>
      <c r="V9" s="35">
        <f t="shared" si="15"/>
        <v>0</v>
      </c>
      <c r="W9" s="35">
        <f t="shared" si="16"/>
        <v>0</v>
      </c>
      <c r="X9" s="35">
        <f t="shared" si="17"/>
        <v>0</v>
      </c>
      <c r="Y9" s="35">
        <f t="shared" si="18"/>
        <v>0</v>
      </c>
      <c r="Z9" s="35">
        <v>4</v>
      </c>
      <c r="AA9" s="35"/>
      <c r="AB9" s="35"/>
      <c r="AC9" s="35"/>
      <c r="AD9" s="35"/>
      <c r="AE9" s="35">
        <f t="shared" si="3"/>
        <v>0</v>
      </c>
      <c r="AF9" s="35">
        <f t="shared" si="4"/>
        <v>2.6957461625693404</v>
      </c>
      <c r="AG9" s="35">
        <f t="shared" si="5"/>
        <v>0</v>
      </c>
      <c r="AH9" s="35">
        <f t="shared" si="6"/>
        <v>0</v>
      </c>
      <c r="AI9" s="35">
        <f t="shared" si="7"/>
        <v>0</v>
      </c>
      <c r="AJ9" s="35">
        <f>SUM(U$6:U9)+Z9+AE9</f>
        <v>4</v>
      </c>
      <c r="AK9" s="35">
        <f>SUM(V$6:V9)+AA9+AF9</f>
        <v>2.6957461625693404</v>
      </c>
      <c r="AL9" s="35">
        <f>SUM(W$6:W9)+AB9+AG9</f>
        <v>0</v>
      </c>
      <c r="AM9" s="35">
        <f>SUM(X$6:X9)+AC9+AH9</f>
        <v>0</v>
      </c>
      <c r="AN9" s="35">
        <f>SUM(Y$6:Y9)+AD9+AI9</f>
        <v>0</v>
      </c>
      <c r="AS9" s="36">
        <v>0</v>
      </c>
      <c r="AY9" s="42">
        <v>0</v>
      </c>
      <c r="AZ9" s="42">
        <v>0</v>
      </c>
      <c r="BA9" s="42">
        <v>0</v>
      </c>
      <c r="BB9" s="42">
        <v>0</v>
      </c>
      <c r="BC9" s="42">
        <v>0</v>
      </c>
      <c r="BG9" s="35">
        <v>25</v>
      </c>
      <c r="BH9" s="45">
        <f t="shared" si="8"/>
        <v>2.0794983933000997</v>
      </c>
      <c r="BI9" s="45">
        <f t="shared" si="9"/>
        <v>0.74386328826166115</v>
      </c>
      <c r="BJ9" s="45">
        <f t="shared" si="10"/>
        <v>0</v>
      </c>
      <c r="BK9" s="45">
        <f t="shared" si="11"/>
        <v>0</v>
      </c>
      <c r="BL9" s="45">
        <f t="shared" si="12"/>
        <v>0</v>
      </c>
      <c r="BP9" s="36">
        <v>0</v>
      </c>
      <c r="BQ9" s="36">
        <v>6.5958765213739099</v>
      </c>
      <c r="BR9" s="36">
        <v>1.7935632820034506</v>
      </c>
      <c r="BS9" s="36">
        <v>0</v>
      </c>
      <c r="BT9" s="36">
        <v>0</v>
      </c>
      <c r="BY9" s="36">
        <v>25</v>
      </c>
      <c r="BZ9" s="36">
        <v>0</v>
      </c>
      <c r="CA9" s="36">
        <v>5</v>
      </c>
      <c r="CB9" s="36">
        <v>0</v>
      </c>
      <c r="CC9" s="36">
        <v>0</v>
      </c>
      <c r="CD9" s="36">
        <v>0</v>
      </c>
    </row>
    <row r="10" spans="2:82" x14ac:dyDescent="0.15">
      <c r="J10" s="46">
        <v>5</v>
      </c>
      <c r="K10" s="45">
        <f>求节点(节奏总纲!$Z$4:$Z$83,节奏总纲!$AA$4:$AA$83,基础状态预估!C23)</f>
        <v>36.28923876358067</v>
      </c>
      <c r="L10" s="35">
        <f>基础状态预估!D23</f>
        <v>51.024751728602688</v>
      </c>
      <c r="M10" s="35">
        <f>基础状态预估!E23</f>
        <v>5</v>
      </c>
      <c r="N10" s="35" t="e">
        <f>$L$1*(求节点('[1]资源-钻石'!$K$4:$K$113,'[1]资源-钻石'!$L$4:$L$113,L10))</f>
        <v>#VALUE!</v>
      </c>
      <c r="O10" s="26">
        <f t="shared" si="19"/>
        <v>0</v>
      </c>
      <c r="P10" s="26">
        <f t="shared" si="20"/>
        <v>0</v>
      </c>
      <c r="Q10" s="26">
        <f t="shared" si="21"/>
        <v>0</v>
      </c>
      <c r="R10" s="26">
        <f t="shared" si="22"/>
        <v>0</v>
      </c>
      <c r="S10" s="26">
        <f t="shared" si="23"/>
        <v>0</v>
      </c>
      <c r="T10" s="35" t="e">
        <f t="shared" si="24"/>
        <v>#VALUE!</v>
      </c>
      <c r="U10" s="35">
        <f t="shared" si="14"/>
        <v>0</v>
      </c>
      <c r="V10" s="35">
        <f t="shared" si="15"/>
        <v>0</v>
      </c>
      <c r="W10" s="35">
        <f t="shared" si="16"/>
        <v>0</v>
      </c>
      <c r="X10" s="35">
        <f t="shared" si="17"/>
        <v>0</v>
      </c>
      <c r="Y10" s="35">
        <f t="shared" si="18"/>
        <v>0</v>
      </c>
      <c r="Z10" s="35">
        <v>5</v>
      </c>
      <c r="AA10" s="35"/>
      <c r="AB10" s="35"/>
      <c r="AC10" s="35"/>
      <c r="AD10" s="35"/>
      <c r="AE10" s="35">
        <f t="shared" si="3"/>
        <v>0</v>
      </c>
      <c r="AF10" s="35">
        <f t="shared" si="4"/>
        <v>3</v>
      </c>
      <c r="AG10" s="35">
        <f t="shared" si="5"/>
        <v>2.1841769662258099</v>
      </c>
      <c r="AH10" s="35">
        <f t="shared" si="6"/>
        <v>0.59208848311290496</v>
      </c>
      <c r="AI10" s="35">
        <f t="shared" si="7"/>
        <v>0</v>
      </c>
      <c r="AJ10" s="35">
        <f>SUM(U$6:U10)+Z10+AE10</f>
        <v>5</v>
      </c>
      <c r="AK10" s="35">
        <f>SUM(V$6:V10)+AA10+AF10</f>
        <v>3</v>
      </c>
      <c r="AL10" s="35">
        <f>SUM(W$6:W10)+AB10+AG10</f>
        <v>2.1841769662258099</v>
      </c>
      <c r="AM10" s="35">
        <f>SUM(X$6:X10)+AC10+AH10</f>
        <v>0.59208848311290496</v>
      </c>
      <c r="AN10" s="35">
        <f>SUM(Y$6:Y10)+AD10+AI10</f>
        <v>0</v>
      </c>
      <c r="AS10" s="36">
        <v>7</v>
      </c>
      <c r="AU10" s="36">
        <f t="shared" ref="AU10:AU12" si="25">1/7</f>
        <v>0.14285714285714285</v>
      </c>
      <c r="AY10" s="36">
        <f>IF($AS11="",AY9,($AS11-$AS10)*AT10+AY9)</f>
        <v>0</v>
      </c>
      <c r="AZ10" s="36">
        <f t="shared" ref="AZ10:BC10" si="26">IF($AS11="",AZ9,($AS11-$AS10)*AU10+AZ9)</f>
        <v>1</v>
      </c>
      <c r="BA10" s="36">
        <f t="shared" si="26"/>
        <v>0</v>
      </c>
      <c r="BB10" s="36">
        <f t="shared" si="26"/>
        <v>0</v>
      </c>
      <c r="BC10" s="36">
        <f t="shared" si="26"/>
        <v>0</v>
      </c>
      <c r="BG10" s="35">
        <v>30</v>
      </c>
      <c r="BH10" s="45">
        <f t="shared" si="8"/>
        <v>2.6562984115793515</v>
      </c>
      <c r="BI10" s="45">
        <f t="shared" si="9"/>
        <v>1.1420296877073743</v>
      </c>
      <c r="BJ10" s="45">
        <f t="shared" si="10"/>
        <v>0</v>
      </c>
      <c r="BK10" s="45">
        <f t="shared" si="11"/>
        <v>0</v>
      </c>
      <c r="BL10" s="45">
        <f t="shared" si="12"/>
        <v>0</v>
      </c>
      <c r="BP10" s="36">
        <v>0</v>
      </c>
      <c r="BQ10" s="36">
        <v>6.5958765213739099</v>
      </c>
      <c r="BR10" s="36">
        <v>3.6090738243466269</v>
      </c>
      <c r="BS10" s="36">
        <v>0</v>
      </c>
      <c r="BT10" s="36">
        <v>0</v>
      </c>
      <c r="BY10" s="36">
        <v>30</v>
      </c>
      <c r="BZ10" s="36">
        <v>0</v>
      </c>
      <c r="CA10" s="36">
        <v>6</v>
      </c>
      <c r="CB10" s="36">
        <v>0</v>
      </c>
      <c r="CC10" s="36">
        <v>0</v>
      </c>
      <c r="CD10" s="36">
        <v>0</v>
      </c>
    </row>
    <row r="11" spans="2:82" x14ac:dyDescent="0.15">
      <c r="J11" s="46">
        <v>6</v>
      </c>
      <c r="K11" s="45">
        <f>求节点(节奏总纲!$Z$4:$Z$83,节奏总纲!$AA$4:$AA$83,基础状态预估!C24)</f>
        <v>68.623430833504159</v>
      </c>
      <c r="L11" s="35">
        <f>基础状态预估!D24</f>
        <v>60.108849423225884</v>
      </c>
      <c r="M11" s="35">
        <f>基础状态预估!E24</f>
        <v>6</v>
      </c>
      <c r="N11" s="35" t="e">
        <f>$L$1*(求节点('[1]资源-钻石'!$K$4:$K$113,'[1]资源-钻石'!$L$4:$L$113,L11))</f>
        <v>#VALUE!</v>
      </c>
      <c r="O11" s="26">
        <f t="shared" si="19"/>
        <v>0</v>
      </c>
      <c r="P11" s="26">
        <f t="shared" si="20"/>
        <v>0</v>
      </c>
      <c r="Q11" s="26">
        <f t="shared" si="21"/>
        <v>0</v>
      </c>
      <c r="R11" s="26">
        <f t="shared" si="22"/>
        <v>0</v>
      </c>
      <c r="S11" s="26">
        <f t="shared" si="23"/>
        <v>0</v>
      </c>
      <c r="T11" s="35" t="e">
        <f t="shared" si="24"/>
        <v>#VALUE!</v>
      </c>
      <c r="U11" s="35">
        <f t="shared" si="14"/>
        <v>0</v>
      </c>
      <c r="V11" s="35">
        <f t="shared" si="15"/>
        <v>0</v>
      </c>
      <c r="W11" s="35">
        <f t="shared" si="16"/>
        <v>0</v>
      </c>
      <c r="X11" s="35">
        <f t="shared" si="17"/>
        <v>0</v>
      </c>
      <c r="Y11" s="35">
        <f t="shared" si="18"/>
        <v>0</v>
      </c>
      <c r="Z11" s="35">
        <v>6</v>
      </c>
      <c r="AA11" s="35"/>
      <c r="AB11" s="35"/>
      <c r="AC11" s="35"/>
      <c r="AD11" s="35"/>
      <c r="AE11" s="35">
        <f t="shared" si="3"/>
        <v>0</v>
      </c>
      <c r="AF11" s="35">
        <f t="shared" si="4"/>
        <v>3</v>
      </c>
      <c r="AG11" s="35">
        <f t="shared" si="5"/>
        <v>6.8033472619291651</v>
      </c>
      <c r="AH11" s="35">
        <f t="shared" si="6"/>
        <v>2.9016736309645825</v>
      </c>
      <c r="AI11" s="35">
        <f t="shared" si="7"/>
        <v>0</v>
      </c>
      <c r="AJ11" s="35">
        <f>SUM(U$6:U11)+Z11+AE11</f>
        <v>6</v>
      </c>
      <c r="AK11" s="35">
        <f>SUM(V$6:V11)+AA11+AF11</f>
        <v>3</v>
      </c>
      <c r="AL11" s="35">
        <f>SUM(W$6:W11)+AB11+AG11</f>
        <v>6.8033472619291651</v>
      </c>
      <c r="AM11" s="35">
        <f>SUM(X$6:X11)+AC11+AH11</f>
        <v>2.9016736309645825</v>
      </c>
      <c r="AN11" s="35">
        <f>SUM(Y$6:Y11)+AD11+AI11</f>
        <v>0</v>
      </c>
      <c r="AS11" s="36">
        <v>14</v>
      </c>
      <c r="AU11" s="36">
        <f t="shared" si="25"/>
        <v>0.14285714285714285</v>
      </c>
      <c r="AY11" s="36">
        <f t="shared" ref="AY11:AY56" si="27">IF($AS12="",AY10,($AS12-$AS11)*AT11+AY10)</f>
        <v>0</v>
      </c>
      <c r="AZ11" s="36">
        <f t="shared" ref="AZ11:AZ56" si="28">IF($AS12="",AZ10,($AS12-$AS11)*AU11+AZ10)</f>
        <v>2</v>
      </c>
      <c r="BA11" s="36">
        <f t="shared" ref="BA11:BA56" si="29">IF($AS12="",BA10,($AS12-$AS11)*AV11+BA10)</f>
        <v>0</v>
      </c>
      <c r="BB11" s="36">
        <f t="shared" ref="BB11:BB56" si="30">IF($AS12="",BB10,($AS12-$AS11)*AW11+BB10)</f>
        <v>0</v>
      </c>
      <c r="BC11" s="36">
        <f t="shared" ref="BC11:BC56" si="31">IF($AS12="",BC10,($AS12-$AS11)*AX11+BC10)</f>
        <v>0</v>
      </c>
      <c r="BG11" s="35">
        <v>35</v>
      </c>
      <c r="BH11" s="45">
        <f t="shared" si="8"/>
        <v>3.2253187733497057</v>
      </c>
      <c r="BI11" s="45">
        <f t="shared" si="9"/>
        <v>1.6759105034242254</v>
      </c>
      <c r="BJ11" s="45">
        <f t="shared" si="10"/>
        <v>0</v>
      </c>
      <c r="BK11" s="45">
        <f t="shared" si="11"/>
        <v>0</v>
      </c>
      <c r="BL11" s="45">
        <f t="shared" si="12"/>
        <v>0</v>
      </c>
      <c r="BP11" s="36">
        <v>0</v>
      </c>
      <c r="BQ11" s="36">
        <v>6.5958765213739099</v>
      </c>
      <c r="BR11" s="36">
        <v>5.4258933632712676</v>
      </c>
      <c r="BS11" s="36">
        <v>0</v>
      </c>
      <c r="BT11" s="36">
        <v>0</v>
      </c>
      <c r="BY11" s="36">
        <v>35</v>
      </c>
      <c r="BZ11" s="36">
        <v>0</v>
      </c>
      <c r="CA11" s="36">
        <v>6.5958765213739099</v>
      </c>
      <c r="CB11" s="36">
        <v>0.40412347862608994</v>
      </c>
      <c r="CC11" s="36">
        <v>0</v>
      </c>
      <c r="CD11" s="36">
        <v>0</v>
      </c>
    </row>
    <row r="12" spans="2:82" x14ac:dyDescent="0.15">
      <c r="J12" s="46">
        <v>7</v>
      </c>
      <c r="K12" s="45">
        <f>求节点(节奏总纲!$Z$4:$Z$83,节奏总纲!$AA$4:$AA$83,基础状态预估!C25)</f>
        <v>124.62134549299002</v>
      </c>
      <c r="L12" s="35">
        <f>基础状态预估!D25</f>
        <v>68.617325920549462</v>
      </c>
      <c r="M12" s="35">
        <f>基础状态预估!E25</f>
        <v>7</v>
      </c>
      <c r="N12" s="35" t="e">
        <f>$L$1*(求节点('[1]资源-钻石'!$K$4:$K$113,'[1]资源-钻石'!$L$4:$L$113,L12))</f>
        <v>#VALUE!</v>
      </c>
      <c r="O12" s="26">
        <f t="shared" si="19"/>
        <v>0</v>
      </c>
      <c r="P12" s="26">
        <f t="shared" si="20"/>
        <v>0</v>
      </c>
      <c r="Q12" s="26">
        <f t="shared" si="21"/>
        <v>0</v>
      </c>
      <c r="R12" s="26">
        <f t="shared" si="22"/>
        <v>0</v>
      </c>
      <c r="S12" s="26">
        <f t="shared" si="23"/>
        <v>0</v>
      </c>
      <c r="T12" s="35" t="e">
        <f t="shared" si="24"/>
        <v>#VALUE!</v>
      </c>
      <c r="U12" s="35">
        <f t="shared" si="14"/>
        <v>0</v>
      </c>
      <c r="V12" s="35">
        <f t="shared" si="15"/>
        <v>0</v>
      </c>
      <c r="W12" s="35">
        <f t="shared" si="16"/>
        <v>0</v>
      </c>
      <c r="X12" s="35">
        <f t="shared" si="17"/>
        <v>0</v>
      </c>
      <c r="Y12" s="35">
        <f t="shared" si="18"/>
        <v>0</v>
      </c>
      <c r="Z12" s="35">
        <v>6</v>
      </c>
      <c r="AA12" s="35">
        <v>1</v>
      </c>
      <c r="AB12" s="35"/>
      <c r="AC12" s="35"/>
      <c r="AD12" s="35"/>
      <c r="AE12" s="35">
        <f t="shared" si="3"/>
        <v>0</v>
      </c>
      <c r="AF12" s="35">
        <f t="shared" si="4"/>
        <v>3</v>
      </c>
      <c r="AG12" s="35">
        <f t="shared" si="5"/>
        <v>14.803049356141431</v>
      </c>
      <c r="AH12" s="35">
        <f t="shared" si="6"/>
        <v>6.9015246780707153</v>
      </c>
      <c r="AI12" s="35">
        <f t="shared" si="7"/>
        <v>0</v>
      </c>
      <c r="AJ12" s="35">
        <f>SUM(U$6:U12)+Z12+AE12</f>
        <v>6</v>
      </c>
      <c r="AK12" s="35">
        <f>SUM(V$6:V12)+AA12+AF12</f>
        <v>4</v>
      </c>
      <c r="AL12" s="35">
        <f>SUM(W$6:W12)+AB12+AG12</f>
        <v>14.803049356141431</v>
      </c>
      <c r="AM12" s="35">
        <f>SUM(X$6:X12)+AC12+AH12</f>
        <v>6.9015246780707153</v>
      </c>
      <c r="AN12" s="35">
        <f>SUM(Y$6:Y12)+AD12+AI12</f>
        <v>0</v>
      </c>
      <c r="AS12" s="36">
        <v>21</v>
      </c>
      <c r="AU12" s="36">
        <f t="shared" si="25"/>
        <v>0.14285714285714285</v>
      </c>
      <c r="AY12" s="36">
        <f t="shared" si="27"/>
        <v>0</v>
      </c>
      <c r="AZ12" s="36">
        <f t="shared" si="28"/>
        <v>3</v>
      </c>
      <c r="BA12" s="36">
        <f t="shared" si="29"/>
        <v>0</v>
      </c>
      <c r="BB12" s="36">
        <f t="shared" si="30"/>
        <v>0</v>
      </c>
      <c r="BC12" s="36">
        <f t="shared" si="31"/>
        <v>0</v>
      </c>
      <c r="BG12" s="35">
        <v>40</v>
      </c>
      <c r="BH12" s="45">
        <f t="shared" si="8"/>
        <v>3.7828680998964543</v>
      </c>
      <c r="BI12" s="45">
        <f t="shared" si="9"/>
        <v>2.4099010344757783</v>
      </c>
      <c r="BJ12" s="45">
        <f t="shared" si="10"/>
        <v>0</v>
      </c>
      <c r="BK12" s="45">
        <f t="shared" si="11"/>
        <v>0</v>
      </c>
      <c r="BL12" s="45">
        <f t="shared" si="12"/>
        <v>0</v>
      </c>
      <c r="BP12" s="36">
        <v>0</v>
      </c>
      <c r="BQ12" s="36">
        <v>6.5958765213739099</v>
      </c>
      <c r="BR12" s="36">
        <v>5.4258933632712676</v>
      </c>
      <c r="BS12" s="36">
        <v>1.7016952994647152</v>
      </c>
      <c r="BT12" s="36">
        <v>0</v>
      </c>
      <c r="BY12" s="36">
        <v>40</v>
      </c>
      <c r="BZ12" s="36">
        <v>0</v>
      </c>
      <c r="CA12" s="36">
        <v>6.5958765213739099</v>
      </c>
      <c r="CB12" s="36">
        <v>1.4041234786260897</v>
      </c>
      <c r="CC12" s="36">
        <v>0</v>
      </c>
      <c r="CD12" s="36">
        <v>0</v>
      </c>
    </row>
    <row r="13" spans="2:82" x14ac:dyDescent="0.15">
      <c r="J13" s="46">
        <v>8</v>
      </c>
      <c r="K13" s="45">
        <f>求节点(节奏总纲!$Z$4:$Z$83,节奏总纲!$AA$4:$AA$83,基础状态预估!C26)</f>
        <v>225.68304366827394</v>
      </c>
      <c r="L13" s="35">
        <f>基础状态预估!D26</f>
        <v>77.137764615612369</v>
      </c>
      <c r="M13" s="35">
        <f>基础状态预估!E26</f>
        <v>8</v>
      </c>
      <c r="N13" s="35" t="e">
        <f>$L$1*(求节点('[1]资源-钻石'!$K$4:$K$113,'[1]资源-钻石'!$L$4:$L$113,L13))</f>
        <v>#VALUE!</v>
      </c>
      <c r="O13" s="26">
        <f t="shared" si="19"/>
        <v>0</v>
      </c>
      <c r="P13" s="26">
        <f t="shared" si="20"/>
        <v>0</v>
      </c>
      <c r="Q13" s="26">
        <f t="shared" si="21"/>
        <v>0</v>
      </c>
      <c r="R13" s="26">
        <f t="shared" si="22"/>
        <v>0</v>
      </c>
      <c r="S13" s="26">
        <f t="shared" si="23"/>
        <v>0</v>
      </c>
      <c r="T13" s="35" t="e">
        <f t="shared" si="24"/>
        <v>#VALUE!</v>
      </c>
      <c r="U13" s="35">
        <f t="shared" si="14"/>
        <v>0</v>
      </c>
      <c r="V13" s="35">
        <f t="shared" si="15"/>
        <v>0</v>
      </c>
      <c r="W13" s="35">
        <f t="shared" si="16"/>
        <v>0</v>
      </c>
      <c r="X13" s="35">
        <f t="shared" si="17"/>
        <v>0</v>
      </c>
      <c r="Y13" s="35">
        <f t="shared" si="18"/>
        <v>0</v>
      </c>
      <c r="Z13" s="35">
        <v>6</v>
      </c>
      <c r="AA13" s="35">
        <v>2</v>
      </c>
      <c r="AB13" s="35"/>
      <c r="AC13" s="35"/>
      <c r="AD13" s="35"/>
      <c r="AE13" s="35">
        <f t="shared" si="3"/>
        <v>0</v>
      </c>
      <c r="AF13" s="35">
        <f t="shared" si="4"/>
        <v>3</v>
      </c>
      <c r="AG13" s="35">
        <f t="shared" si="5"/>
        <v>29.24043480975342</v>
      </c>
      <c r="AH13" s="35">
        <f t="shared" si="6"/>
        <v>14.12021740487671</v>
      </c>
      <c r="AI13" s="35">
        <f t="shared" si="7"/>
        <v>0</v>
      </c>
      <c r="AJ13" s="35">
        <f>SUM(U$6:U13)+Z13+AE13</f>
        <v>6</v>
      </c>
      <c r="AK13" s="35">
        <f>SUM(V$6:V13)+AA13+AF13</f>
        <v>5</v>
      </c>
      <c r="AL13" s="35">
        <f>SUM(W$6:W13)+AB13+AG13</f>
        <v>29.24043480975342</v>
      </c>
      <c r="AM13" s="35">
        <f>SUM(X$6:X13)+AC13+AH13</f>
        <v>14.12021740487671</v>
      </c>
      <c r="AN13" s="35">
        <f>SUM(Y$6:Y13)+AD13+AI13</f>
        <v>0</v>
      </c>
      <c r="AS13" s="36">
        <v>28</v>
      </c>
      <c r="AV13" s="36">
        <f t="shared" ref="AV13:AV56" si="32">1/7</f>
        <v>0.14285714285714285</v>
      </c>
      <c r="AY13" s="36">
        <f t="shared" si="27"/>
        <v>0</v>
      </c>
      <c r="AZ13" s="36">
        <f t="shared" si="28"/>
        <v>3</v>
      </c>
      <c r="BA13" s="36">
        <f t="shared" si="29"/>
        <v>1</v>
      </c>
      <c r="BB13" s="36">
        <f t="shared" si="30"/>
        <v>0</v>
      </c>
      <c r="BC13" s="36">
        <f t="shared" si="31"/>
        <v>0</v>
      </c>
      <c r="BG13" s="35">
        <v>45</v>
      </c>
      <c r="BH13" s="45">
        <f t="shared" si="8"/>
        <v>4.3363022039159427</v>
      </c>
      <c r="BI13" s="45">
        <f t="shared" si="9"/>
        <v>2.798067398647154</v>
      </c>
      <c r="BJ13" s="45">
        <f t="shared" si="10"/>
        <v>0.73454352748417762</v>
      </c>
      <c r="BK13" s="45">
        <f t="shared" si="11"/>
        <v>0.19912066178411741</v>
      </c>
      <c r="BL13" s="45">
        <f t="shared" si="12"/>
        <v>0</v>
      </c>
      <c r="BP13" s="36">
        <v>0</v>
      </c>
      <c r="BQ13" s="36">
        <v>6.5958765213739099</v>
      </c>
      <c r="BR13" s="36">
        <v>5.4258933632712676</v>
      </c>
      <c r="BS13" s="36">
        <v>3.4057830384772956</v>
      </c>
      <c r="BT13" s="36">
        <v>0</v>
      </c>
      <c r="BY13" s="36">
        <v>45</v>
      </c>
      <c r="BZ13" s="36">
        <v>0</v>
      </c>
      <c r="CA13" s="36">
        <v>6.5958765213739099</v>
      </c>
      <c r="CB13" s="36">
        <v>2.4041234786260892</v>
      </c>
      <c r="CC13" s="36">
        <v>0</v>
      </c>
      <c r="CD13" s="36">
        <v>0</v>
      </c>
    </row>
    <row r="14" spans="2:82" x14ac:dyDescent="0.15">
      <c r="J14" s="46">
        <v>9</v>
      </c>
      <c r="K14" s="45">
        <f>求节点(节奏总纲!$Z$4:$Z$83,节奏总纲!$AA$4:$AA$83,基础状态预估!C27)</f>
        <v>407.83539826846607</v>
      </c>
      <c r="L14" s="35">
        <f>基础状态预估!D27</f>
        <v>85.643863186592412</v>
      </c>
      <c r="M14" s="35">
        <f>基础状态预估!E27</f>
        <v>9</v>
      </c>
      <c r="N14" s="35" t="e">
        <f>$L$1*(求节点('[1]资源-钻石'!$K$4:$K$113,'[1]资源-钻石'!$L$4:$L$113,L14))</f>
        <v>#VALUE!</v>
      </c>
      <c r="O14" s="26">
        <f t="shared" si="19"/>
        <v>0</v>
      </c>
      <c r="P14" s="26">
        <f t="shared" si="20"/>
        <v>0</v>
      </c>
      <c r="Q14" s="26">
        <f t="shared" si="21"/>
        <v>0</v>
      </c>
      <c r="R14" s="26">
        <f t="shared" si="22"/>
        <v>0</v>
      </c>
      <c r="S14" s="26">
        <f t="shared" si="23"/>
        <v>0</v>
      </c>
      <c r="T14" s="35" t="e">
        <f t="shared" si="24"/>
        <v>#VALUE!</v>
      </c>
      <c r="U14" s="35">
        <f t="shared" si="14"/>
        <v>0</v>
      </c>
      <c r="V14" s="35">
        <f t="shared" si="15"/>
        <v>0</v>
      </c>
      <c r="W14" s="35">
        <f t="shared" si="16"/>
        <v>0</v>
      </c>
      <c r="X14" s="35">
        <f t="shared" si="17"/>
        <v>0</v>
      </c>
      <c r="Y14" s="35">
        <f t="shared" si="18"/>
        <v>0</v>
      </c>
      <c r="Z14" s="35">
        <v>6</v>
      </c>
      <c r="AA14" s="35">
        <v>3</v>
      </c>
      <c r="AB14" s="35"/>
      <c r="AC14" s="35"/>
      <c r="AD14" s="35"/>
      <c r="AE14" s="35">
        <f t="shared" si="3"/>
        <v>0</v>
      </c>
      <c r="AF14" s="35">
        <f t="shared" si="4"/>
        <v>3.7188638139981709</v>
      </c>
      <c r="AG14" s="35">
        <f t="shared" si="5"/>
        <v>53.303714667307112</v>
      </c>
      <c r="AH14" s="35">
        <f t="shared" si="6"/>
        <v>26.032046697987195</v>
      </c>
      <c r="AI14" s="35">
        <f t="shared" si="7"/>
        <v>0</v>
      </c>
      <c r="AJ14" s="35">
        <f>SUM(U$6:U14)+Z14+AE14</f>
        <v>6</v>
      </c>
      <c r="AK14" s="35">
        <f>SUM(V$6:V14)+AA14+AF14</f>
        <v>6.7188638139981709</v>
      </c>
      <c r="AL14" s="35">
        <f>SUM(W$6:W14)+AB14+AG14</f>
        <v>53.303714667307112</v>
      </c>
      <c r="AM14" s="35">
        <f>SUM(X$6:X14)+AC14+AH14</f>
        <v>26.032046697987195</v>
      </c>
      <c r="AN14" s="35">
        <f>SUM(Y$6:Y14)+AD14+AI14</f>
        <v>0</v>
      </c>
      <c r="AS14" s="36">
        <v>35</v>
      </c>
      <c r="AV14" s="36">
        <f t="shared" si="32"/>
        <v>0.14285714285714285</v>
      </c>
      <c r="AW14" s="36">
        <f t="shared" ref="AW14:AW56" si="33">1/14</f>
        <v>7.1428571428571425E-2</v>
      </c>
      <c r="AY14" s="36">
        <f t="shared" si="27"/>
        <v>0</v>
      </c>
      <c r="AZ14" s="36">
        <f t="shared" si="28"/>
        <v>3</v>
      </c>
      <c r="BA14" s="36">
        <f t="shared" si="29"/>
        <v>2</v>
      </c>
      <c r="BB14" s="36">
        <f t="shared" si="30"/>
        <v>0.5</v>
      </c>
      <c r="BC14" s="36">
        <f t="shared" si="31"/>
        <v>0</v>
      </c>
      <c r="BG14" s="35">
        <v>50</v>
      </c>
      <c r="BH14" s="45">
        <f t="shared" si="8"/>
        <v>4.8871114538084592</v>
      </c>
      <c r="BI14" s="45">
        <f t="shared" si="9"/>
        <v>2.9656532266192555</v>
      </c>
      <c r="BJ14" s="45">
        <f t="shared" si="10"/>
        <v>1.9376084038835275</v>
      </c>
      <c r="BK14" s="45">
        <f t="shared" si="11"/>
        <v>0.52524847503753425</v>
      </c>
      <c r="BL14" s="45">
        <f t="shared" si="12"/>
        <v>0</v>
      </c>
      <c r="BP14" s="36">
        <v>0</v>
      </c>
      <c r="BQ14" s="36">
        <v>6.5958765213739099</v>
      </c>
      <c r="BR14" s="36">
        <v>5.4258933632712676</v>
      </c>
      <c r="BS14" s="36">
        <v>5.1070027526733064</v>
      </c>
      <c r="BT14" s="36">
        <v>0</v>
      </c>
      <c r="BY14" s="36">
        <v>50</v>
      </c>
      <c r="BZ14" s="36">
        <v>0</v>
      </c>
      <c r="CA14" s="36">
        <v>6.5958765213739099</v>
      </c>
      <c r="CB14" s="36">
        <v>3.4041234786260892</v>
      </c>
      <c r="CC14" s="36">
        <v>0</v>
      </c>
      <c r="CD14" s="36">
        <v>0</v>
      </c>
    </row>
    <row r="15" spans="2:82" x14ac:dyDescent="0.15">
      <c r="J15" s="46">
        <v>10</v>
      </c>
      <c r="K15" s="45">
        <f>求节点(节奏总纲!$Z$4:$Z$83,节奏总纲!$AA$4:$AA$83,基础状态预估!C28)</f>
        <v>789.85301886939453</v>
      </c>
      <c r="L15" s="35">
        <f>基础状态预估!D28</f>
        <v>96.265821375882837</v>
      </c>
      <c r="M15" s="35">
        <f>基础状态预估!E28</f>
        <v>10</v>
      </c>
      <c r="N15" s="35" t="e">
        <f>$L$1*(求节点('[1]资源-钻石'!$K$4:$K$113,'[1]资源-钻石'!$L$4:$L$113,L15))</f>
        <v>#VALUE!</v>
      </c>
      <c r="O15" s="26">
        <f t="shared" si="19"/>
        <v>0</v>
      </c>
      <c r="P15" s="26">
        <f t="shared" si="20"/>
        <v>0</v>
      </c>
      <c r="Q15" s="26">
        <f t="shared" si="21"/>
        <v>0</v>
      </c>
      <c r="R15" s="26">
        <f t="shared" si="22"/>
        <v>0</v>
      </c>
      <c r="S15" s="26">
        <f t="shared" si="23"/>
        <v>0</v>
      </c>
      <c r="T15" s="35" t="e">
        <f t="shared" si="24"/>
        <v>#VALUE!</v>
      </c>
      <c r="U15" s="35">
        <f t="shared" si="14"/>
        <v>0</v>
      </c>
      <c r="V15" s="35">
        <f t="shared" si="15"/>
        <v>0</v>
      </c>
      <c r="W15" s="35">
        <f t="shared" si="16"/>
        <v>0</v>
      </c>
      <c r="X15" s="35">
        <f t="shared" si="17"/>
        <v>0</v>
      </c>
      <c r="Y15" s="35">
        <f t="shared" si="18"/>
        <v>0</v>
      </c>
      <c r="Z15" s="35">
        <v>6</v>
      </c>
      <c r="AA15" s="35">
        <v>4</v>
      </c>
      <c r="AB15" s="35"/>
      <c r="AC15" s="35"/>
      <c r="AD15" s="35"/>
      <c r="AE15" s="35">
        <f t="shared" si="3"/>
        <v>0</v>
      </c>
      <c r="AF15" s="35">
        <f t="shared" si="4"/>
        <v>7.202307162942807</v>
      </c>
      <c r="AG15" s="35">
        <f t="shared" si="5"/>
        <v>103.23306933551356</v>
      </c>
      <c r="AH15" s="35">
        <f t="shared" si="6"/>
        <v>50.416150140599648</v>
      </c>
      <c r="AI15" s="35">
        <f t="shared" si="7"/>
        <v>0</v>
      </c>
      <c r="AJ15" s="35">
        <f>SUM(U$6:U15)+Z15+AE15</f>
        <v>6</v>
      </c>
      <c r="AK15" s="35">
        <f>SUM(V$6:V15)+AA15+AF15</f>
        <v>11.202307162942807</v>
      </c>
      <c r="AL15" s="35">
        <f>SUM(W$6:W15)+AB15+AG15</f>
        <v>103.23306933551356</v>
      </c>
      <c r="AM15" s="35">
        <f>SUM(X$6:X15)+AC15+AH15</f>
        <v>50.416150140599648</v>
      </c>
      <c r="AN15" s="35">
        <f>SUM(Y$6:Y15)+AD15+AI15</f>
        <v>0</v>
      </c>
      <c r="AS15" s="36">
        <v>42</v>
      </c>
      <c r="AV15" s="36">
        <f t="shared" si="32"/>
        <v>0.14285714285714285</v>
      </c>
      <c r="AW15" s="36">
        <f t="shared" si="33"/>
        <v>7.1428571428571425E-2</v>
      </c>
      <c r="AY15" s="36">
        <f t="shared" si="27"/>
        <v>0</v>
      </c>
      <c r="AZ15" s="36">
        <f t="shared" si="28"/>
        <v>3</v>
      </c>
      <c r="BA15" s="36">
        <f t="shared" si="29"/>
        <v>3</v>
      </c>
      <c r="BB15" s="36">
        <f t="shared" si="30"/>
        <v>1</v>
      </c>
      <c r="BC15" s="36">
        <f t="shared" si="31"/>
        <v>0</v>
      </c>
      <c r="BG15" s="35">
        <v>55</v>
      </c>
      <c r="BH15" s="45">
        <f t="shared" si="8"/>
        <v>5.4376051871117843</v>
      </c>
      <c r="BI15" s="45">
        <f t="shared" si="9"/>
        <v>3</v>
      </c>
      <c r="BJ15" s="45">
        <f t="shared" si="10"/>
        <v>4.2055498477782729</v>
      </c>
      <c r="BK15" s="45">
        <f t="shared" si="11"/>
        <v>1.6027749238891364</v>
      </c>
      <c r="BL15" s="45">
        <f t="shared" si="12"/>
        <v>0</v>
      </c>
      <c r="BP15" s="36">
        <v>0</v>
      </c>
      <c r="BQ15" s="36">
        <v>6.5958765213739099</v>
      </c>
      <c r="BR15" s="36">
        <v>5.4258933632712676</v>
      </c>
      <c r="BS15" s="36">
        <v>6.3834013101230944</v>
      </c>
      <c r="BT15" s="36">
        <v>0</v>
      </c>
      <c r="BY15" s="36">
        <v>55</v>
      </c>
      <c r="BZ15" s="36">
        <v>0</v>
      </c>
      <c r="CA15" s="36">
        <v>6.5958765213739099</v>
      </c>
      <c r="CB15" s="36">
        <v>4.4041234786260901</v>
      </c>
      <c r="CC15" s="36">
        <v>0</v>
      </c>
      <c r="CD15" s="36">
        <v>0</v>
      </c>
    </row>
    <row r="16" spans="2:82" x14ac:dyDescent="0.15">
      <c r="J16" s="46">
        <v>11</v>
      </c>
      <c r="K16" s="45">
        <f>求节点(节奏总纲!$Z$4:$Z$83,节奏总纲!$AA$4:$AA$83,基础状态预估!C29)</f>
        <v>1647.8248427703616</v>
      </c>
      <c r="L16" s="45">
        <f>基础状态预估!D29</f>
        <v>106.86832874572353</v>
      </c>
      <c r="M16" s="45">
        <f>基础状态预估!E29</f>
        <v>11</v>
      </c>
      <c r="N16" s="45" t="e">
        <f>$L$1*(求节点('[1]资源-钻石'!$K$4:$K$113,'[1]资源-钻石'!$L$4:$L$113,L16))</f>
        <v>#VALUE!</v>
      </c>
      <c r="O16" s="26">
        <f t="shared" si="19"/>
        <v>0</v>
      </c>
      <c r="P16" s="26">
        <f t="shared" si="20"/>
        <v>0</v>
      </c>
      <c r="Q16" s="26">
        <f t="shared" si="21"/>
        <v>0</v>
      </c>
      <c r="R16" s="26">
        <f t="shared" si="22"/>
        <v>0</v>
      </c>
      <c r="S16" s="26">
        <f t="shared" si="23"/>
        <v>0</v>
      </c>
      <c r="T16" s="45" t="e">
        <f t="shared" ref="T16:T21" si="34">N16-N15</f>
        <v>#VALUE!</v>
      </c>
      <c r="U16" s="45">
        <f t="shared" ref="U16:U21" si="35">IFERROR($T16/SUMPRODUCT($C$4:$G$4,$O16:$S16)*O16,0)</f>
        <v>0</v>
      </c>
      <c r="V16" s="45">
        <f t="shared" ref="V16:V21" si="36">IFERROR($T16/SUMPRODUCT($C$4:$G$4,$O16:$S16)*P16,0)</f>
        <v>0</v>
      </c>
      <c r="W16" s="45">
        <f t="shared" ref="W16:W21" si="37">IFERROR($T16/SUMPRODUCT($C$4:$G$4,$O16:$S16)*Q16,0)</f>
        <v>0</v>
      </c>
      <c r="X16" s="45">
        <f t="shared" ref="X16:X21" si="38">IFERROR($T16/SUMPRODUCT($C$4:$G$4,$O16:$S16)*R16,0)</f>
        <v>0</v>
      </c>
      <c r="Y16" s="45">
        <f t="shared" ref="Y16:Y21" si="39">IFERROR($T16/SUMPRODUCT($C$4:$G$4,$O16:$S16)*S16,0)</f>
        <v>0</v>
      </c>
      <c r="Z16" s="45">
        <v>6</v>
      </c>
      <c r="AA16" s="45">
        <v>5</v>
      </c>
      <c r="AB16" s="45"/>
      <c r="AC16" s="45"/>
      <c r="AD16" s="45"/>
      <c r="AE16" s="45">
        <f t="shared" ref="AE16:AE21" si="40">求节点($AS$9:$AS$56,AY$9:AY$56,$K16)</f>
        <v>0</v>
      </c>
      <c r="AF16" s="45">
        <f t="shared" ref="AF16:AF21" si="41">求节点($AS$9:$AS$56,AZ$9:AZ$56,$K16)</f>
        <v>15.025758444714542</v>
      </c>
      <c r="AG16" s="45">
        <f t="shared" ref="AG16:AG21" si="42">求节点($AS$9:$AS$56,BA$9:BA$56,$K16)</f>
        <v>215.36920437424178</v>
      </c>
      <c r="AH16" s="45">
        <f t="shared" ref="AH16:AH21" si="43">求节点($AS$9:$AS$56,BB$9:BB$56,$K16)</f>
        <v>105.1803091130018</v>
      </c>
      <c r="AI16" s="45">
        <f t="shared" ref="AI16:AI21" si="44">求节点($AS$9:$AS$56,BC$9:BC$56,$K16)</f>
        <v>0</v>
      </c>
      <c r="AJ16" s="45">
        <f>SUM(U$6:U16)+Z16+AE16</f>
        <v>6</v>
      </c>
      <c r="AK16" s="45">
        <f>SUM(V$6:V16)+AA16+AF16</f>
        <v>20.02575844471454</v>
      </c>
      <c r="AL16" s="45">
        <f>SUM(W$6:W16)+AB16+AG16</f>
        <v>215.36920437424178</v>
      </c>
      <c r="AM16" s="45">
        <f>SUM(X$6:X16)+AC16+AH16</f>
        <v>105.1803091130018</v>
      </c>
      <c r="AN16" s="45">
        <f>SUM(Y$6:Y16)+AD16+AI16</f>
        <v>0</v>
      </c>
      <c r="AS16" s="36">
        <v>49</v>
      </c>
      <c r="AV16" s="36">
        <f t="shared" si="32"/>
        <v>0.14285714285714285</v>
      </c>
      <c r="AW16" s="36">
        <f t="shared" si="33"/>
        <v>7.1428571428571425E-2</v>
      </c>
      <c r="AY16" s="36">
        <f t="shared" si="27"/>
        <v>0</v>
      </c>
      <c r="AZ16" s="36">
        <f t="shared" si="28"/>
        <v>3</v>
      </c>
      <c r="BA16" s="36">
        <f t="shared" si="29"/>
        <v>4</v>
      </c>
      <c r="BB16" s="36">
        <f t="shared" si="30"/>
        <v>1.5</v>
      </c>
      <c r="BC16" s="36">
        <f t="shared" si="31"/>
        <v>0</v>
      </c>
      <c r="BG16" s="35">
        <v>60</v>
      </c>
      <c r="BH16" s="45">
        <f t="shared" si="8"/>
        <v>5.9880175855781133</v>
      </c>
      <c r="BI16" s="45">
        <f t="shared" si="9"/>
        <v>3</v>
      </c>
      <c r="BJ16" s="45">
        <f t="shared" si="10"/>
        <v>6.747998449160777</v>
      </c>
      <c r="BK16" s="45">
        <f t="shared" si="11"/>
        <v>2.8739992245803885</v>
      </c>
      <c r="BL16" s="45">
        <f t="shared" si="12"/>
        <v>0</v>
      </c>
      <c r="BY16" s="36">
        <v>60</v>
      </c>
      <c r="BZ16" s="36">
        <v>0</v>
      </c>
      <c r="CA16" s="36">
        <v>6.5958765213739099</v>
      </c>
      <c r="CB16" s="36">
        <v>5.404123478626091</v>
      </c>
      <c r="CC16" s="36">
        <v>0</v>
      </c>
      <c r="CD16" s="36">
        <v>0</v>
      </c>
    </row>
    <row r="17" spans="10:82" x14ac:dyDescent="0.15">
      <c r="J17" s="46">
        <v>12</v>
      </c>
      <c r="K17" s="45">
        <f>求节点(节奏总纲!$Z$4:$Z$83,节奏总纲!$AA$4:$AA$83,基础状态预估!C30)</f>
        <v>3431.3522956038646</v>
      </c>
      <c r="L17" s="45">
        <f>基础状态预估!D30</f>
        <v>117.44125295293078</v>
      </c>
      <c r="M17" s="45">
        <f>基础状态预估!E30</f>
        <v>12</v>
      </c>
      <c r="N17" s="45" t="e">
        <f>$L$1*(求节点('[1]资源-钻石'!$K$4:$K$113,'[1]资源-钻石'!$L$4:$L$113,L17))</f>
        <v>#VALUE!</v>
      </c>
      <c r="O17" s="26">
        <f t="shared" si="19"/>
        <v>0</v>
      </c>
      <c r="P17" s="26">
        <f t="shared" si="20"/>
        <v>0</v>
      </c>
      <c r="Q17" s="26">
        <f t="shared" si="21"/>
        <v>0</v>
      </c>
      <c r="R17" s="26">
        <f t="shared" si="22"/>
        <v>0</v>
      </c>
      <c r="S17" s="26">
        <f t="shared" si="23"/>
        <v>0</v>
      </c>
      <c r="T17" s="45" t="e">
        <f t="shared" si="34"/>
        <v>#VALUE!</v>
      </c>
      <c r="U17" s="45">
        <f t="shared" si="35"/>
        <v>0</v>
      </c>
      <c r="V17" s="45">
        <f t="shared" si="36"/>
        <v>0</v>
      </c>
      <c r="W17" s="45">
        <f t="shared" si="37"/>
        <v>0</v>
      </c>
      <c r="X17" s="45">
        <f t="shared" si="38"/>
        <v>0</v>
      </c>
      <c r="Y17" s="45">
        <f t="shared" si="39"/>
        <v>0</v>
      </c>
      <c r="Z17" s="45">
        <v>6</v>
      </c>
      <c r="AA17" s="45">
        <v>6</v>
      </c>
      <c r="AB17" s="45"/>
      <c r="AC17" s="45"/>
      <c r="AD17" s="45"/>
      <c r="AE17" s="45">
        <f t="shared" si="40"/>
        <v>0</v>
      </c>
      <c r="AF17" s="45">
        <f t="shared" si="41"/>
        <v>31.288926707634023</v>
      </c>
      <c r="AG17" s="45">
        <f t="shared" si="42"/>
        <v>448.47461614275431</v>
      </c>
      <c r="AH17" s="45">
        <f t="shared" si="43"/>
        <v>219.02248695343815</v>
      </c>
      <c r="AI17" s="45">
        <f t="shared" si="44"/>
        <v>0</v>
      </c>
      <c r="AJ17" s="45">
        <f>SUM(U$6:U17)+Z17+AE17</f>
        <v>6</v>
      </c>
      <c r="AK17" s="45">
        <f>SUM(V$6:V17)+AA17+AF17</f>
        <v>37.288926707634019</v>
      </c>
      <c r="AL17" s="45">
        <f>SUM(W$6:W17)+AB17+AG17</f>
        <v>448.47461614275431</v>
      </c>
      <c r="AM17" s="45">
        <f>SUM(X$6:X17)+AC17+AH17</f>
        <v>219.02248695343815</v>
      </c>
      <c r="AN17" s="45">
        <f>SUM(Y$6:Y17)+AD17+AI17</f>
        <v>0</v>
      </c>
      <c r="AS17" s="36">
        <v>56</v>
      </c>
      <c r="AV17" s="36">
        <f t="shared" si="32"/>
        <v>0.14285714285714285</v>
      </c>
      <c r="AW17" s="36">
        <f t="shared" si="33"/>
        <v>7.1428571428571425E-2</v>
      </c>
      <c r="AY17" s="36">
        <f t="shared" si="27"/>
        <v>0</v>
      </c>
      <c r="AZ17" s="36">
        <f t="shared" si="28"/>
        <v>3</v>
      </c>
      <c r="BA17" s="36">
        <f t="shared" si="29"/>
        <v>5</v>
      </c>
      <c r="BB17" s="36">
        <f t="shared" si="30"/>
        <v>2</v>
      </c>
      <c r="BC17" s="36">
        <f t="shared" si="31"/>
        <v>0</v>
      </c>
      <c r="BG17" s="35">
        <v>65</v>
      </c>
      <c r="BH17" s="45">
        <f t="shared" si="8"/>
        <v>6</v>
      </c>
      <c r="BI17" s="45">
        <f t="shared" si="9"/>
        <v>3.5748562128969477</v>
      </c>
      <c r="BJ17" s="45">
        <f t="shared" si="10"/>
        <v>11.402025712111808</v>
      </c>
      <c r="BK17" s="45">
        <f t="shared" si="11"/>
        <v>5.2010128560559039</v>
      </c>
      <c r="BL17" s="45">
        <f t="shared" si="12"/>
        <v>0</v>
      </c>
      <c r="BY17" s="36">
        <v>65</v>
      </c>
      <c r="BZ17" s="36">
        <v>0</v>
      </c>
      <c r="CA17" s="36">
        <v>6.5958765213739099</v>
      </c>
      <c r="CB17" s="36">
        <v>5.4258933632712676</v>
      </c>
      <c r="CC17" s="36">
        <v>0.97823011535482296</v>
      </c>
      <c r="CD17" s="36">
        <v>0</v>
      </c>
    </row>
    <row r="18" spans="10:82" x14ac:dyDescent="0.15">
      <c r="J18" s="46">
        <v>13</v>
      </c>
      <c r="K18" s="45">
        <f>求节点(节奏总纲!$Z$4:$Z$83,节奏总纲!$AA$4:$AA$83,基础状态预估!C31)</f>
        <v>7133.5498113340191</v>
      </c>
      <c r="L18" s="45">
        <f>基础状态预估!D31</f>
        <v>128.00586023511804</v>
      </c>
      <c r="M18" s="45">
        <f>基础状态预估!E31</f>
        <v>13</v>
      </c>
      <c r="N18" s="45" t="e">
        <f>$L$1*(求节点('[1]资源-钻石'!$K$4:$K$113,'[1]资源-钻石'!$L$4:$L$113,L18))</f>
        <v>#VALUE!</v>
      </c>
      <c r="O18" s="26">
        <f t="shared" si="19"/>
        <v>0</v>
      </c>
      <c r="P18" s="26">
        <f t="shared" si="20"/>
        <v>0</v>
      </c>
      <c r="Q18" s="26">
        <f t="shared" si="21"/>
        <v>0</v>
      </c>
      <c r="R18" s="26">
        <f t="shared" si="22"/>
        <v>0</v>
      </c>
      <c r="S18" s="26">
        <f t="shared" si="23"/>
        <v>0</v>
      </c>
      <c r="T18" s="45" t="e">
        <f t="shared" si="34"/>
        <v>#VALUE!</v>
      </c>
      <c r="U18" s="45">
        <f t="shared" si="35"/>
        <v>0</v>
      </c>
      <c r="V18" s="45">
        <f t="shared" si="36"/>
        <v>0</v>
      </c>
      <c r="W18" s="45">
        <f t="shared" si="37"/>
        <v>0</v>
      </c>
      <c r="X18" s="45">
        <f t="shared" si="38"/>
        <v>0</v>
      </c>
      <c r="Y18" s="45">
        <f t="shared" si="39"/>
        <v>0</v>
      </c>
      <c r="Z18" s="45">
        <v>6</v>
      </c>
      <c r="AA18" s="45">
        <v>6</v>
      </c>
      <c r="AB18" s="45">
        <v>1</v>
      </c>
      <c r="AC18" s="45"/>
      <c r="AD18" s="45"/>
      <c r="AE18" s="45">
        <f t="shared" si="40"/>
        <v>0</v>
      </c>
      <c r="AF18" s="45">
        <f t="shared" si="41"/>
        <v>65.047566668699261</v>
      </c>
      <c r="AG18" s="45">
        <f t="shared" si="42"/>
        <v>932.3484555846893</v>
      </c>
      <c r="AH18" s="45">
        <f t="shared" si="43"/>
        <v>455.3329666808948</v>
      </c>
      <c r="AI18" s="45">
        <f t="shared" si="44"/>
        <v>0</v>
      </c>
      <c r="AJ18" s="45">
        <f>SUM(U$6:U18)+Z18+AE18</f>
        <v>6</v>
      </c>
      <c r="AK18" s="45">
        <f>SUM(V$6:V18)+AA18+AF18</f>
        <v>71.047566668699261</v>
      </c>
      <c r="AL18" s="45">
        <f>SUM(W$6:W18)+AB18+AG18</f>
        <v>933.3484555846893</v>
      </c>
      <c r="AM18" s="45">
        <f>SUM(X$6:X18)+AC18+AH18</f>
        <v>455.3329666808948</v>
      </c>
      <c r="AN18" s="45">
        <f>SUM(Y$6:Y18)+AD18+AI18</f>
        <v>0</v>
      </c>
      <c r="AS18" s="36">
        <v>63</v>
      </c>
      <c r="AV18" s="36">
        <f t="shared" si="32"/>
        <v>0.14285714285714285</v>
      </c>
      <c r="AW18" s="36">
        <f t="shared" si="33"/>
        <v>7.1428571428571425E-2</v>
      </c>
      <c r="AY18" s="36">
        <f t="shared" si="27"/>
        <v>0</v>
      </c>
      <c r="AZ18" s="36">
        <f t="shared" si="28"/>
        <v>3</v>
      </c>
      <c r="BA18" s="36">
        <f t="shared" si="29"/>
        <v>6</v>
      </c>
      <c r="BB18" s="36">
        <f t="shared" si="30"/>
        <v>2.5</v>
      </c>
      <c r="BC18" s="36">
        <f t="shared" si="31"/>
        <v>0</v>
      </c>
      <c r="BG18" s="35">
        <v>70</v>
      </c>
      <c r="BH18" s="45">
        <f t="shared" si="8"/>
        <v>6</v>
      </c>
      <c r="BI18" s="45">
        <f t="shared" si="9"/>
        <v>4.1622773344113977</v>
      </c>
      <c r="BJ18" s="45">
        <f t="shared" si="10"/>
        <v>17.145909783423477</v>
      </c>
      <c r="BK18" s="45">
        <f t="shared" si="11"/>
        <v>8.0729548917117384</v>
      </c>
      <c r="BL18" s="45">
        <f t="shared" si="12"/>
        <v>0</v>
      </c>
      <c r="BY18" s="36">
        <v>70</v>
      </c>
      <c r="BZ18" s="36">
        <v>0</v>
      </c>
      <c r="CA18" s="36">
        <v>6.5958765213739099</v>
      </c>
      <c r="CB18" s="36">
        <v>5.4258933632712676</v>
      </c>
      <c r="CC18" s="36">
        <v>1.9782301153548227</v>
      </c>
      <c r="CD18" s="36">
        <v>0</v>
      </c>
    </row>
    <row r="19" spans="10:82" x14ac:dyDescent="0.15">
      <c r="J19" s="46">
        <v>14</v>
      </c>
      <c r="K19" s="45">
        <f>求节点(节奏总纲!$Z$4:$Z$83,节奏总纲!$AA$4:$AA$83,基础状态预估!C32)</f>
        <v>14808.205062920617</v>
      </c>
      <c r="L19" s="45">
        <f>基础状态预估!D32</f>
        <v>138.53345528648683</v>
      </c>
      <c r="M19" s="45">
        <f>基础状态预估!E32</f>
        <v>14</v>
      </c>
      <c r="N19" s="45" t="e">
        <f>$L$1*(求节点('[1]资源-钻石'!$K$4:$K$113,'[1]资源-钻石'!$L$4:$L$113,L19))</f>
        <v>#VALUE!</v>
      </c>
      <c r="O19" s="26">
        <f t="shared" si="19"/>
        <v>0</v>
      </c>
      <c r="P19" s="26">
        <f t="shared" si="20"/>
        <v>0</v>
      </c>
      <c r="Q19" s="26">
        <f t="shared" si="21"/>
        <v>0</v>
      </c>
      <c r="R19" s="26">
        <f t="shared" si="22"/>
        <v>0</v>
      </c>
      <c r="S19" s="26">
        <f t="shared" si="23"/>
        <v>0</v>
      </c>
      <c r="T19" s="45" t="e">
        <f t="shared" si="34"/>
        <v>#VALUE!</v>
      </c>
      <c r="U19" s="45">
        <f t="shared" si="35"/>
        <v>0</v>
      </c>
      <c r="V19" s="45">
        <f t="shared" si="36"/>
        <v>0</v>
      </c>
      <c r="W19" s="45">
        <f t="shared" si="37"/>
        <v>0</v>
      </c>
      <c r="X19" s="45">
        <f t="shared" si="38"/>
        <v>0</v>
      </c>
      <c r="Y19" s="45">
        <f t="shared" si="39"/>
        <v>0</v>
      </c>
      <c r="Z19" s="45">
        <v>6</v>
      </c>
      <c r="AA19" s="45">
        <v>6</v>
      </c>
      <c r="AB19" s="45">
        <v>2</v>
      </c>
      <c r="AC19" s="45"/>
      <c r="AD19" s="45"/>
      <c r="AE19" s="45">
        <f t="shared" si="40"/>
        <v>0</v>
      </c>
      <c r="AF19" s="45">
        <f t="shared" si="41"/>
        <v>135.02922549775639</v>
      </c>
      <c r="AG19" s="45">
        <f t="shared" si="42"/>
        <v>1935.4188988011747</v>
      </c>
      <c r="AH19" s="45">
        <f t="shared" si="43"/>
        <v>945.20457848429464</v>
      </c>
      <c r="AI19" s="45">
        <f t="shared" si="44"/>
        <v>0</v>
      </c>
      <c r="AJ19" s="45">
        <f>SUM(U$6:U19)+Z19+AE19</f>
        <v>6</v>
      </c>
      <c r="AK19" s="45">
        <f>SUM(V$6:V19)+AA19+AF19</f>
        <v>141.02922549775639</v>
      </c>
      <c r="AL19" s="45">
        <f>SUM(W$6:W19)+AB19+AG19</f>
        <v>1937.4188988011747</v>
      </c>
      <c r="AM19" s="45">
        <f>SUM(X$6:X19)+AC19+AH19</f>
        <v>945.20457848429464</v>
      </c>
      <c r="AN19" s="45">
        <f>SUM(Y$6:Y19)+AD19+AI19</f>
        <v>0</v>
      </c>
      <c r="AS19" s="36">
        <v>70</v>
      </c>
      <c r="AV19" s="36">
        <f t="shared" si="32"/>
        <v>0.14285714285714285</v>
      </c>
      <c r="AW19" s="36">
        <f t="shared" si="33"/>
        <v>7.1428571428571425E-2</v>
      </c>
      <c r="AY19" s="36">
        <f t="shared" si="27"/>
        <v>0</v>
      </c>
      <c r="AZ19" s="36">
        <f t="shared" si="28"/>
        <v>3</v>
      </c>
      <c r="BA19" s="36">
        <f t="shared" si="29"/>
        <v>7</v>
      </c>
      <c r="BB19" s="36">
        <f t="shared" si="30"/>
        <v>3</v>
      </c>
      <c r="BC19" s="36">
        <f t="shared" si="31"/>
        <v>0</v>
      </c>
      <c r="BG19" s="35">
        <v>75</v>
      </c>
      <c r="BH19" s="45">
        <f t="shared" si="8"/>
        <v>6</v>
      </c>
      <c r="BI19" s="45">
        <f t="shared" si="9"/>
        <v>4.7491015789068376</v>
      </c>
      <c r="BJ19" s="45">
        <f t="shared" si="10"/>
        <v>25.61811759472878</v>
      </c>
      <c r="BK19" s="45">
        <f t="shared" si="11"/>
        <v>12.30905879736439</v>
      </c>
      <c r="BL19" s="45">
        <f t="shared" si="12"/>
        <v>0</v>
      </c>
      <c r="BY19" s="36">
        <v>75</v>
      </c>
      <c r="BZ19" s="36">
        <v>0</v>
      </c>
      <c r="CA19" s="36">
        <v>6.5958765213739099</v>
      </c>
      <c r="CB19" s="36">
        <v>5.4258933632712676</v>
      </c>
      <c r="CC19" s="36">
        <v>2.9782301153548221</v>
      </c>
      <c r="CD19" s="36">
        <v>0</v>
      </c>
    </row>
    <row r="20" spans="10:82" x14ac:dyDescent="0.15">
      <c r="J20" s="46">
        <v>15</v>
      </c>
      <c r="K20" s="45">
        <f>求节点(节奏总纲!$Z$4:$Z$83,节奏总纲!$AA$4:$AA$83,基础状态预估!C33)</f>
        <v>30698.011006346387</v>
      </c>
      <c r="L20" s="45">
        <f>基础状态预估!D33</f>
        <v>149.05713970651243</v>
      </c>
      <c r="M20" s="45">
        <f>基础状态预估!E33</f>
        <v>15</v>
      </c>
      <c r="N20" s="45" t="e">
        <f>$L$1*(求节点('[1]资源-钻石'!$K$4:$K$113,'[1]资源-钻石'!$L$4:$L$113,L20))</f>
        <v>#VALUE!</v>
      </c>
      <c r="O20" s="26">
        <f t="shared" si="19"/>
        <v>0</v>
      </c>
      <c r="P20" s="26">
        <f t="shared" si="20"/>
        <v>0</v>
      </c>
      <c r="Q20" s="26">
        <f t="shared" si="21"/>
        <v>0</v>
      </c>
      <c r="R20" s="26">
        <f t="shared" si="22"/>
        <v>0</v>
      </c>
      <c r="S20" s="26">
        <f t="shared" si="23"/>
        <v>0</v>
      </c>
      <c r="T20" s="45" t="e">
        <f t="shared" si="34"/>
        <v>#VALUE!</v>
      </c>
      <c r="U20" s="45">
        <f t="shared" si="35"/>
        <v>0</v>
      </c>
      <c r="V20" s="45">
        <f t="shared" si="36"/>
        <v>0</v>
      </c>
      <c r="W20" s="45">
        <f t="shared" si="37"/>
        <v>0</v>
      </c>
      <c r="X20" s="45">
        <f t="shared" si="38"/>
        <v>0</v>
      </c>
      <c r="Y20" s="45">
        <f t="shared" si="39"/>
        <v>0</v>
      </c>
      <c r="Z20" s="45">
        <v>6</v>
      </c>
      <c r="AA20" s="45">
        <v>6</v>
      </c>
      <c r="AB20" s="45">
        <v>3</v>
      </c>
      <c r="AC20" s="45"/>
      <c r="AD20" s="45"/>
      <c r="AE20" s="45">
        <f t="shared" si="40"/>
        <v>0</v>
      </c>
      <c r="AF20" s="45">
        <f t="shared" si="41"/>
        <v>279.92107300619807</v>
      </c>
      <c r="AG20" s="45">
        <f t="shared" si="42"/>
        <v>4012.2020464221719</v>
      </c>
      <c r="AH20" s="45">
        <f t="shared" si="43"/>
        <v>1959.4475110433862</v>
      </c>
      <c r="AI20" s="45">
        <f t="shared" si="44"/>
        <v>0</v>
      </c>
      <c r="AJ20" s="45">
        <f>SUM(U$6:U20)+Z20+AE20</f>
        <v>6</v>
      </c>
      <c r="AK20" s="45">
        <f>SUM(V$6:V20)+AA20+AF20</f>
        <v>285.92107300619807</v>
      </c>
      <c r="AL20" s="45">
        <f>SUM(W$6:W20)+AB20+AG20</f>
        <v>4015.2020464221719</v>
      </c>
      <c r="AM20" s="45">
        <f>SUM(X$6:X20)+AC20+AH20</f>
        <v>1959.4475110433862</v>
      </c>
      <c r="AN20" s="45">
        <f>SUM(Y$6:Y20)+AD20+AI20</f>
        <v>0</v>
      </c>
      <c r="AS20" s="36">
        <v>77</v>
      </c>
      <c r="AV20" s="36">
        <f t="shared" si="32"/>
        <v>0.14285714285714285</v>
      </c>
      <c r="AW20" s="36">
        <f t="shared" si="33"/>
        <v>7.1428571428571425E-2</v>
      </c>
      <c r="AY20" s="36">
        <f t="shared" si="27"/>
        <v>0</v>
      </c>
      <c r="AZ20" s="36">
        <f t="shared" si="28"/>
        <v>3</v>
      </c>
      <c r="BA20" s="36">
        <f t="shared" si="29"/>
        <v>8</v>
      </c>
      <c r="BB20" s="36">
        <f t="shared" si="30"/>
        <v>3.5</v>
      </c>
      <c r="BC20" s="36">
        <f t="shared" si="31"/>
        <v>0</v>
      </c>
      <c r="BG20" s="35">
        <v>80</v>
      </c>
      <c r="BH20" s="45">
        <f t="shared" si="8"/>
        <v>6</v>
      </c>
      <c r="BI20" s="45">
        <f t="shared" si="9"/>
        <v>5.5783841779301415</v>
      </c>
      <c r="BJ20" s="45">
        <f t="shared" si="10"/>
        <v>37.337539551484248</v>
      </c>
      <c r="BK20" s="45">
        <f t="shared" si="11"/>
        <v>18.128454437521125</v>
      </c>
      <c r="BL20" s="45">
        <f t="shared" si="12"/>
        <v>0</v>
      </c>
      <c r="BY20" s="36">
        <v>80</v>
      </c>
      <c r="BZ20" s="36">
        <v>0</v>
      </c>
      <c r="CA20" s="36">
        <v>6.5958765213739099</v>
      </c>
      <c r="CB20" s="36">
        <v>5.4258933632712676</v>
      </c>
      <c r="CC20" s="36">
        <v>3.9782301153548225</v>
      </c>
      <c r="CD20" s="36">
        <v>0</v>
      </c>
    </row>
    <row r="21" spans="10:82" x14ac:dyDescent="0.15">
      <c r="J21" s="46">
        <v>16</v>
      </c>
      <c r="K21" s="45">
        <f>求节点(节奏总纲!$Z$4:$Z$83,节奏总纲!$AA$4:$AA$83,基础状态预估!C34)</f>
        <v>47512.875</v>
      </c>
      <c r="L21" s="45">
        <f>基础状态预估!D34</f>
        <v>155.35264798579232</v>
      </c>
      <c r="M21" s="45">
        <f>基础状态预估!E34</f>
        <v>16</v>
      </c>
      <c r="N21" s="45" t="e">
        <f>$L$1*(求节点('[1]资源-钻石'!$K$4:$K$113,'[1]资源-钻石'!$L$4:$L$113,L21))</f>
        <v>#VALUE!</v>
      </c>
      <c r="O21" s="26">
        <f t="shared" si="19"/>
        <v>0</v>
      </c>
      <c r="P21" s="26">
        <f t="shared" si="20"/>
        <v>0</v>
      </c>
      <c r="Q21" s="26">
        <f t="shared" si="21"/>
        <v>0</v>
      </c>
      <c r="R21" s="26">
        <f t="shared" si="22"/>
        <v>0</v>
      </c>
      <c r="S21" s="26">
        <f t="shared" si="23"/>
        <v>0</v>
      </c>
      <c r="T21" s="45" t="e">
        <f t="shared" si="34"/>
        <v>#VALUE!</v>
      </c>
      <c r="U21" s="45">
        <f t="shared" si="35"/>
        <v>0</v>
      </c>
      <c r="V21" s="45">
        <f t="shared" si="36"/>
        <v>0</v>
      </c>
      <c r="W21" s="45">
        <f t="shared" si="37"/>
        <v>0</v>
      </c>
      <c r="X21" s="45">
        <f t="shared" si="38"/>
        <v>0</v>
      </c>
      <c r="Y21" s="45">
        <f t="shared" si="39"/>
        <v>0</v>
      </c>
      <c r="Z21" s="45">
        <v>6</v>
      </c>
      <c r="AA21" s="45">
        <v>6</v>
      </c>
      <c r="AB21" s="45">
        <v>4</v>
      </c>
      <c r="AC21" s="45"/>
      <c r="AD21" s="45"/>
      <c r="AE21" s="45">
        <f t="shared" si="40"/>
        <v>0</v>
      </c>
      <c r="AF21" s="45">
        <f t="shared" si="41"/>
        <v>433.24810030395133</v>
      </c>
      <c r="AG21" s="45">
        <f t="shared" si="42"/>
        <v>6209.8894376899689</v>
      </c>
      <c r="AH21" s="45">
        <f t="shared" si="43"/>
        <v>3032.7367021276596</v>
      </c>
      <c r="AI21" s="45">
        <f t="shared" si="44"/>
        <v>0</v>
      </c>
      <c r="AJ21" s="45">
        <f>SUM(U$6:U21)+Z21+AE21</f>
        <v>6</v>
      </c>
      <c r="AK21" s="45">
        <f>SUM(V$6:V21)+AA21+AF21</f>
        <v>439.24810030395133</v>
      </c>
      <c r="AL21" s="45">
        <f>SUM(W$6:W21)+AB21+AG21</f>
        <v>6213.8894376899689</v>
      </c>
      <c r="AM21" s="45">
        <f>SUM(X$6:X21)+AC21+AH21</f>
        <v>3032.7367021276596</v>
      </c>
      <c r="AN21" s="45">
        <f>SUM(Y$6:Y21)+AD21+AI21</f>
        <v>0</v>
      </c>
      <c r="AS21" s="36">
        <v>84</v>
      </c>
      <c r="AV21" s="36">
        <f t="shared" si="32"/>
        <v>0.14285714285714285</v>
      </c>
      <c r="AW21" s="36">
        <f t="shared" si="33"/>
        <v>7.1428571428571425E-2</v>
      </c>
      <c r="AY21" s="36">
        <f t="shared" si="27"/>
        <v>0</v>
      </c>
      <c r="AZ21" s="36">
        <f t="shared" si="28"/>
        <v>3</v>
      </c>
      <c r="BA21" s="36">
        <f t="shared" si="29"/>
        <v>9</v>
      </c>
      <c r="BB21" s="36">
        <f t="shared" si="30"/>
        <v>4</v>
      </c>
      <c r="BC21" s="36">
        <f t="shared" si="31"/>
        <v>0</v>
      </c>
      <c r="BG21" s="35">
        <v>85</v>
      </c>
      <c r="BH21" s="45">
        <f t="shared" si="8"/>
        <v>6</v>
      </c>
      <c r="BI21" s="45">
        <f t="shared" si="9"/>
        <v>6.588755618876263</v>
      </c>
      <c r="BJ21" s="45">
        <f t="shared" si="10"/>
        <v>51.4822615158226</v>
      </c>
      <c r="BK21" s="45">
        <f t="shared" si="11"/>
        <v>25.130389104578505</v>
      </c>
      <c r="BL21" s="45">
        <f t="shared" si="12"/>
        <v>0</v>
      </c>
      <c r="BY21" s="36">
        <v>85</v>
      </c>
      <c r="BZ21" s="36">
        <v>0</v>
      </c>
      <c r="CA21" s="36">
        <v>6.5958765213739099</v>
      </c>
      <c r="CB21" s="36">
        <v>5.4258933632712676</v>
      </c>
      <c r="CC21" s="36">
        <v>4.9782301153548243</v>
      </c>
      <c r="CD21" s="36">
        <v>0</v>
      </c>
    </row>
    <row r="22" spans="10:82" x14ac:dyDescent="0.15">
      <c r="AS22" s="36">
        <v>91</v>
      </c>
      <c r="AV22" s="36">
        <f t="shared" si="32"/>
        <v>0.14285714285714285</v>
      </c>
      <c r="AW22" s="36">
        <f t="shared" si="33"/>
        <v>7.1428571428571425E-2</v>
      </c>
      <c r="AY22" s="36">
        <f t="shared" si="27"/>
        <v>0</v>
      </c>
      <c r="AZ22" s="36">
        <f t="shared" si="28"/>
        <v>3</v>
      </c>
      <c r="BA22" s="36">
        <f t="shared" si="29"/>
        <v>10</v>
      </c>
      <c r="BB22" s="36">
        <f t="shared" si="30"/>
        <v>4.5</v>
      </c>
      <c r="BC22" s="36">
        <f t="shared" si="31"/>
        <v>0</v>
      </c>
      <c r="BG22" s="35">
        <v>90</v>
      </c>
      <c r="BH22" s="45">
        <f t="shared" si="8"/>
        <v>6</v>
      </c>
      <c r="BI22" s="45">
        <f t="shared" si="9"/>
        <v>8.5575542207121345</v>
      </c>
      <c r="BJ22" s="45">
        <f t="shared" si="10"/>
        <v>73.780080330198842</v>
      </c>
      <c r="BK22" s="45">
        <f t="shared" si="11"/>
        <v>36.032132254283155</v>
      </c>
      <c r="BL22" s="45">
        <f t="shared" si="12"/>
        <v>0</v>
      </c>
      <c r="BY22" s="36">
        <v>90</v>
      </c>
      <c r="BZ22" s="36">
        <v>0</v>
      </c>
      <c r="CA22" s="36">
        <v>6.5958765213739099</v>
      </c>
      <c r="CB22" s="36">
        <v>5.4258933632712676</v>
      </c>
      <c r="CC22" s="36">
        <v>5.9782301153548234</v>
      </c>
      <c r="CD22" s="36">
        <v>0</v>
      </c>
    </row>
    <row r="23" spans="10:82" x14ac:dyDescent="0.15">
      <c r="AS23" s="36">
        <v>98</v>
      </c>
      <c r="AV23" s="36">
        <f t="shared" si="32"/>
        <v>0.14285714285714285</v>
      </c>
      <c r="AW23" s="36">
        <f t="shared" si="33"/>
        <v>7.1428571428571425E-2</v>
      </c>
      <c r="AY23" s="36">
        <f t="shared" si="27"/>
        <v>0</v>
      </c>
      <c r="AZ23" s="36">
        <f t="shared" si="28"/>
        <v>3</v>
      </c>
      <c r="BA23" s="36">
        <f t="shared" si="29"/>
        <v>11</v>
      </c>
      <c r="BB23" s="36">
        <f t="shared" si="30"/>
        <v>5</v>
      </c>
      <c r="BC23" s="36">
        <f t="shared" si="31"/>
        <v>0</v>
      </c>
      <c r="BG23" s="35">
        <v>95</v>
      </c>
      <c r="BH23" s="45">
        <f t="shared" si="8"/>
        <v>6</v>
      </c>
      <c r="BI23" s="45">
        <f t="shared" si="9"/>
        <v>10.668014113815961</v>
      </c>
      <c r="BJ23" s="45">
        <f t="shared" si="10"/>
        <v>97.282975831401103</v>
      </c>
      <c r="BK23" s="45">
        <f t="shared" si="11"/>
        <v>47.510290522312161</v>
      </c>
      <c r="BL23" s="45">
        <f t="shared" si="12"/>
        <v>0</v>
      </c>
      <c r="BY23" s="36">
        <v>95</v>
      </c>
      <c r="BZ23" s="36">
        <v>0</v>
      </c>
      <c r="CA23" s="36">
        <v>6.809045815435141</v>
      </c>
      <c r="CB23" s="36">
        <v>5.6012504752717707</v>
      </c>
      <c r="CC23" s="36">
        <v>6.5897037092930892</v>
      </c>
      <c r="CD23" s="36">
        <v>0</v>
      </c>
    </row>
    <row r="24" spans="10:82" x14ac:dyDescent="0.15">
      <c r="K24" s="37"/>
      <c r="L24" s="37"/>
      <c r="M24" s="37"/>
      <c r="N24" s="37"/>
      <c r="O24" s="37"/>
      <c r="P24" s="37"/>
      <c r="Q24" s="37"/>
      <c r="R24" s="37"/>
      <c r="S24" s="37"/>
      <c r="T24" s="37"/>
      <c r="AS24" s="36">
        <v>105</v>
      </c>
      <c r="AV24" s="36">
        <f t="shared" si="32"/>
        <v>0.14285714285714285</v>
      </c>
      <c r="AW24" s="36">
        <f t="shared" si="33"/>
        <v>7.1428571428571425E-2</v>
      </c>
      <c r="AY24" s="36">
        <f t="shared" si="27"/>
        <v>0</v>
      </c>
      <c r="AZ24" s="36">
        <f t="shared" si="28"/>
        <v>3</v>
      </c>
      <c r="BA24" s="36">
        <f t="shared" si="29"/>
        <v>12</v>
      </c>
      <c r="BB24" s="36">
        <f t="shared" si="30"/>
        <v>5.5</v>
      </c>
      <c r="BC24" s="36">
        <f t="shared" si="31"/>
        <v>0</v>
      </c>
      <c r="BG24" s="35">
        <v>100</v>
      </c>
      <c r="BH24" s="45">
        <f t="shared" si="8"/>
        <v>6</v>
      </c>
      <c r="BI24" s="45">
        <f t="shared" si="9"/>
        <v>14.309906339063565</v>
      </c>
      <c r="BJ24" s="45">
        <f t="shared" si="10"/>
        <v>142.72715727586706</v>
      </c>
      <c r="BK24" s="45">
        <f t="shared" si="11"/>
        <v>69.703960530074625</v>
      </c>
      <c r="BL24" s="45">
        <f t="shared" si="12"/>
        <v>0</v>
      </c>
      <c r="BY24" s="36">
        <v>100</v>
      </c>
      <c r="BZ24" s="36">
        <v>0</v>
      </c>
      <c r="CA24" s="36">
        <v>7.1674166478264638</v>
      </c>
      <c r="CB24" s="36">
        <v>5.8960531318650213</v>
      </c>
      <c r="CC24" s="36">
        <v>6.9365302203085148</v>
      </c>
      <c r="CD24" s="36">
        <v>0</v>
      </c>
    </row>
    <row r="25" spans="10:82" x14ac:dyDescent="0.15">
      <c r="K25" s="37"/>
      <c r="L25" s="37"/>
      <c r="M25" s="37"/>
      <c r="N25" s="37"/>
      <c r="O25" s="37"/>
      <c r="P25" s="37"/>
      <c r="Q25" s="37"/>
      <c r="R25" s="37"/>
      <c r="S25" s="37"/>
      <c r="T25" s="37"/>
      <c r="AS25" s="36">
        <v>112</v>
      </c>
      <c r="AV25" s="36">
        <f t="shared" si="32"/>
        <v>0.14285714285714285</v>
      </c>
      <c r="AW25" s="36">
        <f t="shared" si="33"/>
        <v>7.1428571428571425E-2</v>
      </c>
      <c r="AY25" s="36">
        <f t="shared" si="27"/>
        <v>0</v>
      </c>
      <c r="AZ25" s="36">
        <f t="shared" si="28"/>
        <v>3</v>
      </c>
      <c r="BA25" s="36">
        <f t="shared" si="29"/>
        <v>13</v>
      </c>
      <c r="BB25" s="36">
        <f t="shared" si="30"/>
        <v>6</v>
      </c>
      <c r="BC25" s="36">
        <f t="shared" si="31"/>
        <v>0</v>
      </c>
      <c r="BG25" s="45">
        <v>105</v>
      </c>
      <c r="BH25" s="45">
        <f t="shared" si="8"/>
        <v>6</v>
      </c>
      <c r="BI25" s="45">
        <f t="shared" si="9"/>
        <v>18.470927394738769</v>
      </c>
      <c r="BJ25" s="45">
        <f t="shared" si="10"/>
        <v>195.60905168402587</v>
      </c>
      <c r="BK25" s="45">
        <f t="shared" si="11"/>
        <v>95.530001985221929</v>
      </c>
      <c r="BL25" s="45">
        <f t="shared" si="12"/>
        <v>0</v>
      </c>
    </row>
    <row r="26" spans="10:82" x14ac:dyDescent="0.15">
      <c r="K26" s="129" t="s">
        <v>17</v>
      </c>
      <c r="L26" s="129"/>
      <c r="M26" s="129"/>
      <c r="N26" s="129"/>
      <c r="O26" s="129" t="s">
        <v>80</v>
      </c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 t="s">
        <v>85</v>
      </c>
      <c r="AA26" s="129"/>
      <c r="AB26" s="129"/>
      <c r="AC26" s="129"/>
      <c r="AD26" s="129"/>
      <c r="AE26" s="129" t="s">
        <v>115</v>
      </c>
      <c r="AF26" s="129"/>
      <c r="AG26" s="129"/>
      <c r="AH26" s="129"/>
      <c r="AI26" s="129"/>
      <c r="AJ26" s="129" t="s">
        <v>42</v>
      </c>
      <c r="AK26" s="129"/>
      <c r="AL26" s="129"/>
      <c r="AM26" s="129"/>
      <c r="AN26" s="129"/>
      <c r="AS26" s="36">
        <v>119</v>
      </c>
      <c r="AV26" s="36">
        <f t="shared" si="32"/>
        <v>0.14285714285714285</v>
      </c>
      <c r="AW26" s="36">
        <f t="shared" si="33"/>
        <v>7.1428571428571425E-2</v>
      </c>
      <c r="AY26" s="36">
        <f t="shared" si="27"/>
        <v>0</v>
      </c>
      <c r="AZ26" s="36">
        <f t="shared" si="28"/>
        <v>3</v>
      </c>
      <c r="BA26" s="36">
        <f t="shared" si="29"/>
        <v>14</v>
      </c>
      <c r="BB26" s="36">
        <f t="shared" si="30"/>
        <v>6.5</v>
      </c>
      <c r="BC26" s="36">
        <f t="shared" si="31"/>
        <v>0</v>
      </c>
      <c r="BG26" s="45">
        <v>110</v>
      </c>
      <c r="BH26" s="45">
        <f t="shared" si="8"/>
        <v>6</v>
      </c>
      <c r="BI26" s="45">
        <f t="shared" si="9"/>
        <v>25.13906170379493</v>
      </c>
      <c r="BJ26" s="45">
        <f t="shared" si="10"/>
        <v>284.41439026085811</v>
      </c>
      <c r="BK26" s="45">
        <f t="shared" si="11"/>
        <v>138.90005105762839</v>
      </c>
      <c r="BL26" s="45">
        <f t="shared" si="12"/>
        <v>0</v>
      </c>
      <c r="BP26" s="36" t="s">
        <v>42</v>
      </c>
    </row>
    <row r="27" spans="10:82" x14ac:dyDescent="0.15">
      <c r="K27" s="129"/>
      <c r="L27" s="129"/>
      <c r="M27" s="129"/>
      <c r="N27" s="129"/>
      <c r="O27" s="129" t="s">
        <v>81</v>
      </c>
      <c r="P27" s="129"/>
      <c r="Q27" s="129"/>
      <c r="R27" s="129"/>
      <c r="S27" s="129"/>
      <c r="T27" s="137" t="s">
        <v>82</v>
      </c>
      <c r="U27" s="129" t="s">
        <v>83</v>
      </c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S27" s="36">
        <v>126</v>
      </c>
      <c r="AV27" s="36">
        <f t="shared" si="32"/>
        <v>0.14285714285714285</v>
      </c>
      <c r="AW27" s="36">
        <f t="shared" si="33"/>
        <v>7.1428571428571425E-2</v>
      </c>
      <c r="AY27" s="36">
        <f t="shared" si="27"/>
        <v>0</v>
      </c>
      <c r="AZ27" s="36">
        <f t="shared" si="28"/>
        <v>3</v>
      </c>
      <c r="BA27" s="36">
        <f t="shared" si="29"/>
        <v>15</v>
      </c>
      <c r="BB27" s="36">
        <f t="shared" si="30"/>
        <v>7</v>
      </c>
      <c r="BC27" s="36">
        <f t="shared" si="31"/>
        <v>0</v>
      </c>
      <c r="BG27" s="45">
        <v>115</v>
      </c>
      <c r="BH27" s="45">
        <f t="shared" si="8"/>
        <v>6</v>
      </c>
      <c r="BI27" s="45">
        <f t="shared" si="9"/>
        <v>33.302918705224904</v>
      </c>
      <c r="BJ27" s="45">
        <f t="shared" si="10"/>
        <v>394.65135365912568</v>
      </c>
      <c r="BK27" s="45">
        <f t="shared" si="11"/>
        <v>192.73670760096834</v>
      </c>
      <c r="BL27" s="45">
        <f t="shared" si="12"/>
        <v>0</v>
      </c>
    </row>
    <row r="28" spans="10:82" x14ac:dyDescent="0.15">
      <c r="K28" s="35" t="s">
        <v>14</v>
      </c>
      <c r="L28" s="35" t="s">
        <v>79</v>
      </c>
      <c r="M28" s="35" t="s">
        <v>21</v>
      </c>
      <c r="N28" s="35" t="s">
        <v>78</v>
      </c>
      <c r="O28" s="35" t="s">
        <v>33</v>
      </c>
      <c r="P28" s="35" t="s">
        <v>34</v>
      </c>
      <c r="Q28" s="35" t="s">
        <v>10</v>
      </c>
      <c r="R28" s="35" t="s">
        <v>36</v>
      </c>
      <c r="S28" s="35" t="s">
        <v>37</v>
      </c>
      <c r="T28" s="138"/>
      <c r="U28" s="35" t="s">
        <v>33</v>
      </c>
      <c r="V28" s="35" t="s">
        <v>34</v>
      </c>
      <c r="W28" s="35" t="s">
        <v>35</v>
      </c>
      <c r="X28" s="35" t="s">
        <v>36</v>
      </c>
      <c r="Y28" s="35" t="s">
        <v>37</v>
      </c>
      <c r="Z28" s="35" t="s">
        <v>33</v>
      </c>
      <c r="AA28" s="35" t="s">
        <v>34</v>
      </c>
      <c r="AB28" s="35" t="s">
        <v>10</v>
      </c>
      <c r="AC28" s="35" t="s">
        <v>36</v>
      </c>
      <c r="AD28" s="35" t="s">
        <v>37</v>
      </c>
      <c r="AE28" s="35" t="s">
        <v>8</v>
      </c>
      <c r="AF28" s="35" t="s">
        <v>9</v>
      </c>
      <c r="AG28" s="35" t="s">
        <v>10</v>
      </c>
      <c r="AH28" s="35" t="s">
        <v>11</v>
      </c>
      <c r="AI28" s="35" t="s">
        <v>12</v>
      </c>
      <c r="AJ28" s="35" t="s">
        <v>33</v>
      </c>
      <c r="AK28" s="35" t="s">
        <v>34</v>
      </c>
      <c r="AL28" s="35" t="s">
        <v>35</v>
      </c>
      <c r="AM28" s="35" t="s">
        <v>36</v>
      </c>
      <c r="AN28" s="35" t="s">
        <v>37</v>
      </c>
      <c r="AS28" s="36">
        <v>133</v>
      </c>
      <c r="AV28" s="36">
        <f t="shared" si="32"/>
        <v>0.14285714285714285</v>
      </c>
      <c r="AW28" s="36">
        <f t="shared" si="33"/>
        <v>7.1428571428571425E-2</v>
      </c>
      <c r="AY28" s="36">
        <f t="shared" si="27"/>
        <v>0</v>
      </c>
      <c r="AZ28" s="36">
        <f t="shared" si="28"/>
        <v>3</v>
      </c>
      <c r="BA28" s="36">
        <f t="shared" si="29"/>
        <v>16</v>
      </c>
      <c r="BB28" s="36">
        <f t="shared" si="30"/>
        <v>7.5</v>
      </c>
      <c r="BC28" s="36">
        <f t="shared" si="31"/>
        <v>0</v>
      </c>
      <c r="BG28" s="45">
        <v>120</v>
      </c>
      <c r="BH28" s="45">
        <f t="shared" si="8"/>
        <v>6</v>
      </c>
      <c r="BI28" s="45">
        <f t="shared" si="9"/>
        <v>45.465266632648706</v>
      </c>
      <c r="BJ28" s="45">
        <f t="shared" si="10"/>
        <v>565.91102165543532</v>
      </c>
      <c r="BK28" s="45">
        <f t="shared" si="11"/>
        <v>276.256866428541</v>
      </c>
      <c r="BL28" s="45">
        <f t="shared" si="12"/>
        <v>0</v>
      </c>
      <c r="BP28" s="36" t="s">
        <v>104</v>
      </c>
      <c r="BQ28" s="36" t="s">
        <v>105</v>
      </c>
      <c r="BR28" s="36" t="s">
        <v>106</v>
      </c>
      <c r="BS28" s="36" t="s">
        <v>107</v>
      </c>
      <c r="BT28" s="36" t="s">
        <v>108</v>
      </c>
    </row>
    <row r="29" spans="10:82" x14ac:dyDescent="0.15">
      <c r="J29" s="46">
        <v>1</v>
      </c>
      <c r="K29" s="45">
        <f>求节点(节奏总纲!$Z$4:$Z$83,节奏总纲!$AB$4:$AB$83,基础状态预估!C42)</f>
        <v>2.0310175363141174</v>
      </c>
      <c r="L29" s="45">
        <f>基础状态预估!D42</f>
        <v>17.420973982667814</v>
      </c>
      <c r="M29" s="35">
        <f>基础状态预估!E42</f>
        <v>1</v>
      </c>
      <c r="N29" s="35" t="e">
        <f>$L$1*(求节点('[1]资源-钻石'!$K$4:$K$113,'[1]资源-钻石'!$M$4:$M$113,L29))</f>
        <v>#VALUE!</v>
      </c>
      <c r="O29" s="26">
        <f>O6</f>
        <v>0</v>
      </c>
      <c r="P29" s="26">
        <f t="shared" ref="P29:S29" si="45">P6</f>
        <v>0</v>
      </c>
      <c r="Q29" s="26">
        <f t="shared" si="45"/>
        <v>0</v>
      </c>
      <c r="R29" s="26">
        <f t="shared" si="45"/>
        <v>0</v>
      </c>
      <c r="S29" s="26">
        <f t="shared" si="45"/>
        <v>0</v>
      </c>
      <c r="T29" s="17" t="e">
        <f>N29</f>
        <v>#VALUE!</v>
      </c>
      <c r="U29" s="35">
        <f>IFERROR($T29/SUMPRODUCT($C$4:$G$4,$O29:$S29)*O29,0)</f>
        <v>0</v>
      </c>
      <c r="V29" s="35">
        <f t="shared" ref="V29:V38" si="46">IFERROR($T29/SUMPRODUCT($C$4:$G$4,$O29:$S29)*P29,0)</f>
        <v>0</v>
      </c>
      <c r="W29" s="35">
        <f t="shared" ref="W29:W38" si="47">IFERROR($T29/SUMPRODUCT($C$4:$G$4,$O29:$S29)*Q29,0)</f>
        <v>0</v>
      </c>
      <c r="X29" s="35">
        <f t="shared" ref="X29:X38" si="48">IFERROR($T29/SUMPRODUCT($C$4:$G$4,$O29:$S29)*R29,0)</f>
        <v>0</v>
      </c>
      <c r="Y29" s="35">
        <f t="shared" ref="Y29:Y38" si="49">IFERROR($T29/SUMPRODUCT($C$4:$G$4,$O29:$S29)*S29,0)</f>
        <v>0</v>
      </c>
      <c r="Z29" s="35">
        <f>Z6</f>
        <v>1</v>
      </c>
      <c r="AA29" s="35">
        <f t="shared" ref="AA29:AD29" si="50">AA6</f>
        <v>0</v>
      </c>
      <c r="AB29" s="35">
        <f t="shared" si="50"/>
        <v>0</v>
      </c>
      <c r="AC29" s="35">
        <f t="shared" si="50"/>
        <v>0</v>
      </c>
      <c r="AD29" s="35">
        <f t="shared" si="50"/>
        <v>0</v>
      </c>
      <c r="AE29" s="35">
        <f>AE6</f>
        <v>0</v>
      </c>
      <c r="AF29" s="35">
        <f t="shared" ref="AF29:AI29" si="51">AF6</f>
        <v>0.3626817029132352</v>
      </c>
      <c r="AG29" s="35">
        <f t="shared" si="51"/>
        <v>0</v>
      </c>
      <c r="AH29" s="35">
        <f t="shared" si="51"/>
        <v>0</v>
      </c>
      <c r="AI29" s="35">
        <f t="shared" si="51"/>
        <v>0</v>
      </c>
      <c r="AJ29" s="35">
        <f>SUM(U$6:U29)+Z29+AE29</f>
        <v>1</v>
      </c>
      <c r="AK29" s="35">
        <f>SUM(V$6:V29)+AA29+AF29</f>
        <v>0.3626817029132352</v>
      </c>
      <c r="AL29" s="35">
        <f>SUM(W$6:W29)+AB29+AG29</f>
        <v>0</v>
      </c>
      <c r="AM29" s="35">
        <f>SUM(X$6:X29)+AC29+AH29</f>
        <v>0</v>
      </c>
      <c r="AN29" s="35">
        <f>SUM(Y$6:Y29)+AD29+AI29</f>
        <v>0</v>
      </c>
      <c r="AS29" s="36">
        <v>140</v>
      </c>
      <c r="AV29" s="36">
        <f t="shared" si="32"/>
        <v>0.14285714285714285</v>
      </c>
      <c r="AW29" s="36">
        <f t="shared" si="33"/>
        <v>7.1428571428571425E-2</v>
      </c>
      <c r="AY29" s="36">
        <f t="shared" si="27"/>
        <v>0</v>
      </c>
      <c r="AZ29" s="36">
        <f t="shared" si="28"/>
        <v>3</v>
      </c>
      <c r="BA29" s="36">
        <f t="shared" si="29"/>
        <v>17</v>
      </c>
      <c r="BB29" s="36">
        <f t="shared" si="30"/>
        <v>8</v>
      </c>
      <c r="BC29" s="36">
        <f t="shared" si="31"/>
        <v>0</v>
      </c>
      <c r="BG29" s="45">
        <v>125</v>
      </c>
      <c r="BH29" s="45">
        <f t="shared" si="8"/>
        <v>6</v>
      </c>
      <c r="BI29" s="45">
        <f t="shared" si="9"/>
        <v>61.442500361906646</v>
      </c>
      <c r="BJ29" s="45">
        <f t="shared" si="10"/>
        <v>795.39131680065566</v>
      </c>
      <c r="BK29" s="45">
        <f t="shared" si="11"/>
        <v>388.09750253334653</v>
      </c>
      <c r="BL29" s="45">
        <f t="shared" si="12"/>
        <v>0</v>
      </c>
      <c r="BP29" s="36">
        <v>0</v>
      </c>
      <c r="BQ29" s="36">
        <v>3.6452684609105162</v>
      </c>
      <c r="BR29" s="36">
        <v>0</v>
      </c>
      <c r="BS29" s="36">
        <v>0</v>
      </c>
      <c r="BT29" s="36">
        <v>0</v>
      </c>
    </row>
    <row r="30" spans="10:82" x14ac:dyDescent="0.15">
      <c r="J30" s="46">
        <v>2</v>
      </c>
      <c r="K30" s="45">
        <f>求节点(节奏总纲!$Z$4:$Z$83,节奏总纲!$AB$4:$AB$83,基础状态预估!C43)</f>
        <v>3.8583180257323662</v>
      </c>
      <c r="L30" s="45">
        <f>基础状态预估!D43</f>
        <v>23.346355732194773</v>
      </c>
      <c r="M30" s="35">
        <f>基础状态预估!E43</f>
        <v>2</v>
      </c>
      <c r="N30" s="35" t="e">
        <f>$L$1*(求节点('[1]资源-钻石'!$K$4:$K$113,'[1]资源-钻石'!$M$4:$M$113,L30))</f>
        <v>#VALUE!</v>
      </c>
      <c r="O30" s="26">
        <f t="shared" ref="O30:S30" si="52">O7</f>
        <v>0</v>
      </c>
      <c r="P30" s="26">
        <f t="shared" si="52"/>
        <v>0</v>
      </c>
      <c r="Q30" s="26">
        <f t="shared" si="52"/>
        <v>0</v>
      </c>
      <c r="R30" s="26">
        <f t="shared" si="52"/>
        <v>0</v>
      </c>
      <c r="S30" s="26">
        <f t="shared" si="52"/>
        <v>0</v>
      </c>
      <c r="T30" s="35" t="e">
        <f>N30-N29</f>
        <v>#VALUE!</v>
      </c>
      <c r="U30" s="35">
        <f t="shared" ref="U30:U38" si="53">IFERROR($T30/SUMPRODUCT($C$4:$G$4,$O30:$S30)*O30,0)</f>
        <v>0</v>
      </c>
      <c r="V30" s="35">
        <f t="shared" si="46"/>
        <v>0</v>
      </c>
      <c r="W30" s="35">
        <f t="shared" si="47"/>
        <v>0</v>
      </c>
      <c r="X30" s="35">
        <f t="shared" si="48"/>
        <v>0</v>
      </c>
      <c r="Y30" s="35">
        <f t="shared" si="49"/>
        <v>0</v>
      </c>
      <c r="Z30" s="35">
        <f t="shared" ref="Z30:AD30" si="54">Z7</f>
        <v>2</v>
      </c>
      <c r="AA30" s="35">
        <f t="shared" si="54"/>
        <v>0</v>
      </c>
      <c r="AB30" s="35">
        <f t="shared" si="54"/>
        <v>0</v>
      </c>
      <c r="AC30" s="35">
        <f t="shared" si="54"/>
        <v>0</v>
      </c>
      <c r="AD30" s="35">
        <f t="shared" si="54"/>
        <v>0</v>
      </c>
      <c r="AE30" s="35">
        <f t="shared" ref="AE30:AI30" si="55">AE7</f>
        <v>0</v>
      </c>
      <c r="AF30" s="35">
        <f t="shared" si="55"/>
        <v>0.68898536173792246</v>
      </c>
      <c r="AG30" s="35">
        <f t="shared" si="55"/>
        <v>0</v>
      </c>
      <c r="AH30" s="35">
        <f t="shared" si="55"/>
        <v>0</v>
      </c>
      <c r="AI30" s="35">
        <f t="shared" si="55"/>
        <v>0</v>
      </c>
      <c r="AJ30" s="35">
        <f>SUM(U$6:U30)+Z30+AE30</f>
        <v>2</v>
      </c>
      <c r="AK30" s="35">
        <f>SUM(V$6:V30)+AA30+AF30</f>
        <v>0.68898536173792246</v>
      </c>
      <c r="AL30" s="35">
        <f>SUM(W$6:W30)+AB30+AG30</f>
        <v>0</v>
      </c>
      <c r="AM30" s="35">
        <f>SUM(X$6:X30)+AC30+AH30</f>
        <v>0</v>
      </c>
      <c r="AN30" s="35">
        <f>SUM(Y$6:Y30)+AD30+AI30</f>
        <v>0</v>
      </c>
      <c r="AS30" s="36">
        <v>147</v>
      </c>
      <c r="AV30" s="36">
        <f t="shared" si="32"/>
        <v>0.14285714285714285</v>
      </c>
      <c r="AW30" s="36">
        <f t="shared" si="33"/>
        <v>7.1428571428571425E-2</v>
      </c>
      <c r="AY30" s="36">
        <f t="shared" si="27"/>
        <v>0</v>
      </c>
      <c r="AZ30" s="36">
        <f t="shared" si="28"/>
        <v>3</v>
      </c>
      <c r="BA30" s="36">
        <f t="shared" si="29"/>
        <v>18</v>
      </c>
      <c r="BB30" s="36">
        <f t="shared" si="30"/>
        <v>8.5</v>
      </c>
      <c r="BC30" s="36">
        <f t="shared" si="31"/>
        <v>0</v>
      </c>
      <c r="BG30" s="45">
        <v>130</v>
      </c>
      <c r="BH30" s="45">
        <f t="shared" si="8"/>
        <v>6</v>
      </c>
      <c r="BI30" s="45">
        <f t="shared" si="9"/>
        <v>84.303510500361099</v>
      </c>
      <c r="BJ30" s="45">
        <f t="shared" si="10"/>
        <v>1123.539737429285</v>
      </c>
      <c r="BK30" s="45">
        <f t="shared" si="11"/>
        <v>548.12457350252771</v>
      </c>
      <c r="BL30" s="45">
        <f t="shared" si="12"/>
        <v>0</v>
      </c>
      <c r="BP30" s="36">
        <v>0</v>
      </c>
      <c r="BQ30" s="36">
        <v>4.8621733863024748</v>
      </c>
      <c r="BR30" s="36">
        <v>0</v>
      </c>
      <c r="BS30" s="36">
        <v>0</v>
      </c>
      <c r="BT30" s="36">
        <v>0</v>
      </c>
    </row>
    <row r="31" spans="10:82" x14ac:dyDescent="0.15">
      <c r="J31" s="46">
        <v>3</v>
      </c>
      <c r="K31" s="45">
        <f>求节点(节奏总纲!$Z$4:$Z$83,节奏总纲!$AB$4:$AB$83,基础状态预估!C44)</f>
        <v>7.7240111017275384</v>
      </c>
      <c r="L31" s="45">
        <f>基础状态预估!D44</f>
        <v>31.845462834406923</v>
      </c>
      <c r="M31" s="35">
        <f>基础状态预估!E44</f>
        <v>3</v>
      </c>
      <c r="N31" s="35" t="e">
        <f>$L$1*(求节点('[1]资源-钻石'!$K$4:$K$113,'[1]资源-钻石'!$M$4:$M$113,L31))</f>
        <v>#VALUE!</v>
      </c>
      <c r="O31" s="26">
        <f t="shared" ref="O31:S31" si="56">O8</f>
        <v>0</v>
      </c>
      <c r="P31" s="26">
        <f t="shared" si="56"/>
        <v>0</v>
      </c>
      <c r="Q31" s="26">
        <f t="shared" si="56"/>
        <v>0</v>
      </c>
      <c r="R31" s="26">
        <f t="shared" si="56"/>
        <v>0</v>
      </c>
      <c r="S31" s="26">
        <f t="shared" si="56"/>
        <v>0</v>
      </c>
      <c r="T31" s="35" t="e">
        <f t="shared" ref="T31:T38" si="57">N31-N30</f>
        <v>#VALUE!</v>
      </c>
      <c r="U31" s="35">
        <f t="shared" si="53"/>
        <v>0</v>
      </c>
      <c r="V31" s="35">
        <f t="shared" si="46"/>
        <v>0</v>
      </c>
      <c r="W31" s="35">
        <f t="shared" si="47"/>
        <v>0</v>
      </c>
      <c r="X31" s="35">
        <f t="shared" si="48"/>
        <v>0</v>
      </c>
      <c r="Y31" s="35">
        <f t="shared" si="49"/>
        <v>0</v>
      </c>
      <c r="Z31" s="35">
        <f t="shared" ref="Z31:AD31" si="58">Z8</f>
        <v>3</v>
      </c>
      <c r="AA31" s="35">
        <f t="shared" si="58"/>
        <v>0</v>
      </c>
      <c r="AB31" s="35">
        <f t="shared" si="58"/>
        <v>0</v>
      </c>
      <c r="AC31" s="35">
        <f t="shared" si="58"/>
        <v>0</v>
      </c>
      <c r="AD31" s="35">
        <f t="shared" si="58"/>
        <v>0</v>
      </c>
      <c r="AE31" s="35">
        <f t="shared" ref="AE31:AI31" si="59">AE8</f>
        <v>0</v>
      </c>
      <c r="AF31" s="35">
        <f t="shared" si="59"/>
        <v>1.3792876967370604</v>
      </c>
      <c r="AG31" s="35">
        <f t="shared" si="59"/>
        <v>0</v>
      </c>
      <c r="AH31" s="35">
        <f t="shared" si="59"/>
        <v>0</v>
      </c>
      <c r="AI31" s="35">
        <f t="shared" si="59"/>
        <v>0</v>
      </c>
      <c r="AJ31" s="35">
        <f>SUM(U$6:U31)+Z31+AE31</f>
        <v>3</v>
      </c>
      <c r="AK31" s="35">
        <f>SUM(V$6:V31)+AA31+AF31</f>
        <v>1.3792876967370604</v>
      </c>
      <c r="AL31" s="35">
        <f>SUM(W$6:W31)+AB31+AG31</f>
        <v>0</v>
      </c>
      <c r="AM31" s="35">
        <f>SUM(X$6:X31)+AC31+AH31</f>
        <v>0</v>
      </c>
      <c r="AN31" s="35">
        <f>SUM(Y$6:Y31)+AD31+AI31</f>
        <v>0</v>
      </c>
      <c r="AS31" s="36">
        <v>154</v>
      </c>
      <c r="AV31" s="36">
        <f t="shared" si="32"/>
        <v>0.14285714285714285</v>
      </c>
      <c r="AW31" s="36">
        <f t="shared" si="33"/>
        <v>7.1428571428571425E-2</v>
      </c>
      <c r="AY31" s="36">
        <f t="shared" si="27"/>
        <v>0</v>
      </c>
      <c r="AZ31" s="36">
        <f t="shared" si="28"/>
        <v>3</v>
      </c>
      <c r="BA31" s="36">
        <f t="shared" si="29"/>
        <v>19</v>
      </c>
      <c r="BB31" s="36">
        <f t="shared" si="30"/>
        <v>9</v>
      </c>
      <c r="BC31" s="36">
        <f t="shared" si="31"/>
        <v>0</v>
      </c>
      <c r="BG31" s="45">
        <v>135</v>
      </c>
      <c r="BH31" s="45">
        <f t="shared" si="8"/>
        <v>6</v>
      </c>
      <c r="BI31" s="45">
        <f t="shared" si="9"/>
        <v>117.54075912532514</v>
      </c>
      <c r="BJ31" s="45">
        <f t="shared" si="10"/>
        <v>1600.415243334091</v>
      </c>
      <c r="BK31" s="45">
        <f t="shared" si="11"/>
        <v>780.78531387727594</v>
      </c>
      <c r="BL31" s="45">
        <f t="shared" si="12"/>
        <v>0</v>
      </c>
      <c r="BP31" s="36">
        <v>0</v>
      </c>
      <c r="BQ31" s="36">
        <v>6.5958765213739099</v>
      </c>
      <c r="BR31" s="36">
        <v>0</v>
      </c>
      <c r="BS31" s="36">
        <v>0</v>
      </c>
      <c r="BT31" s="36">
        <v>0</v>
      </c>
    </row>
    <row r="32" spans="10:82" x14ac:dyDescent="0.15">
      <c r="J32" s="46">
        <v>4</v>
      </c>
      <c r="K32" s="45">
        <f>求节点(节奏总纲!$Z$4:$Z$83,节奏总纲!$AB$4:$AB$83,基础状态预估!C45)</f>
        <v>15.096178510388308</v>
      </c>
      <c r="L32" s="45">
        <f>基础状态预估!D45</f>
        <v>40.787439392565133</v>
      </c>
      <c r="M32" s="35">
        <f>基础状态预估!E45</f>
        <v>4</v>
      </c>
      <c r="N32" s="35" t="e">
        <f>$L$1*(求节点('[1]资源-钻石'!$K$4:$K$113,'[1]资源-钻石'!$M$4:$M$113,L32))</f>
        <v>#VALUE!</v>
      </c>
      <c r="O32" s="26">
        <f t="shared" ref="O32:S32" si="60">O9</f>
        <v>0</v>
      </c>
      <c r="P32" s="26">
        <f t="shared" si="60"/>
        <v>0</v>
      </c>
      <c r="Q32" s="26">
        <f t="shared" si="60"/>
        <v>0</v>
      </c>
      <c r="R32" s="26">
        <f t="shared" si="60"/>
        <v>0</v>
      </c>
      <c r="S32" s="26">
        <f t="shared" si="60"/>
        <v>0</v>
      </c>
      <c r="T32" s="35" t="e">
        <f t="shared" si="57"/>
        <v>#VALUE!</v>
      </c>
      <c r="U32" s="35">
        <f t="shared" si="53"/>
        <v>0</v>
      </c>
      <c r="V32" s="35">
        <f t="shared" si="46"/>
        <v>0</v>
      </c>
      <c r="W32" s="35">
        <f t="shared" si="47"/>
        <v>0</v>
      </c>
      <c r="X32" s="35">
        <f t="shared" si="48"/>
        <v>0</v>
      </c>
      <c r="Y32" s="35">
        <f t="shared" si="49"/>
        <v>0</v>
      </c>
      <c r="Z32" s="35">
        <f t="shared" ref="Z32:AD32" si="61">Z9</f>
        <v>4</v>
      </c>
      <c r="AA32" s="35">
        <f t="shared" si="61"/>
        <v>0</v>
      </c>
      <c r="AB32" s="35">
        <f t="shared" si="61"/>
        <v>0</v>
      </c>
      <c r="AC32" s="35">
        <f t="shared" si="61"/>
        <v>0</v>
      </c>
      <c r="AD32" s="35">
        <f t="shared" si="61"/>
        <v>0</v>
      </c>
      <c r="AE32" s="35">
        <f t="shared" ref="AE32:AI32" si="62">AE9</f>
        <v>0</v>
      </c>
      <c r="AF32" s="35">
        <f t="shared" si="62"/>
        <v>2.6957461625693404</v>
      </c>
      <c r="AG32" s="35">
        <f t="shared" si="62"/>
        <v>0</v>
      </c>
      <c r="AH32" s="35">
        <f t="shared" si="62"/>
        <v>0</v>
      </c>
      <c r="AI32" s="35">
        <f t="shared" si="62"/>
        <v>0</v>
      </c>
      <c r="AJ32" s="35">
        <f>SUM(U$6:U32)+Z32+AE32</f>
        <v>4</v>
      </c>
      <c r="AK32" s="35">
        <f>SUM(V$6:V32)+AA32+AF32</f>
        <v>2.6957461625693404</v>
      </c>
      <c r="AL32" s="35">
        <f>SUM(W$6:W32)+AB32+AG32</f>
        <v>0</v>
      </c>
      <c r="AM32" s="35">
        <f>SUM(X$6:X32)+AC32+AH32</f>
        <v>0</v>
      </c>
      <c r="AN32" s="35">
        <f>SUM(Y$6:Y32)+AD32+AI32</f>
        <v>0</v>
      </c>
      <c r="AS32" s="36">
        <v>161</v>
      </c>
      <c r="AV32" s="36">
        <f t="shared" si="32"/>
        <v>0.14285714285714285</v>
      </c>
      <c r="AW32" s="36">
        <f t="shared" si="33"/>
        <v>7.1428571428571425E-2</v>
      </c>
      <c r="AY32" s="36">
        <f t="shared" si="27"/>
        <v>0</v>
      </c>
      <c r="AZ32" s="36">
        <f t="shared" si="28"/>
        <v>3</v>
      </c>
      <c r="BA32" s="36">
        <f t="shared" si="29"/>
        <v>20</v>
      </c>
      <c r="BB32" s="36">
        <f t="shared" si="30"/>
        <v>9.5</v>
      </c>
      <c r="BC32" s="36">
        <f t="shared" si="31"/>
        <v>0</v>
      </c>
      <c r="BG32" s="45">
        <v>140</v>
      </c>
      <c r="BH32" s="45">
        <f t="shared" si="8"/>
        <v>6</v>
      </c>
      <c r="BI32" s="45">
        <f t="shared" si="9"/>
        <v>161.22085843862189</v>
      </c>
      <c r="BJ32" s="45">
        <f t="shared" si="10"/>
        <v>2226.9716608710696</v>
      </c>
      <c r="BK32" s="45">
        <f t="shared" si="11"/>
        <v>1086.546009070353</v>
      </c>
      <c r="BL32" s="45">
        <f t="shared" si="12"/>
        <v>0</v>
      </c>
      <c r="BP32" s="36">
        <v>0</v>
      </c>
      <c r="BQ32" s="36">
        <v>6.5958765213739099</v>
      </c>
      <c r="BR32" s="36">
        <v>1.7935632820034506</v>
      </c>
      <c r="BS32" s="36">
        <v>0</v>
      </c>
      <c r="BT32" s="36">
        <v>0</v>
      </c>
    </row>
    <row r="33" spans="10:72" x14ac:dyDescent="0.15">
      <c r="J33" s="46">
        <v>5</v>
      </c>
      <c r="K33" s="45">
        <f>求节点(节奏总纲!$Z$4:$Z$83,节奏总纲!$AB$4:$AB$83,基础状态预估!C46)</f>
        <v>29.031391010864539</v>
      </c>
      <c r="L33" s="45">
        <f>基础状态预估!D46</f>
        <v>49.81327866937707</v>
      </c>
      <c r="M33" s="35">
        <f>基础状态预估!E46</f>
        <v>5</v>
      </c>
      <c r="N33" s="35" t="e">
        <f>$L$1*(求节点('[1]资源-钻石'!$K$4:$K$113,'[1]资源-钻石'!$M$4:$M$113,L33))</f>
        <v>#VALUE!</v>
      </c>
      <c r="O33" s="26">
        <f t="shared" ref="O33:S33" si="63">O10</f>
        <v>0</v>
      </c>
      <c r="P33" s="26">
        <f t="shared" si="63"/>
        <v>0</v>
      </c>
      <c r="Q33" s="26">
        <f t="shared" si="63"/>
        <v>0</v>
      </c>
      <c r="R33" s="26">
        <f t="shared" si="63"/>
        <v>0</v>
      </c>
      <c r="S33" s="26">
        <f t="shared" si="63"/>
        <v>0</v>
      </c>
      <c r="T33" s="35" t="e">
        <f t="shared" si="57"/>
        <v>#VALUE!</v>
      </c>
      <c r="U33" s="35">
        <f t="shared" si="53"/>
        <v>0</v>
      </c>
      <c r="V33" s="35">
        <f t="shared" si="46"/>
        <v>0</v>
      </c>
      <c r="W33" s="35">
        <f t="shared" si="47"/>
        <v>0</v>
      </c>
      <c r="X33" s="35">
        <f t="shared" si="48"/>
        <v>0</v>
      </c>
      <c r="Y33" s="35">
        <f t="shared" si="49"/>
        <v>0</v>
      </c>
      <c r="Z33" s="35">
        <f t="shared" ref="Z33:AD33" si="64">Z10</f>
        <v>5</v>
      </c>
      <c r="AA33" s="35">
        <f t="shared" si="64"/>
        <v>0</v>
      </c>
      <c r="AB33" s="35">
        <f t="shared" si="64"/>
        <v>0</v>
      </c>
      <c r="AC33" s="35">
        <f t="shared" si="64"/>
        <v>0</v>
      </c>
      <c r="AD33" s="35">
        <f t="shared" si="64"/>
        <v>0</v>
      </c>
      <c r="AE33" s="35">
        <f t="shared" ref="AE33:AI33" si="65">AE10</f>
        <v>0</v>
      </c>
      <c r="AF33" s="35">
        <f t="shared" si="65"/>
        <v>3</v>
      </c>
      <c r="AG33" s="35">
        <f t="shared" si="65"/>
        <v>2.1841769662258099</v>
      </c>
      <c r="AH33" s="35">
        <f t="shared" si="65"/>
        <v>0.59208848311290496</v>
      </c>
      <c r="AI33" s="35">
        <f t="shared" si="65"/>
        <v>0</v>
      </c>
      <c r="AJ33" s="35">
        <f>SUM(U$6:U33)+Z33+AE33</f>
        <v>5</v>
      </c>
      <c r="AK33" s="35">
        <f>SUM(V$6:V33)+AA33+AF33</f>
        <v>3</v>
      </c>
      <c r="AL33" s="35">
        <f>SUM(W$6:W33)+AB33+AG33</f>
        <v>2.1841769662258099</v>
      </c>
      <c r="AM33" s="35">
        <f>SUM(X$6:X33)+AC33+AH33</f>
        <v>0.59208848311290496</v>
      </c>
      <c r="AN33" s="35">
        <f>SUM(Y$6:Y33)+AD33+AI33</f>
        <v>0</v>
      </c>
      <c r="AS33" s="36">
        <v>168</v>
      </c>
      <c r="AV33" s="36">
        <f t="shared" si="32"/>
        <v>0.14285714285714285</v>
      </c>
      <c r="AW33" s="36">
        <f t="shared" si="33"/>
        <v>7.1428571428571425E-2</v>
      </c>
      <c r="AY33" s="36">
        <f t="shared" si="27"/>
        <v>0</v>
      </c>
      <c r="AZ33" s="36">
        <f t="shared" si="28"/>
        <v>3</v>
      </c>
      <c r="BA33" s="36">
        <f t="shared" si="29"/>
        <v>21</v>
      </c>
      <c r="BB33" s="36">
        <f t="shared" si="30"/>
        <v>10</v>
      </c>
      <c r="BC33" s="36">
        <f t="shared" si="31"/>
        <v>0</v>
      </c>
      <c r="BG33" s="45">
        <v>145</v>
      </c>
      <c r="BH33" s="45">
        <f t="shared" si="8"/>
        <v>6</v>
      </c>
      <c r="BI33" s="45">
        <f t="shared" si="9"/>
        <v>230.06169484413297</v>
      </c>
      <c r="BJ33" s="45">
        <f t="shared" si="10"/>
        <v>3214.1654347869649</v>
      </c>
      <c r="BK33" s="45">
        <f t="shared" si="11"/>
        <v>1568.4318639089306</v>
      </c>
      <c r="BL33" s="45">
        <f t="shared" si="12"/>
        <v>0</v>
      </c>
      <c r="BP33" s="36">
        <v>0</v>
      </c>
      <c r="BQ33" s="36">
        <v>6.5958765213739099</v>
      </c>
      <c r="BR33" s="36">
        <v>3.6090738243466269</v>
      </c>
      <c r="BS33" s="36">
        <v>0</v>
      </c>
      <c r="BT33" s="36">
        <v>0</v>
      </c>
    </row>
    <row r="34" spans="10:72" x14ac:dyDescent="0.15">
      <c r="J34" s="46">
        <v>6</v>
      </c>
      <c r="K34" s="45">
        <f>求节点(节奏总纲!$Z$4:$Z$83,节奏总纲!$AB$4:$AB$83,基础状态预估!C47)</f>
        <v>54.898744666803331</v>
      </c>
      <c r="L34" s="45">
        <f>基础状态预估!D47</f>
        <v>58.959670032750353</v>
      </c>
      <c r="M34" s="35">
        <f>基础状态预估!E47</f>
        <v>6</v>
      </c>
      <c r="N34" s="35" t="e">
        <f>$L$1*(求节点('[1]资源-钻石'!$K$4:$K$113,'[1]资源-钻石'!$M$4:$M$113,L34))</f>
        <v>#VALUE!</v>
      </c>
      <c r="O34" s="26">
        <f t="shared" ref="O34:S34" si="66">O11</f>
        <v>0</v>
      </c>
      <c r="P34" s="26">
        <f t="shared" si="66"/>
        <v>0</v>
      </c>
      <c r="Q34" s="26">
        <f t="shared" si="66"/>
        <v>0</v>
      </c>
      <c r="R34" s="26">
        <f t="shared" si="66"/>
        <v>0</v>
      </c>
      <c r="S34" s="26">
        <f t="shared" si="66"/>
        <v>0</v>
      </c>
      <c r="T34" s="35" t="e">
        <f t="shared" si="57"/>
        <v>#VALUE!</v>
      </c>
      <c r="U34" s="35">
        <f t="shared" si="53"/>
        <v>0</v>
      </c>
      <c r="V34" s="35">
        <f t="shared" si="46"/>
        <v>0</v>
      </c>
      <c r="W34" s="35">
        <f t="shared" si="47"/>
        <v>0</v>
      </c>
      <c r="X34" s="35">
        <f t="shared" si="48"/>
        <v>0</v>
      </c>
      <c r="Y34" s="35">
        <f t="shared" si="49"/>
        <v>0</v>
      </c>
      <c r="Z34" s="35">
        <f t="shared" ref="Z34:AD34" si="67">Z11</f>
        <v>6</v>
      </c>
      <c r="AA34" s="35">
        <f t="shared" si="67"/>
        <v>0</v>
      </c>
      <c r="AB34" s="35">
        <f t="shared" si="67"/>
        <v>0</v>
      </c>
      <c r="AC34" s="35">
        <f t="shared" si="67"/>
        <v>0</v>
      </c>
      <c r="AD34" s="35">
        <f t="shared" si="67"/>
        <v>0</v>
      </c>
      <c r="AE34" s="35">
        <f t="shared" ref="AE34:AI34" si="68">AE11</f>
        <v>0</v>
      </c>
      <c r="AF34" s="35">
        <f t="shared" si="68"/>
        <v>3</v>
      </c>
      <c r="AG34" s="35">
        <f t="shared" si="68"/>
        <v>6.8033472619291651</v>
      </c>
      <c r="AH34" s="35">
        <f t="shared" si="68"/>
        <v>2.9016736309645825</v>
      </c>
      <c r="AI34" s="35">
        <f t="shared" si="68"/>
        <v>0</v>
      </c>
      <c r="AJ34" s="35">
        <f>SUM(U$6:U34)+Z34+AE34</f>
        <v>6</v>
      </c>
      <c r="AK34" s="35">
        <f>SUM(V$6:V34)+AA34+AF34</f>
        <v>3</v>
      </c>
      <c r="AL34" s="35">
        <f>SUM(W$6:W34)+AB34+AG34</f>
        <v>6.8033472619291651</v>
      </c>
      <c r="AM34" s="35">
        <f>SUM(X$6:X34)+AC34+AH34</f>
        <v>2.9016736309645825</v>
      </c>
      <c r="AN34" s="35">
        <f>SUM(Y$6:Y34)+AD34+AI34</f>
        <v>0</v>
      </c>
      <c r="AS34" s="36">
        <v>175</v>
      </c>
      <c r="AV34" s="36">
        <f t="shared" si="32"/>
        <v>0.14285714285714285</v>
      </c>
      <c r="AW34" s="36">
        <f t="shared" si="33"/>
        <v>7.1428571428571425E-2</v>
      </c>
      <c r="AY34" s="36">
        <f t="shared" si="27"/>
        <v>0</v>
      </c>
      <c r="AZ34" s="36">
        <f t="shared" si="28"/>
        <v>3</v>
      </c>
      <c r="BA34" s="36">
        <f t="shared" si="29"/>
        <v>22</v>
      </c>
      <c r="BB34" s="36">
        <f t="shared" si="30"/>
        <v>10.5</v>
      </c>
      <c r="BC34" s="36">
        <f t="shared" si="31"/>
        <v>0</v>
      </c>
      <c r="BG34" s="45">
        <v>150</v>
      </c>
      <c r="BH34" s="45">
        <f t="shared" si="8"/>
        <v>6</v>
      </c>
      <c r="BI34" s="45">
        <f t="shared" si="9"/>
        <v>308.8844239453652</v>
      </c>
      <c r="BJ34" s="45">
        <f t="shared" si="10"/>
        <v>4344.4931770273251</v>
      </c>
      <c r="BK34" s="45">
        <f t="shared" si="11"/>
        <v>2120.1909676175565</v>
      </c>
      <c r="BL34" s="45">
        <f t="shared" si="12"/>
        <v>0</v>
      </c>
      <c r="BP34" s="36">
        <v>0</v>
      </c>
      <c r="BQ34" s="36">
        <v>6.5958765213739099</v>
      </c>
      <c r="BR34" s="36">
        <v>5.4258933632712676</v>
      </c>
      <c r="BS34" s="36">
        <v>0</v>
      </c>
      <c r="BT34" s="36">
        <v>0</v>
      </c>
    </row>
    <row r="35" spans="10:72" x14ac:dyDescent="0.15">
      <c r="J35" s="46">
        <v>7</v>
      </c>
      <c r="K35" s="45">
        <f>求节点(节奏总纲!$Z$4:$Z$83,节奏总纲!$AB$4:$AB$83,基础状态预估!C48)</f>
        <v>99.697076394392013</v>
      </c>
      <c r="L35" s="45">
        <f>基础状态预估!D48</f>
        <v>67.444013295864096</v>
      </c>
      <c r="M35" s="35">
        <f>基础状态预估!E48</f>
        <v>7</v>
      </c>
      <c r="N35" s="35" t="e">
        <f>$L$1*(求节点('[1]资源-钻石'!$K$4:$K$113,'[1]资源-钻石'!$M$4:$M$113,L35))</f>
        <v>#VALUE!</v>
      </c>
      <c r="O35" s="26">
        <f t="shared" ref="O35:S35" si="69">O12</f>
        <v>0</v>
      </c>
      <c r="P35" s="26">
        <f t="shared" si="69"/>
        <v>0</v>
      </c>
      <c r="Q35" s="26">
        <f t="shared" si="69"/>
        <v>0</v>
      </c>
      <c r="R35" s="26">
        <f t="shared" si="69"/>
        <v>0</v>
      </c>
      <c r="S35" s="26">
        <f t="shared" si="69"/>
        <v>0</v>
      </c>
      <c r="T35" s="35" t="e">
        <f t="shared" si="57"/>
        <v>#VALUE!</v>
      </c>
      <c r="U35" s="35">
        <f t="shared" si="53"/>
        <v>0</v>
      </c>
      <c r="V35" s="35">
        <f t="shared" si="46"/>
        <v>0</v>
      </c>
      <c r="W35" s="35">
        <f t="shared" si="47"/>
        <v>0</v>
      </c>
      <c r="X35" s="35">
        <f t="shared" si="48"/>
        <v>0</v>
      </c>
      <c r="Y35" s="35">
        <f t="shared" si="49"/>
        <v>0</v>
      </c>
      <c r="Z35" s="35">
        <f t="shared" ref="Z35:AD35" si="70">Z12</f>
        <v>6</v>
      </c>
      <c r="AA35" s="35">
        <f t="shared" si="70"/>
        <v>1</v>
      </c>
      <c r="AB35" s="35">
        <f t="shared" si="70"/>
        <v>0</v>
      </c>
      <c r="AC35" s="35">
        <f t="shared" si="70"/>
        <v>0</v>
      </c>
      <c r="AD35" s="35">
        <f t="shared" si="70"/>
        <v>0</v>
      </c>
      <c r="AE35" s="35">
        <f t="shared" ref="AE35:AI35" si="71">AE12</f>
        <v>0</v>
      </c>
      <c r="AF35" s="35">
        <f t="shared" si="71"/>
        <v>3</v>
      </c>
      <c r="AG35" s="35">
        <f t="shared" si="71"/>
        <v>14.803049356141431</v>
      </c>
      <c r="AH35" s="35">
        <f t="shared" si="71"/>
        <v>6.9015246780707153</v>
      </c>
      <c r="AI35" s="35">
        <f t="shared" si="71"/>
        <v>0</v>
      </c>
      <c r="AJ35" s="35">
        <f>SUM(U$6:U35)+Z35+AE35</f>
        <v>6</v>
      </c>
      <c r="AK35" s="35">
        <f>SUM(V$6:V35)+AA35+AF35</f>
        <v>4</v>
      </c>
      <c r="AL35" s="35">
        <f>SUM(W$6:W35)+AB35+AG35</f>
        <v>14.803049356141431</v>
      </c>
      <c r="AM35" s="35">
        <f>SUM(X$6:X35)+AC35+AH35</f>
        <v>6.9015246780707153</v>
      </c>
      <c r="AN35" s="35">
        <f>SUM(Y$6:Y35)+AD35+AI35</f>
        <v>0</v>
      </c>
      <c r="AS35" s="36">
        <v>182</v>
      </c>
      <c r="AV35" s="36">
        <f t="shared" si="32"/>
        <v>0.14285714285714285</v>
      </c>
      <c r="AW35" s="36">
        <f t="shared" si="33"/>
        <v>7.1428571428571425E-2</v>
      </c>
      <c r="AY35" s="36">
        <f t="shared" si="27"/>
        <v>0</v>
      </c>
      <c r="AZ35" s="36">
        <f t="shared" si="28"/>
        <v>3</v>
      </c>
      <c r="BA35" s="36">
        <f t="shared" si="29"/>
        <v>23</v>
      </c>
      <c r="BB35" s="36">
        <f t="shared" si="30"/>
        <v>11</v>
      </c>
      <c r="BC35" s="36">
        <f t="shared" si="31"/>
        <v>0</v>
      </c>
      <c r="BG35" s="45">
        <v>155</v>
      </c>
      <c r="BH35" s="45">
        <f t="shared" si="8"/>
        <v>6</v>
      </c>
      <c r="BI35" s="45">
        <f t="shared" si="9"/>
        <v>430.65936291446434</v>
      </c>
      <c r="BJ35" s="45">
        <f t="shared" si="10"/>
        <v>6090.7281859655504</v>
      </c>
      <c r="BK35" s="45">
        <f t="shared" si="11"/>
        <v>2972.6155404012507</v>
      </c>
      <c r="BL35" s="45">
        <f t="shared" si="12"/>
        <v>0</v>
      </c>
      <c r="BP35" s="36">
        <v>0</v>
      </c>
      <c r="BQ35" s="36">
        <v>6.5958765213739099</v>
      </c>
      <c r="BR35" s="36">
        <v>5.4258933632712676</v>
      </c>
      <c r="BS35" s="36">
        <v>1.7016952994647152</v>
      </c>
      <c r="BT35" s="36">
        <v>0</v>
      </c>
    </row>
    <row r="36" spans="10:72" x14ac:dyDescent="0.15">
      <c r="J36" s="46">
        <v>8</v>
      </c>
      <c r="K36" s="45">
        <f>求节点(节奏总纲!$Z$4:$Z$83,节奏总纲!$AB$4:$AB$83,基础状态预估!C49)</f>
        <v>180.54643493461919</v>
      </c>
      <c r="L36" s="45">
        <f>基础状态预估!D49</f>
        <v>76.018081402346411</v>
      </c>
      <c r="M36" s="35">
        <f>基础状态预估!E49</f>
        <v>8</v>
      </c>
      <c r="N36" s="35" t="e">
        <f>$L$1*(求节点('[1]资源-钻石'!$K$4:$K$113,'[1]资源-钻石'!$M$4:$M$113,L36))</f>
        <v>#VALUE!</v>
      </c>
      <c r="O36" s="26">
        <f t="shared" ref="O36:S36" si="72">O13</f>
        <v>0</v>
      </c>
      <c r="P36" s="26">
        <f t="shared" si="72"/>
        <v>0</v>
      </c>
      <c r="Q36" s="26">
        <f t="shared" si="72"/>
        <v>0</v>
      </c>
      <c r="R36" s="26">
        <f t="shared" si="72"/>
        <v>0</v>
      </c>
      <c r="S36" s="26">
        <f t="shared" si="72"/>
        <v>0</v>
      </c>
      <c r="T36" s="35" t="e">
        <f t="shared" si="57"/>
        <v>#VALUE!</v>
      </c>
      <c r="U36" s="35">
        <f t="shared" si="53"/>
        <v>0</v>
      </c>
      <c r="V36" s="35">
        <f t="shared" si="46"/>
        <v>0</v>
      </c>
      <c r="W36" s="35">
        <f t="shared" si="47"/>
        <v>0</v>
      </c>
      <c r="X36" s="35">
        <f t="shared" si="48"/>
        <v>0</v>
      </c>
      <c r="Y36" s="35">
        <f t="shared" si="49"/>
        <v>0</v>
      </c>
      <c r="Z36" s="35">
        <f t="shared" ref="Z36:AD36" si="73">Z13</f>
        <v>6</v>
      </c>
      <c r="AA36" s="35">
        <f t="shared" si="73"/>
        <v>2</v>
      </c>
      <c r="AB36" s="35">
        <f t="shared" si="73"/>
        <v>0</v>
      </c>
      <c r="AC36" s="35">
        <f t="shared" si="73"/>
        <v>0</v>
      </c>
      <c r="AD36" s="35">
        <f t="shared" si="73"/>
        <v>0</v>
      </c>
      <c r="AE36" s="35">
        <f t="shared" ref="AE36:AI36" si="74">AE13</f>
        <v>0</v>
      </c>
      <c r="AF36" s="35">
        <f t="shared" si="74"/>
        <v>3</v>
      </c>
      <c r="AG36" s="35">
        <f t="shared" si="74"/>
        <v>29.24043480975342</v>
      </c>
      <c r="AH36" s="35">
        <f t="shared" si="74"/>
        <v>14.12021740487671</v>
      </c>
      <c r="AI36" s="35">
        <f t="shared" si="74"/>
        <v>0</v>
      </c>
      <c r="AJ36" s="35">
        <f>SUM(U$6:U36)+Z36+AE36</f>
        <v>6</v>
      </c>
      <c r="AK36" s="35">
        <f>SUM(V$6:V36)+AA36+AF36</f>
        <v>5</v>
      </c>
      <c r="AL36" s="35">
        <f>SUM(W$6:W36)+AB36+AG36</f>
        <v>29.24043480975342</v>
      </c>
      <c r="AM36" s="35">
        <f>SUM(X$6:X36)+AC36+AH36</f>
        <v>14.12021740487671</v>
      </c>
      <c r="AN36" s="35">
        <f>SUM(Y$6:Y36)+AD36+AI36</f>
        <v>0</v>
      </c>
      <c r="AS36" s="36">
        <v>189</v>
      </c>
      <c r="AV36" s="36">
        <f t="shared" si="32"/>
        <v>0.14285714285714285</v>
      </c>
      <c r="AW36" s="36">
        <f t="shared" si="33"/>
        <v>7.1428571428571425E-2</v>
      </c>
      <c r="AY36" s="36">
        <f t="shared" si="27"/>
        <v>0</v>
      </c>
      <c r="AZ36" s="36">
        <f t="shared" si="28"/>
        <v>3</v>
      </c>
      <c r="BA36" s="36">
        <f t="shared" si="29"/>
        <v>24</v>
      </c>
      <c r="BB36" s="36">
        <f t="shared" si="30"/>
        <v>11.5</v>
      </c>
      <c r="BC36" s="36">
        <f t="shared" si="31"/>
        <v>0</v>
      </c>
      <c r="BG36" s="45">
        <v>160</v>
      </c>
      <c r="BH36" s="45">
        <f t="shared" si="8"/>
        <v>6.1794891329293353</v>
      </c>
      <c r="BI36" s="45">
        <f t="shared" si="9"/>
        <v>452.3881437480203</v>
      </c>
      <c r="BJ36" s="45">
        <f t="shared" si="10"/>
        <v>6399.7770422382564</v>
      </c>
      <c r="BK36" s="45">
        <f t="shared" si="11"/>
        <v>3123.4605823056372</v>
      </c>
      <c r="BL36" s="45">
        <f t="shared" si="12"/>
        <v>0</v>
      </c>
      <c r="BP36" s="36">
        <v>0</v>
      </c>
      <c r="BQ36" s="36">
        <v>6.5958765213739099</v>
      </c>
      <c r="BR36" s="36">
        <v>5.4258933632712676</v>
      </c>
      <c r="BS36" s="36">
        <v>3.4057830384772956</v>
      </c>
      <c r="BT36" s="36">
        <v>0</v>
      </c>
    </row>
    <row r="37" spans="10:72" x14ac:dyDescent="0.15">
      <c r="J37" s="46">
        <v>9</v>
      </c>
      <c r="K37" s="45">
        <f>求节点(节奏总纲!$Z$4:$Z$83,节奏总纲!$AB$4:$AB$83,基础状态预估!C50)</f>
        <v>326.26831861477285</v>
      </c>
      <c r="L37" s="45">
        <f>基础状态预估!D50</f>
        <v>84.53544812855209</v>
      </c>
      <c r="M37" s="35">
        <f>基础状态预估!E50</f>
        <v>9</v>
      </c>
      <c r="N37" s="35" t="e">
        <f>$L$1*(求节点('[1]资源-钻石'!$K$4:$K$113,'[1]资源-钻石'!$M$4:$M$113,L37))</f>
        <v>#VALUE!</v>
      </c>
      <c r="O37" s="26">
        <f t="shared" ref="O37:S37" si="75">O14</f>
        <v>0</v>
      </c>
      <c r="P37" s="26">
        <f t="shared" si="75"/>
        <v>0</v>
      </c>
      <c r="Q37" s="26">
        <f t="shared" si="75"/>
        <v>0</v>
      </c>
      <c r="R37" s="26">
        <f t="shared" si="75"/>
        <v>0</v>
      </c>
      <c r="S37" s="26">
        <f t="shared" si="75"/>
        <v>0</v>
      </c>
      <c r="T37" s="35" t="e">
        <f t="shared" si="57"/>
        <v>#VALUE!</v>
      </c>
      <c r="U37" s="35">
        <f t="shared" si="53"/>
        <v>0</v>
      </c>
      <c r="V37" s="35">
        <f t="shared" si="46"/>
        <v>0</v>
      </c>
      <c r="W37" s="35">
        <f t="shared" si="47"/>
        <v>0</v>
      </c>
      <c r="X37" s="35">
        <f t="shared" si="48"/>
        <v>0</v>
      </c>
      <c r="Y37" s="35">
        <f t="shared" si="49"/>
        <v>0</v>
      </c>
      <c r="Z37" s="35">
        <f t="shared" ref="Z37:AD37" si="76">Z14</f>
        <v>6</v>
      </c>
      <c r="AA37" s="35">
        <f t="shared" si="76"/>
        <v>3</v>
      </c>
      <c r="AB37" s="35">
        <f t="shared" si="76"/>
        <v>0</v>
      </c>
      <c r="AC37" s="35">
        <f t="shared" si="76"/>
        <v>0</v>
      </c>
      <c r="AD37" s="35">
        <f t="shared" si="76"/>
        <v>0</v>
      </c>
      <c r="AE37" s="35">
        <f t="shared" ref="AE37:AI37" si="77">AE14</f>
        <v>0</v>
      </c>
      <c r="AF37" s="35">
        <f t="shared" si="77"/>
        <v>3.7188638139981709</v>
      </c>
      <c r="AG37" s="35">
        <f t="shared" si="77"/>
        <v>53.303714667307112</v>
      </c>
      <c r="AH37" s="35">
        <f t="shared" si="77"/>
        <v>26.032046697987195</v>
      </c>
      <c r="AI37" s="35">
        <f t="shared" si="77"/>
        <v>0</v>
      </c>
      <c r="AJ37" s="35">
        <f>SUM(U$6:U37)+Z37+AE37</f>
        <v>6</v>
      </c>
      <c r="AK37" s="35">
        <f>SUM(V$6:V37)+AA37+AF37</f>
        <v>6.7188638139981709</v>
      </c>
      <c r="AL37" s="35">
        <f>SUM(W$6:W37)+AB37+AG37</f>
        <v>53.303714667307112</v>
      </c>
      <c r="AM37" s="35">
        <f>SUM(X$6:X37)+AC37+AH37</f>
        <v>26.032046697987195</v>
      </c>
      <c r="AN37" s="35">
        <f>SUM(Y$6:Y37)+AD37+AI37</f>
        <v>0</v>
      </c>
      <c r="AS37" s="36">
        <v>196</v>
      </c>
      <c r="AV37" s="36">
        <f t="shared" si="32"/>
        <v>0.14285714285714285</v>
      </c>
      <c r="AW37" s="36">
        <f t="shared" si="33"/>
        <v>7.1428571428571425E-2</v>
      </c>
      <c r="AY37" s="36">
        <f t="shared" si="27"/>
        <v>0</v>
      </c>
      <c r="AZ37" s="36">
        <f t="shared" si="28"/>
        <v>3</v>
      </c>
      <c r="BA37" s="36">
        <f t="shared" si="29"/>
        <v>25</v>
      </c>
      <c r="BB37" s="36">
        <f t="shared" si="30"/>
        <v>12</v>
      </c>
      <c r="BC37" s="36">
        <f t="shared" si="31"/>
        <v>0</v>
      </c>
      <c r="BP37" s="36">
        <v>0</v>
      </c>
      <c r="BQ37" s="36">
        <v>6.5958765213739099</v>
      </c>
      <c r="BR37" s="36">
        <v>5.4258933632712676</v>
      </c>
      <c r="BS37" s="36">
        <v>5.1070027526733064</v>
      </c>
      <c r="BT37" s="36">
        <v>0</v>
      </c>
    </row>
    <row r="38" spans="10:72" x14ac:dyDescent="0.15">
      <c r="J38" s="46">
        <v>10</v>
      </c>
      <c r="K38" s="45">
        <f>求节点(节奏总纲!$Z$4:$Z$83,节奏总纲!$AB$4:$AB$83,基础状态预估!C51)</f>
        <v>631.88241509551563</v>
      </c>
      <c r="L38" s="45">
        <f>基础状态预估!D51</f>
        <v>95.320056465518832</v>
      </c>
      <c r="M38" s="35">
        <f>基础状态预估!E51</f>
        <v>10</v>
      </c>
      <c r="N38" s="35" t="e">
        <f>$L$1*(求节点('[1]资源-钻石'!$K$4:$K$113,'[1]资源-钻石'!$M$4:$M$113,L38))</f>
        <v>#VALUE!</v>
      </c>
      <c r="O38" s="26">
        <f t="shared" ref="O38:S38" si="78">O15</f>
        <v>0</v>
      </c>
      <c r="P38" s="26">
        <f t="shared" si="78"/>
        <v>0</v>
      </c>
      <c r="Q38" s="26">
        <f t="shared" si="78"/>
        <v>0</v>
      </c>
      <c r="R38" s="26">
        <f t="shared" si="78"/>
        <v>0</v>
      </c>
      <c r="S38" s="26">
        <f t="shared" si="78"/>
        <v>0</v>
      </c>
      <c r="T38" s="35" t="e">
        <f t="shared" si="57"/>
        <v>#VALUE!</v>
      </c>
      <c r="U38" s="35">
        <f t="shared" si="53"/>
        <v>0</v>
      </c>
      <c r="V38" s="35">
        <f t="shared" si="46"/>
        <v>0</v>
      </c>
      <c r="W38" s="35">
        <f t="shared" si="47"/>
        <v>0</v>
      </c>
      <c r="X38" s="35">
        <f t="shared" si="48"/>
        <v>0</v>
      </c>
      <c r="Y38" s="35">
        <f t="shared" si="49"/>
        <v>0</v>
      </c>
      <c r="Z38" s="35">
        <f t="shared" ref="Z38:AD38" si="79">Z15</f>
        <v>6</v>
      </c>
      <c r="AA38" s="35">
        <f t="shared" si="79"/>
        <v>4</v>
      </c>
      <c r="AB38" s="35">
        <f t="shared" si="79"/>
        <v>0</v>
      </c>
      <c r="AC38" s="35">
        <f t="shared" si="79"/>
        <v>0</v>
      </c>
      <c r="AD38" s="35">
        <f t="shared" si="79"/>
        <v>0</v>
      </c>
      <c r="AE38" s="35">
        <f t="shared" ref="AE38:AI38" si="80">AE15</f>
        <v>0</v>
      </c>
      <c r="AF38" s="35">
        <f t="shared" si="80"/>
        <v>7.202307162942807</v>
      </c>
      <c r="AG38" s="35">
        <f t="shared" si="80"/>
        <v>103.23306933551356</v>
      </c>
      <c r="AH38" s="35">
        <f t="shared" si="80"/>
        <v>50.416150140599648</v>
      </c>
      <c r="AI38" s="35">
        <f t="shared" si="80"/>
        <v>0</v>
      </c>
      <c r="AJ38" s="35">
        <f>SUM(U$6:U38)+Z38+AE38</f>
        <v>6</v>
      </c>
      <c r="AK38" s="35">
        <f>SUM(V$6:V38)+AA38+AF38</f>
        <v>11.202307162942807</v>
      </c>
      <c r="AL38" s="35">
        <f>SUM(W$6:W38)+AB38+AG38</f>
        <v>103.23306933551356</v>
      </c>
      <c r="AM38" s="35">
        <f>SUM(X$6:X38)+AC38+AH38</f>
        <v>50.416150140599648</v>
      </c>
      <c r="AN38" s="35">
        <f>SUM(Y$6:Y38)+AD38+AI38</f>
        <v>0</v>
      </c>
      <c r="AS38" s="36">
        <v>203</v>
      </c>
      <c r="AV38" s="36">
        <f t="shared" si="32"/>
        <v>0.14285714285714285</v>
      </c>
      <c r="AW38" s="36">
        <f t="shared" si="33"/>
        <v>7.1428571428571425E-2</v>
      </c>
      <c r="AY38" s="36">
        <f t="shared" si="27"/>
        <v>0</v>
      </c>
      <c r="AZ38" s="36">
        <f t="shared" si="28"/>
        <v>3</v>
      </c>
      <c r="BA38" s="36">
        <f t="shared" si="29"/>
        <v>26</v>
      </c>
      <c r="BB38" s="36">
        <f t="shared" si="30"/>
        <v>12.5</v>
      </c>
      <c r="BC38" s="36">
        <f t="shared" si="31"/>
        <v>0</v>
      </c>
      <c r="BP38" s="36">
        <v>0</v>
      </c>
      <c r="BQ38" s="36">
        <v>6.5958765213739099</v>
      </c>
      <c r="BR38" s="36">
        <v>5.4258933632712676</v>
      </c>
      <c r="BS38" s="36">
        <v>6.3834013101230944</v>
      </c>
      <c r="BT38" s="36">
        <v>0</v>
      </c>
    </row>
    <row r="39" spans="10:72" x14ac:dyDescent="0.15">
      <c r="J39" s="46">
        <v>11</v>
      </c>
      <c r="K39" s="45">
        <f>求节点(节奏总纲!$Z$4:$Z$83,节奏总纲!$AB$4:$AB$83,基础状态预估!C52)</f>
        <v>1318.2598742162893</v>
      </c>
      <c r="L39" s="45">
        <f>基础状态预估!D52</f>
        <v>105.93060744042049</v>
      </c>
      <c r="M39" s="45">
        <f>基础状态预估!E52</f>
        <v>11</v>
      </c>
      <c r="N39" s="45" t="e">
        <f>$L$1*(求节点('[1]资源-钻石'!$K$4:$K$113,'[1]资源-钻石'!$M$4:$M$113,L39))</f>
        <v>#VALUE!</v>
      </c>
      <c r="O39" s="26">
        <f t="shared" ref="O39:S39" si="81">O16</f>
        <v>0</v>
      </c>
      <c r="P39" s="26">
        <f t="shared" si="81"/>
        <v>0</v>
      </c>
      <c r="Q39" s="26">
        <f t="shared" si="81"/>
        <v>0</v>
      </c>
      <c r="R39" s="26">
        <f t="shared" si="81"/>
        <v>0</v>
      </c>
      <c r="S39" s="26">
        <f t="shared" si="81"/>
        <v>0</v>
      </c>
      <c r="T39" s="45" t="e">
        <f t="shared" ref="T39:T44" si="82">N39-N38</f>
        <v>#VALUE!</v>
      </c>
      <c r="U39" s="45">
        <f t="shared" ref="U39:U44" si="83">IFERROR($T39/SUMPRODUCT($C$4:$G$4,$O39:$S39)*O39,0)</f>
        <v>0</v>
      </c>
      <c r="V39" s="45">
        <f t="shared" ref="V39:V44" si="84">IFERROR($T39/SUMPRODUCT($C$4:$G$4,$O39:$S39)*P39,0)</f>
        <v>0</v>
      </c>
      <c r="W39" s="45">
        <f t="shared" ref="W39:W44" si="85">IFERROR($T39/SUMPRODUCT($C$4:$G$4,$O39:$S39)*Q39,0)</f>
        <v>0</v>
      </c>
      <c r="X39" s="45">
        <f t="shared" ref="X39:X44" si="86">IFERROR($T39/SUMPRODUCT($C$4:$G$4,$O39:$S39)*R39,0)</f>
        <v>0</v>
      </c>
      <c r="Y39" s="45">
        <f t="shared" ref="Y39:Y44" si="87">IFERROR($T39/SUMPRODUCT($C$4:$G$4,$O39:$S39)*S39,0)</f>
        <v>0</v>
      </c>
      <c r="Z39" s="45">
        <f t="shared" ref="Z39:AI39" si="88">Z16</f>
        <v>6</v>
      </c>
      <c r="AA39" s="45">
        <f t="shared" si="88"/>
        <v>5</v>
      </c>
      <c r="AB39" s="45">
        <f t="shared" si="88"/>
        <v>0</v>
      </c>
      <c r="AC39" s="45">
        <f t="shared" si="88"/>
        <v>0</v>
      </c>
      <c r="AD39" s="45">
        <f t="shared" si="88"/>
        <v>0</v>
      </c>
      <c r="AE39" s="45">
        <f t="shared" si="88"/>
        <v>0</v>
      </c>
      <c r="AF39" s="45">
        <f t="shared" si="88"/>
        <v>15.025758444714542</v>
      </c>
      <c r="AG39" s="45">
        <f t="shared" si="88"/>
        <v>215.36920437424178</v>
      </c>
      <c r="AH39" s="45">
        <f t="shared" si="88"/>
        <v>105.1803091130018</v>
      </c>
      <c r="AI39" s="45">
        <f t="shared" si="88"/>
        <v>0</v>
      </c>
      <c r="AJ39" s="45">
        <f>SUM(U$6:U39)+Z39+AE39</f>
        <v>6</v>
      </c>
      <c r="AK39" s="45">
        <f>SUM(V$6:V39)+AA39+AF39</f>
        <v>20.02575844471454</v>
      </c>
      <c r="AL39" s="45">
        <f>SUM(W$6:W39)+AB39+AG39</f>
        <v>215.36920437424178</v>
      </c>
      <c r="AM39" s="45">
        <f>SUM(X$6:X39)+AC39+AH39</f>
        <v>105.1803091130018</v>
      </c>
      <c r="AN39" s="45">
        <f>SUM(Y$6:Y39)+AD39+AI39</f>
        <v>0</v>
      </c>
      <c r="AS39" s="36">
        <v>210</v>
      </c>
      <c r="AV39" s="36">
        <f t="shared" si="32"/>
        <v>0.14285714285714285</v>
      </c>
      <c r="AW39" s="36">
        <f t="shared" si="33"/>
        <v>7.1428571428571425E-2</v>
      </c>
      <c r="AY39" s="36">
        <f t="shared" si="27"/>
        <v>0</v>
      </c>
      <c r="AZ39" s="36">
        <f t="shared" si="28"/>
        <v>3</v>
      </c>
      <c r="BA39" s="36">
        <f t="shared" si="29"/>
        <v>27</v>
      </c>
      <c r="BB39" s="36">
        <f t="shared" si="30"/>
        <v>13</v>
      </c>
      <c r="BC39" s="36">
        <f t="shared" si="31"/>
        <v>0</v>
      </c>
    </row>
    <row r="40" spans="10:72" x14ac:dyDescent="0.15">
      <c r="J40" s="46">
        <v>12</v>
      </c>
      <c r="K40" s="45">
        <f>求节点(节奏总纲!$Z$4:$Z$83,节奏总纲!$AB$4:$AB$83,基础状态预估!C53)</f>
        <v>2745.081836483092</v>
      </c>
      <c r="L40" s="45">
        <f>基础状态预估!D53</f>
        <v>116.57008716694446</v>
      </c>
      <c r="M40" s="45">
        <f>基础状态预估!E53</f>
        <v>12</v>
      </c>
      <c r="N40" s="45" t="e">
        <f>$L$1*(求节点('[1]资源-钻石'!$K$4:$K$113,'[1]资源-钻石'!$M$4:$M$113,L40))</f>
        <v>#VALUE!</v>
      </c>
      <c r="O40" s="26">
        <f t="shared" ref="O40:S40" si="89">O17</f>
        <v>0</v>
      </c>
      <c r="P40" s="26">
        <f t="shared" si="89"/>
        <v>0</v>
      </c>
      <c r="Q40" s="26">
        <f t="shared" si="89"/>
        <v>0</v>
      </c>
      <c r="R40" s="26">
        <f t="shared" si="89"/>
        <v>0</v>
      </c>
      <c r="S40" s="26">
        <f t="shared" si="89"/>
        <v>0</v>
      </c>
      <c r="T40" s="45" t="e">
        <f t="shared" si="82"/>
        <v>#VALUE!</v>
      </c>
      <c r="U40" s="45">
        <f t="shared" si="83"/>
        <v>0</v>
      </c>
      <c r="V40" s="45">
        <f t="shared" si="84"/>
        <v>0</v>
      </c>
      <c r="W40" s="45">
        <f t="shared" si="85"/>
        <v>0</v>
      </c>
      <c r="X40" s="45">
        <f t="shared" si="86"/>
        <v>0</v>
      </c>
      <c r="Y40" s="45">
        <f t="shared" si="87"/>
        <v>0</v>
      </c>
      <c r="Z40" s="45">
        <f t="shared" ref="Z40:AI40" si="90">Z17</f>
        <v>6</v>
      </c>
      <c r="AA40" s="45">
        <f t="shared" si="90"/>
        <v>6</v>
      </c>
      <c r="AB40" s="45">
        <f t="shared" si="90"/>
        <v>0</v>
      </c>
      <c r="AC40" s="45">
        <f t="shared" si="90"/>
        <v>0</v>
      </c>
      <c r="AD40" s="45">
        <f t="shared" si="90"/>
        <v>0</v>
      </c>
      <c r="AE40" s="45">
        <f t="shared" si="90"/>
        <v>0</v>
      </c>
      <c r="AF40" s="45">
        <f t="shared" si="90"/>
        <v>31.288926707634023</v>
      </c>
      <c r="AG40" s="45">
        <f t="shared" si="90"/>
        <v>448.47461614275431</v>
      </c>
      <c r="AH40" s="45">
        <f t="shared" si="90"/>
        <v>219.02248695343815</v>
      </c>
      <c r="AI40" s="45">
        <f t="shared" si="90"/>
        <v>0</v>
      </c>
      <c r="AJ40" s="45">
        <f>SUM(U$6:U40)+Z40+AE40</f>
        <v>6</v>
      </c>
      <c r="AK40" s="45">
        <f>SUM(V$6:V40)+AA40+AF40</f>
        <v>37.288926707634019</v>
      </c>
      <c r="AL40" s="45">
        <f>SUM(W$6:W40)+AB40+AG40</f>
        <v>448.47461614275431</v>
      </c>
      <c r="AM40" s="45">
        <f>SUM(X$6:X40)+AC40+AH40</f>
        <v>219.02248695343815</v>
      </c>
      <c r="AN40" s="45">
        <f>SUM(Y$6:Y40)+AD40+AI40</f>
        <v>0</v>
      </c>
      <c r="AS40" s="36">
        <v>217</v>
      </c>
      <c r="AV40" s="36">
        <f t="shared" si="32"/>
        <v>0.14285714285714285</v>
      </c>
      <c r="AW40" s="36">
        <f t="shared" si="33"/>
        <v>7.1428571428571425E-2</v>
      </c>
      <c r="AY40" s="36">
        <f t="shared" si="27"/>
        <v>0</v>
      </c>
      <c r="AZ40" s="36">
        <f t="shared" si="28"/>
        <v>3</v>
      </c>
      <c r="BA40" s="36">
        <f t="shared" si="29"/>
        <v>28</v>
      </c>
      <c r="BB40" s="36">
        <f t="shared" si="30"/>
        <v>13.5</v>
      </c>
      <c r="BC40" s="36">
        <f t="shared" si="31"/>
        <v>0</v>
      </c>
    </row>
    <row r="41" spans="10:72" x14ac:dyDescent="0.15">
      <c r="J41" s="46">
        <v>13</v>
      </c>
      <c r="K41" s="45">
        <f>求节点(节奏总纲!$Z$4:$Z$83,节奏总纲!$AB$4:$AB$83,基础状态预估!C54)</f>
        <v>5706.8398490672153</v>
      </c>
      <c r="L41" s="45">
        <f>基础状态预估!D54</f>
        <v>127.12838978012395</v>
      </c>
      <c r="M41" s="45">
        <f>基础状态预估!E54</f>
        <v>13</v>
      </c>
      <c r="N41" s="45" t="e">
        <f>$L$1*(求节点('[1]资源-钻石'!$K$4:$K$113,'[1]资源-钻石'!$M$4:$M$113,L41))</f>
        <v>#VALUE!</v>
      </c>
      <c r="O41" s="26">
        <f t="shared" ref="O41:S41" si="91">O18</f>
        <v>0</v>
      </c>
      <c r="P41" s="26">
        <f t="shared" si="91"/>
        <v>0</v>
      </c>
      <c r="Q41" s="26">
        <f t="shared" si="91"/>
        <v>0</v>
      </c>
      <c r="R41" s="26">
        <f t="shared" si="91"/>
        <v>0</v>
      </c>
      <c r="S41" s="26">
        <f t="shared" si="91"/>
        <v>0</v>
      </c>
      <c r="T41" s="45" t="e">
        <f t="shared" si="82"/>
        <v>#VALUE!</v>
      </c>
      <c r="U41" s="45">
        <f t="shared" si="83"/>
        <v>0</v>
      </c>
      <c r="V41" s="45">
        <f t="shared" si="84"/>
        <v>0</v>
      </c>
      <c r="W41" s="45">
        <f t="shared" si="85"/>
        <v>0</v>
      </c>
      <c r="X41" s="45">
        <f t="shared" si="86"/>
        <v>0</v>
      </c>
      <c r="Y41" s="45">
        <f t="shared" si="87"/>
        <v>0</v>
      </c>
      <c r="Z41" s="45">
        <f t="shared" ref="Z41:AI41" si="92">Z18</f>
        <v>6</v>
      </c>
      <c r="AA41" s="45">
        <f t="shared" si="92"/>
        <v>6</v>
      </c>
      <c r="AB41" s="45">
        <f t="shared" si="92"/>
        <v>1</v>
      </c>
      <c r="AC41" s="45">
        <f t="shared" si="92"/>
        <v>0</v>
      </c>
      <c r="AD41" s="45">
        <f t="shared" si="92"/>
        <v>0</v>
      </c>
      <c r="AE41" s="45">
        <f t="shared" si="92"/>
        <v>0</v>
      </c>
      <c r="AF41" s="45">
        <f t="shared" si="92"/>
        <v>65.047566668699261</v>
      </c>
      <c r="AG41" s="45">
        <f t="shared" si="92"/>
        <v>932.3484555846893</v>
      </c>
      <c r="AH41" s="45">
        <f t="shared" si="92"/>
        <v>455.3329666808948</v>
      </c>
      <c r="AI41" s="45">
        <f t="shared" si="92"/>
        <v>0</v>
      </c>
      <c r="AJ41" s="45">
        <f>SUM(U$6:U41)+Z41+AE41</f>
        <v>6</v>
      </c>
      <c r="AK41" s="45">
        <f>SUM(V$6:V41)+AA41+AF41</f>
        <v>71.047566668699261</v>
      </c>
      <c r="AL41" s="45">
        <f>SUM(W$6:W41)+AB41+AG41</f>
        <v>933.3484555846893</v>
      </c>
      <c r="AM41" s="45">
        <f>SUM(X$6:X41)+AC41+AH41</f>
        <v>455.3329666808948</v>
      </c>
      <c r="AN41" s="45">
        <f>SUM(Y$6:Y41)+AD41+AI41</f>
        <v>0</v>
      </c>
      <c r="AS41" s="36">
        <v>224</v>
      </c>
      <c r="AV41" s="36">
        <f t="shared" si="32"/>
        <v>0.14285714285714285</v>
      </c>
      <c r="AW41" s="36">
        <f t="shared" si="33"/>
        <v>7.1428571428571425E-2</v>
      </c>
      <c r="AY41" s="36">
        <f t="shared" si="27"/>
        <v>0</v>
      </c>
      <c r="AZ41" s="36">
        <f t="shared" si="28"/>
        <v>3</v>
      </c>
      <c r="BA41" s="36">
        <f t="shared" si="29"/>
        <v>29</v>
      </c>
      <c r="BB41" s="36">
        <f t="shared" si="30"/>
        <v>14</v>
      </c>
      <c r="BC41" s="36">
        <f t="shared" si="31"/>
        <v>0</v>
      </c>
    </row>
    <row r="42" spans="10:72" x14ac:dyDescent="0.15">
      <c r="J42" s="46">
        <v>14</v>
      </c>
      <c r="K42" s="45">
        <f>求节点(节奏总纲!$Z$4:$Z$83,节奏总纲!$AB$4:$AB$83,基础状态预估!C55)</f>
        <v>11846.564050336494</v>
      </c>
      <c r="L42" s="45">
        <f>基础状态预估!D55</f>
        <v>137.70627422196659</v>
      </c>
      <c r="M42" s="45">
        <f>基础状态预估!E55</f>
        <v>14</v>
      </c>
      <c r="N42" s="45" t="e">
        <f>$L$1*(求节点('[1]资源-钻石'!$K$4:$K$113,'[1]资源-钻石'!$M$4:$M$113,L42))</f>
        <v>#VALUE!</v>
      </c>
      <c r="O42" s="26">
        <f t="shared" ref="O42:S42" si="93">O19</f>
        <v>0</v>
      </c>
      <c r="P42" s="26">
        <f t="shared" si="93"/>
        <v>0</v>
      </c>
      <c r="Q42" s="26">
        <f t="shared" si="93"/>
        <v>0</v>
      </c>
      <c r="R42" s="26">
        <f t="shared" si="93"/>
        <v>0</v>
      </c>
      <c r="S42" s="26">
        <f t="shared" si="93"/>
        <v>0</v>
      </c>
      <c r="T42" s="45" t="e">
        <f t="shared" si="82"/>
        <v>#VALUE!</v>
      </c>
      <c r="U42" s="45">
        <f t="shared" si="83"/>
        <v>0</v>
      </c>
      <c r="V42" s="45">
        <f t="shared" si="84"/>
        <v>0</v>
      </c>
      <c r="W42" s="45">
        <f t="shared" si="85"/>
        <v>0</v>
      </c>
      <c r="X42" s="45">
        <f t="shared" si="86"/>
        <v>0</v>
      </c>
      <c r="Y42" s="45">
        <f t="shared" si="87"/>
        <v>0</v>
      </c>
      <c r="Z42" s="45">
        <f t="shared" ref="Z42:AI42" si="94">Z19</f>
        <v>6</v>
      </c>
      <c r="AA42" s="45">
        <f t="shared" si="94"/>
        <v>6</v>
      </c>
      <c r="AB42" s="45">
        <f t="shared" si="94"/>
        <v>2</v>
      </c>
      <c r="AC42" s="45">
        <f t="shared" si="94"/>
        <v>0</v>
      </c>
      <c r="AD42" s="45">
        <f t="shared" si="94"/>
        <v>0</v>
      </c>
      <c r="AE42" s="45">
        <f t="shared" si="94"/>
        <v>0</v>
      </c>
      <c r="AF42" s="45">
        <f t="shared" si="94"/>
        <v>135.02922549775639</v>
      </c>
      <c r="AG42" s="45">
        <f t="shared" si="94"/>
        <v>1935.4188988011747</v>
      </c>
      <c r="AH42" s="45">
        <f t="shared" si="94"/>
        <v>945.20457848429464</v>
      </c>
      <c r="AI42" s="45">
        <f t="shared" si="94"/>
        <v>0</v>
      </c>
      <c r="AJ42" s="45">
        <f>SUM(U$6:U42)+Z42+AE42</f>
        <v>6</v>
      </c>
      <c r="AK42" s="45">
        <f>SUM(V$6:V42)+AA42+AF42</f>
        <v>141.02922549775639</v>
      </c>
      <c r="AL42" s="45">
        <f>SUM(W$6:W42)+AB42+AG42</f>
        <v>1937.4188988011747</v>
      </c>
      <c r="AM42" s="45">
        <f>SUM(X$6:X42)+AC42+AH42</f>
        <v>945.20457848429464</v>
      </c>
      <c r="AN42" s="45">
        <f>SUM(Y$6:Y42)+AD42+AI42</f>
        <v>0</v>
      </c>
      <c r="AS42" s="36">
        <v>231</v>
      </c>
      <c r="AV42" s="36">
        <f t="shared" si="32"/>
        <v>0.14285714285714285</v>
      </c>
      <c r="AW42" s="36">
        <f t="shared" si="33"/>
        <v>7.1428571428571425E-2</v>
      </c>
      <c r="AY42" s="36">
        <f t="shared" si="27"/>
        <v>0</v>
      </c>
      <c r="AZ42" s="36">
        <f t="shared" si="28"/>
        <v>3</v>
      </c>
      <c r="BA42" s="36">
        <f t="shared" si="29"/>
        <v>30</v>
      </c>
      <c r="BB42" s="36">
        <f t="shared" si="30"/>
        <v>14.5</v>
      </c>
      <c r="BC42" s="36">
        <f t="shared" si="31"/>
        <v>0</v>
      </c>
    </row>
    <row r="43" spans="10:72" x14ac:dyDescent="0.15">
      <c r="J43" s="46">
        <v>15</v>
      </c>
      <c r="K43" s="45">
        <f>求节点(节奏总纲!$Z$4:$Z$83,节奏总纲!$AB$4:$AB$83,基础状态预估!C56)</f>
        <v>24558.40880507711</v>
      </c>
      <c r="L43" s="45">
        <f>基础状态预估!D56</f>
        <v>148.27357279823164</v>
      </c>
      <c r="M43" s="45">
        <f>基础状态预估!E56</f>
        <v>15</v>
      </c>
      <c r="N43" s="45" t="e">
        <f>$L$1*(求节点('[1]资源-钻石'!$K$4:$K$113,'[1]资源-钻石'!$M$4:$M$113,L43))</f>
        <v>#VALUE!</v>
      </c>
      <c r="O43" s="26">
        <f t="shared" ref="O43:S43" si="95">O20</f>
        <v>0</v>
      </c>
      <c r="P43" s="26">
        <f t="shared" si="95"/>
        <v>0</v>
      </c>
      <c r="Q43" s="26">
        <f t="shared" si="95"/>
        <v>0</v>
      </c>
      <c r="R43" s="26">
        <f t="shared" si="95"/>
        <v>0</v>
      </c>
      <c r="S43" s="26">
        <f t="shared" si="95"/>
        <v>0</v>
      </c>
      <c r="T43" s="45" t="e">
        <f t="shared" si="82"/>
        <v>#VALUE!</v>
      </c>
      <c r="U43" s="45">
        <f t="shared" si="83"/>
        <v>0</v>
      </c>
      <c r="V43" s="45">
        <f t="shared" si="84"/>
        <v>0</v>
      </c>
      <c r="W43" s="45">
        <f t="shared" si="85"/>
        <v>0</v>
      </c>
      <c r="X43" s="45">
        <f t="shared" si="86"/>
        <v>0</v>
      </c>
      <c r="Y43" s="45">
        <f t="shared" si="87"/>
        <v>0</v>
      </c>
      <c r="Z43" s="45">
        <f t="shared" ref="Z43:AI43" si="96">Z20</f>
        <v>6</v>
      </c>
      <c r="AA43" s="45">
        <f t="shared" si="96"/>
        <v>6</v>
      </c>
      <c r="AB43" s="45">
        <f t="shared" si="96"/>
        <v>3</v>
      </c>
      <c r="AC43" s="45">
        <f t="shared" si="96"/>
        <v>0</v>
      </c>
      <c r="AD43" s="45">
        <f t="shared" si="96"/>
        <v>0</v>
      </c>
      <c r="AE43" s="45">
        <f t="shared" si="96"/>
        <v>0</v>
      </c>
      <c r="AF43" s="45">
        <f t="shared" si="96"/>
        <v>279.92107300619807</v>
      </c>
      <c r="AG43" s="45">
        <f t="shared" si="96"/>
        <v>4012.2020464221719</v>
      </c>
      <c r="AH43" s="45">
        <f t="shared" si="96"/>
        <v>1959.4475110433862</v>
      </c>
      <c r="AI43" s="45">
        <f t="shared" si="96"/>
        <v>0</v>
      </c>
      <c r="AJ43" s="45">
        <f>SUM(U$6:U43)+Z43+AE43</f>
        <v>6</v>
      </c>
      <c r="AK43" s="45">
        <f>SUM(V$6:V43)+AA43+AF43</f>
        <v>285.92107300619807</v>
      </c>
      <c r="AL43" s="45">
        <f>SUM(W$6:W43)+AB43+AG43</f>
        <v>4015.2020464221719</v>
      </c>
      <c r="AM43" s="45">
        <f>SUM(X$6:X43)+AC43+AH43</f>
        <v>1959.4475110433862</v>
      </c>
      <c r="AN43" s="45">
        <f>SUM(Y$6:Y43)+AD43+AI43</f>
        <v>0</v>
      </c>
      <c r="AS43" s="36">
        <v>238</v>
      </c>
      <c r="AV43" s="36">
        <f t="shared" si="32"/>
        <v>0.14285714285714285</v>
      </c>
      <c r="AW43" s="36">
        <f t="shared" si="33"/>
        <v>7.1428571428571425E-2</v>
      </c>
      <c r="AY43" s="36">
        <f t="shared" si="27"/>
        <v>0</v>
      </c>
      <c r="AZ43" s="36">
        <f t="shared" si="28"/>
        <v>3</v>
      </c>
      <c r="BA43" s="36">
        <f t="shared" si="29"/>
        <v>31</v>
      </c>
      <c r="BB43" s="36">
        <f t="shared" si="30"/>
        <v>15</v>
      </c>
      <c r="BC43" s="36">
        <f t="shared" si="31"/>
        <v>0</v>
      </c>
    </row>
    <row r="44" spans="10:72" x14ac:dyDescent="0.15">
      <c r="J44" s="46">
        <v>16</v>
      </c>
      <c r="K44" s="45">
        <f>求节点(节奏总纲!$Z$4:$Z$83,节奏总纲!$AB$4:$AB$83,基础状态预估!C57)</f>
        <v>38010.300000000003</v>
      </c>
      <c r="L44" s="45">
        <f>基础状态预估!D57</f>
        <v>154.14666602127767</v>
      </c>
      <c r="M44" s="45">
        <f>基础状态预估!E57</f>
        <v>16</v>
      </c>
      <c r="N44" s="45" t="e">
        <f>$L$1*(求节点('[1]资源-钻石'!$K$4:$K$113,'[1]资源-钻石'!$M$4:$M$113,L44))</f>
        <v>#VALUE!</v>
      </c>
      <c r="O44" s="26">
        <f t="shared" ref="O44:S44" si="97">O21</f>
        <v>0</v>
      </c>
      <c r="P44" s="26">
        <f t="shared" si="97"/>
        <v>0</v>
      </c>
      <c r="Q44" s="26">
        <f t="shared" si="97"/>
        <v>0</v>
      </c>
      <c r="R44" s="26">
        <f t="shared" si="97"/>
        <v>0</v>
      </c>
      <c r="S44" s="26">
        <f t="shared" si="97"/>
        <v>0</v>
      </c>
      <c r="T44" s="45" t="e">
        <f t="shared" si="82"/>
        <v>#VALUE!</v>
      </c>
      <c r="U44" s="45">
        <f t="shared" si="83"/>
        <v>0</v>
      </c>
      <c r="V44" s="45">
        <f t="shared" si="84"/>
        <v>0</v>
      </c>
      <c r="W44" s="45">
        <f t="shared" si="85"/>
        <v>0</v>
      </c>
      <c r="X44" s="45">
        <f t="shared" si="86"/>
        <v>0</v>
      </c>
      <c r="Y44" s="45">
        <f t="shared" si="87"/>
        <v>0</v>
      </c>
      <c r="Z44" s="45">
        <f t="shared" ref="Z44:AI44" si="98">Z21</f>
        <v>6</v>
      </c>
      <c r="AA44" s="45">
        <f t="shared" si="98"/>
        <v>6</v>
      </c>
      <c r="AB44" s="45">
        <f t="shared" si="98"/>
        <v>4</v>
      </c>
      <c r="AC44" s="45">
        <f t="shared" si="98"/>
        <v>0</v>
      </c>
      <c r="AD44" s="45">
        <f t="shared" si="98"/>
        <v>0</v>
      </c>
      <c r="AE44" s="45">
        <f t="shared" si="98"/>
        <v>0</v>
      </c>
      <c r="AF44" s="45">
        <f t="shared" si="98"/>
        <v>433.24810030395133</v>
      </c>
      <c r="AG44" s="45">
        <f t="shared" si="98"/>
        <v>6209.8894376899689</v>
      </c>
      <c r="AH44" s="45">
        <f t="shared" si="98"/>
        <v>3032.7367021276596</v>
      </c>
      <c r="AI44" s="45">
        <f t="shared" si="98"/>
        <v>0</v>
      </c>
      <c r="AJ44" s="45">
        <f>SUM(U$6:U44)+Z44+AE44</f>
        <v>6</v>
      </c>
      <c r="AK44" s="45">
        <f>SUM(V$6:V44)+AA44+AF44</f>
        <v>439.24810030395133</v>
      </c>
      <c r="AL44" s="45">
        <f>SUM(W$6:W44)+AB44+AG44</f>
        <v>6213.8894376899689</v>
      </c>
      <c r="AM44" s="45">
        <f>SUM(X$6:X44)+AC44+AH44</f>
        <v>3032.7367021276596</v>
      </c>
      <c r="AN44" s="45">
        <f>SUM(Y$6:Y44)+AD44+AI44</f>
        <v>0</v>
      </c>
      <c r="AS44" s="36">
        <v>245</v>
      </c>
      <c r="AV44" s="36">
        <f t="shared" si="32"/>
        <v>0.14285714285714285</v>
      </c>
      <c r="AW44" s="36">
        <f t="shared" si="33"/>
        <v>7.1428571428571425E-2</v>
      </c>
      <c r="AY44" s="36">
        <f t="shared" si="27"/>
        <v>0</v>
      </c>
      <c r="AZ44" s="36">
        <f t="shared" si="28"/>
        <v>3</v>
      </c>
      <c r="BA44" s="36">
        <f t="shared" si="29"/>
        <v>32</v>
      </c>
      <c r="BB44" s="36">
        <f t="shared" si="30"/>
        <v>15.5</v>
      </c>
      <c r="BC44" s="36">
        <f t="shared" si="31"/>
        <v>0</v>
      </c>
    </row>
    <row r="45" spans="10:72" x14ac:dyDescent="0.15">
      <c r="AS45" s="36">
        <v>252</v>
      </c>
      <c r="AV45" s="36">
        <f t="shared" si="32"/>
        <v>0.14285714285714285</v>
      </c>
      <c r="AW45" s="36">
        <f t="shared" si="33"/>
        <v>7.1428571428571425E-2</v>
      </c>
      <c r="AY45" s="36">
        <f t="shared" si="27"/>
        <v>0</v>
      </c>
      <c r="AZ45" s="36">
        <f t="shared" si="28"/>
        <v>3</v>
      </c>
      <c r="BA45" s="36">
        <f t="shared" si="29"/>
        <v>33</v>
      </c>
      <c r="BB45" s="36">
        <f t="shared" si="30"/>
        <v>16</v>
      </c>
      <c r="BC45" s="36">
        <f t="shared" si="31"/>
        <v>0</v>
      </c>
    </row>
    <row r="46" spans="10:72" x14ac:dyDescent="0.15">
      <c r="AS46" s="36">
        <v>259</v>
      </c>
      <c r="AV46" s="36">
        <f t="shared" si="32"/>
        <v>0.14285714285714285</v>
      </c>
      <c r="AW46" s="36">
        <f t="shared" si="33"/>
        <v>7.1428571428571425E-2</v>
      </c>
      <c r="AY46" s="36">
        <f t="shared" si="27"/>
        <v>0</v>
      </c>
      <c r="AZ46" s="36">
        <f t="shared" si="28"/>
        <v>3</v>
      </c>
      <c r="BA46" s="36">
        <f t="shared" si="29"/>
        <v>34</v>
      </c>
      <c r="BB46" s="36">
        <f t="shared" si="30"/>
        <v>16.5</v>
      </c>
      <c r="BC46" s="36">
        <f t="shared" si="31"/>
        <v>0</v>
      </c>
    </row>
    <row r="47" spans="10:72" x14ac:dyDescent="0.15">
      <c r="K47" s="37"/>
      <c r="L47" s="37"/>
      <c r="M47" s="37"/>
      <c r="N47" s="37"/>
      <c r="O47" s="37"/>
      <c r="P47" s="37"/>
      <c r="Q47" s="37"/>
      <c r="R47" s="37"/>
      <c r="S47" s="37"/>
      <c r="T47" s="37"/>
      <c r="AS47" s="36">
        <v>266</v>
      </c>
      <c r="AV47" s="36">
        <f t="shared" si="32"/>
        <v>0.14285714285714285</v>
      </c>
      <c r="AW47" s="36">
        <f t="shared" si="33"/>
        <v>7.1428571428571425E-2</v>
      </c>
      <c r="AY47" s="36">
        <f t="shared" si="27"/>
        <v>0</v>
      </c>
      <c r="AZ47" s="36">
        <f t="shared" si="28"/>
        <v>3</v>
      </c>
      <c r="BA47" s="36">
        <f t="shared" si="29"/>
        <v>35</v>
      </c>
      <c r="BB47" s="36">
        <f t="shared" si="30"/>
        <v>17</v>
      </c>
      <c r="BC47" s="36">
        <f t="shared" si="31"/>
        <v>0</v>
      </c>
    </row>
    <row r="48" spans="10:72" x14ac:dyDescent="0.15">
      <c r="K48" s="37"/>
      <c r="L48" s="37"/>
      <c r="M48" s="37"/>
      <c r="N48" s="37"/>
      <c r="O48" s="37"/>
      <c r="P48" s="37"/>
      <c r="Q48" s="37"/>
      <c r="R48" s="37"/>
      <c r="S48" s="37"/>
      <c r="T48" s="37"/>
      <c r="AS48" s="36">
        <v>273</v>
      </c>
      <c r="AV48" s="36">
        <f t="shared" si="32"/>
        <v>0.14285714285714285</v>
      </c>
      <c r="AW48" s="36">
        <f t="shared" si="33"/>
        <v>7.1428571428571425E-2</v>
      </c>
      <c r="AY48" s="36">
        <f t="shared" si="27"/>
        <v>0</v>
      </c>
      <c r="AZ48" s="36">
        <f t="shared" si="28"/>
        <v>3</v>
      </c>
      <c r="BA48" s="36">
        <f t="shared" si="29"/>
        <v>36</v>
      </c>
      <c r="BB48" s="36">
        <f t="shared" si="30"/>
        <v>17.5</v>
      </c>
      <c r="BC48" s="36">
        <f t="shared" si="31"/>
        <v>0</v>
      </c>
    </row>
    <row r="49" spans="10:72" x14ac:dyDescent="0.15">
      <c r="K49" s="129" t="s">
        <v>18</v>
      </c>
      <c r="L49" s="129"/>
      <c r="M49" s="129"/>
      <c r="N49" s="129"/>
      <c r="O49" s="129" t="s">
        <v>80</v>
      </c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 t="s">
        <v>85</v>
      </c>
      <c r="AA49" s="129"/>
      <c r="AB49" s="129"/>
      <c r="AC49" s="129"/>
      <c r="AD49" s="129"/>
      <c r="AE49" s="129" t="s">
        <v>115</v>
      </c>
      <c r="AF49" s="129"/>
      <c r="AG49" s="129"/>
      <c r="AH49" s="129"/>
      <c r="AI49" s="129"/>
      <c r="AJ49" s="129" t="s">
        <v>42</v>
      </c>
      <c r="AK49" s="129"/>
      <c r="AL49" s="129"/>
      <c r="AM49" s="129"/>
      <c r="AN49" s="129"/>
      <c r="AS49" s="36">
        <v>280</v>
      </c>
      <c r="AV49" s="36">
        <f t="shared" si="32"/>
        <v>0.14285714285714285</v>
      </c>
      <c r="AW49" s="36">
        <f t="shared" si="33"/>
        <v>7.1428571428571425E-2</v>
      </c>
      <c r="AY49" s="36">
        <f t="shared" si="27"/>
        <v>0</v>
      </c>
      <c r="AZ49" s="36">
        <f t="shared" si="28"/>
        <v>3</v>
      </c>
      <c r="BA49" s="36">
        <f t="shared" si="29"/>
        <v>37</v>
      </c>
      <c r="BB49" s="36">
        <f t="shared" si="30"/>
        <v>18</v>
      </c>
      <c r="BC49" s="36">
        <f t="shared" si="31"/>
        <v>0</v>
      </c>
      <c r="BP49" s="36" t="s">
        <v>42</v>
      </c>
    </row>
    <row r="50" spans="10:72" x14ac:dyDescent="0.15">
      <c r="K50" s="129"/>
      <c r="L50" s="129"/>
      <c r="M50" s="129"/>
      <c r="N50" s="129"/>
      <c r="O50" s="129" t="s">
        <v>81</v>
      </c>
      <c r="P50" s="129"/>
      <c r="Q50" s="129"/>
      <c r="R50" s="129"/>
      <c r="S50" s="129"/>
      <c r="T50" s="137" t="s">
        <v>82</v>
      </c>
      <c r="U50" s="129" t="s">
        <v>83</v>
      </c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S50" s="36">
        <v>287</v>
      </c>
      <c r="AV50" s="36">
        <f t="shared" si="32"/>
        <v>0.14285714285714285</v>
      </c>
      <c r="AW50" s="36">
        <f t="shared" si="33"/>
        <v>7.1428571428571425E-2</v>
      </c>
      <c r="AY50" s="36">
        <f t="shared" si="27"/>
        <v>0</v>
      </c>
      <c r="AZ50" s="36">
        <f t="shared" si="28"/>
        <v>3</v>
      </c>
      <c r="BA50" s="36">
        <f t="shared" si="29"/>
        <v>38</v>
      </c>
      <c r="BB50" s="36">
        <f t="shared" si="30"/>
        <v>18.5</v>
      </c>
      <c r="BC50" s="36">
        <f t="shared" si="31"/>
        <v>0</v>
      </c>
    </row>
    <row r="51" spans="10:72" x14ac:dyDescent="0.15">
      <c r="K51" s="35" t="s">
        <v>15</v>
      </c>
      <c r="L51" s="35" t="s">
        <v>79</v>
      </c>
      <c r="M51" s="35" t="s">
        <v>21</v>
      </c>
      <c r="N51" s="35" t="s">
        <v>78</v>
      </c>
      <c r="O51" s="35" t="s">
        <v>33</v>
      </c>
      <c r="P51" s="35" t="s">
        <v>34</v>
      </c>
      <c r="Q51" s="35" t="s">
        <v>10</v>
      </c>
      <c r="R51" s="35" t="s">
        <v>36</v>
      </c>
      <c r="S51" s="35" t="s">
        <v>37</v>
      </c>
      <c r="T51" s="138"/>
      <c r="U51" s="35" t="s">
        <v>33</v>
      </c>
      <c r="V51" s="35" t="s">
        <v>34</v>
      </c>
      <c r="W51" s="35" t="s">
        <v>35</v>
      </c>
      <c r="X51" s="35" t="s">
        <v>36</v>
      </c>
      <c r="Y51" s="35" t="s">
        <v>37</v>
      </c>
      <c r="Z51" s="35" t="s">
        <v>33</v>
      </c>
      <c r="AA51" s="35" t="s">
        <v>34</v>
      </c>
      <c r="AB51" s="35" t="s">
        <v>10</v>
      </c>
      <c r="AC51" s="35" t="s">
        <v>36</v>
      </c>
      <c r="AD51" s="35" t="s">
        <v>37</v>
      </c>
      <c r="AE51" s="35" t="s">
        <v>8</v>
      </c>
      <c r="AF51" s="35" t="s">
        <v>9</v>
      </c>
      <c r="AG51" s="35" t="s">
        <v>10</v>
      </c>
      <c r="AH51" s="35" t="s">
        <v>11</v>
      </c>
      <c r="AI51" s="35" t="s">
        <v>12</v>
      </c>
      <c r="AJ51" s="35" t="s">
        <v>33</v>
      </c>
      <c r="AK51" s="35" t="s">
        <v>34</v>
      </c>
      <c r="AL51" s="35" t="s">
        <v>35</v>
      </c>
      <c r="AM51" s="35" t="s">
        <v>36</v>
      </c>
      <c r="AN51" s="35" t="s">
        <v>37</v>
      </c>
      <c r="AS51" s="36">
        <v>294</v>
      </c>
      <c r="AV51" s="36">
        <f t="shared" si="32"/>
        <v>0.14285714285714285</v>
      </c>
      <c r="AW51" s="36">
        <f t="shared" si="33"/>
        <v>7.1428571428571425E-2</v>
      </c>
      <c r="AY51" s="36">
        <f t="shared" si="27"/>
        <v>0</v>
      </c>
      <c r="AZ51" s="36">
        <f t="shared" si="28"/>
        <v>3</v>
      </c>
      <c r="BA51" s="36">
        <f t="shared" si="29"/>
        <v>39</v>
      </c>
      <c r="BB51" s="36">
        <f t="shared" si="30"/>
        <v>19</v>
      </c>
      <c r="BC51" s="36">
        <f t="shared" si="31"/>
        <v>0</v>
      </c>
      <c r="BP51" s="36" t="s">
        <v>104</v>
      </c>
      <c r="BQ51" s="36" t="s">
        <v>105</v>
      </c>
      <c r="BR51" s="36" t="s">
        <v>106</v>
      </c>
      <c r="BS51" s="36" t="s">
        <v>107</v>
      </c>
      <c r="BT51" s="36" t="s">
        <v>108</v>
      </c>
    </row>
    <row r="52" spans="10:72" x14ac:dyDescent="0.15">
      <c r="J52" s="46">
        <v>1</v>
      </c>
      <c r="K52" s="45">
        <f>求节点(节奏总纲!$Z$4:$Z$83,节奏总纲!$AC$4:$AC$83,基础状态预估!C65)</f>
        <v>1.5232631522355879</v>
      </c>
      <c r="L52" s="45">
        <f>基础状态预估!D65</f>
        <v>16.55360159735687</v>
      </c>
      <c r="M52" s="35">
        <f>基础状态预估!E65</f>
        <v>1</v>
      </c>
      <c r="N52" s="35" t="e">
        <f>$L$1*(求节点('[1]资源-钻石'!$K$4:$K$113,'[1]资源-钻石'!$N$4:$N$113,L52))</f>
        <v>#VALUE!</v>
      </c>
      <c r="O52" s="26">
        <f>O29</f>
        <v>0</v>
      </c>
      <c r="P52" s="26">
        <f t="shared" ref="P52:S52" si="99">P29</f>
        <v>0</v>
      </c>
      <c r="Q52" s="26">
        <f t="shared" si="99"/>
        <v>0</v>
      </c>
      <c r="R52" s="26">
        <f t="shared" si="99"/>
        <v>0</v>
      </c>
      <c r="S52" s="26">
        <f t="shared" si="99"/>
        <v>0</v>
      </c>
      <c r="T52" s="17" t="e">
        <f>N52</f>
        <v>#VALUE!</v>
      </c>
      <c r="U52" s="35">
        <f>IFERROR($T52/SUMPRODUCT($C$4:$G$4,$O52:$S52)*O52,0)</f>
        <v>0</v>
      </c>
      <c r="V52" s="35">
        <f t="shared" ref="V52:V61" si="100">IFERROR($T52/SUMPRODUCT($C$4:$G$4,$O52:$S52)*P52,0)</f>
        <v>0</v>
      </c>
      <c r="W52" s="35">
        <f t="shared" ref="W52:W61" si="101">IFERROR($T52/SUMPRODUCT($C$4:$G$4,$O52:$S52)*Q52,0)</f>
        <v>0</v>
      </c>
      <c r="X52" s="35">
        <f t="shared" ref="X52:X61" si="102">IFERROR($T52/SUMPRODUCT($C$4:$G$4,$O52:$S52)*R52,0)</f>
        <v>0</v>
      </c>
      <c r="Y52" s="35">
        <f t="shared" ref="Y52:Y61" si="103">IFERROR($T52/SUMPRODUCT($C$4:$G$4,$O52:$S52)*S52,0)</f>
        <v>0</v>
      </c>
      <c r="Z52" s="35">
        <f>Z29</f>
        <v>1</v>
      </c>
      <c r="AA52" s="35">
        <f t="shared" ref="AA52:AD52" si="104">AA29</f>
        <v>0</v>
      </c>
      <c r="AB52" s="35">
        <f t="shared" si="104"/>
        <v>0</v>
      </c>
      <c r="AC52" s="35">
        <f t="shared" si="104"/>
        <v>0</v>
      </c>
      <c r="AD52" s="35">
        <f t="shared" si="104"/>
        <v>0</v>
      </c>
      <c r="AE52" s="35">
        <f>AE29</f>
        <v>0</v>
      </c>
      <c r="AF52" s="35">
        <f t="shared" ref="AF52:AI52" si="105">AF29</f>
        <v>0.3626817029132352</v>
      </c>
      <c r="AG52" s="35">
        <f t="shared" si="105"/>
        <v>0</v>
      </c>
      <c r="AH52" s="35">
        <f t="shared" si="105"/>
        <v>0</v>
      </c>
      <c r="AI52" s="35">
        <f t="shared" si="105"/>
        <v>0</v>
      </c>
      <c r="AJ52" s="35">
        <f>SUM(U$6:U52)+Z52+AE52</f>
        <v>1</v>
      </c>
      <c r="AK52" s="35">
        <f>SUM(V$6:V52)+AA52+AF52</f>
        <v>0.3626817029132352</v>
      </c>
      <c r="AL52" s="35">
        <f>SUM(W$6:W52)+AB52+AG52</f>
        <v>0</v>
      </c>
      <c r="AM52" s="35">
        <f>SUM(X$6:X52)+AC52+AH52</f>
        <v>0</v>
      </c>
      <c r="AN52" s="35">
        <f>SUM(Y$6:Y52)+AD52+AI52</f>
        <v>0</v>
      </c>
      <c r="AS52" s="36">
        <v>301</v>
      </c>
      <c r="AV52" s="36">
        <f t="shared" si="32"/>
        <v>0.14285714285714285</v>
      </c>
      <c r="AW52" s="36">
        <f t="shared" si="33"/>
        <v>7.1428571428571425E-2</v>
      </c>
      <c r="AY52" s="36">
        <f t="shared" si="27"/>
        <v>0</v>
      </c>
      <c r="AZ52" s="36">
        <f t="shared" si="28"/>
        <v>3</v>
      </c>
      <c r="BA52" s="36">
        <f t="shared" si="29"/>
        <v>40</v>
      </c>
      <c r="BB52" s="36">
        <f t="shared" si="30"/>
        <v>19.5</v>
      </c>
      <c r="BC52" s="36">
        <f t="shared" si="31"/>
        <v>0</v>
      </c>
      <c r="BP52" s="36">
        <v>0</v>
      </c>
      <c r="BQ52" s="36">
        <v>3.6452684609105162</v>
      </c>
      <c r="BR52" s="36">
        <v>0</v>
      </c>
      <c r="BS52" s="36">
        <v>0</v>
      </c>
      <c r="BT52" s="36">
        <v>0</v>
      </c>
    </row>
    <row r="53" spans="10:72" x14ac:dyDescent="0.15">
      <c r="J53" s="46">
        <v>2</v>
      </c>
      <c r="K53" s="45">
        <f>求节点(节奏总纲!$Z$4:$Z$83,节奏总纲!$AC$4:$AC$83,基础状态预估!C66)</f>
        <v>2.8937385192992746</v>
      </c>
      <c r="L53" s="45">
        <f>基础状态预估!D66</f>
        <v>22.270075478919804</v>
      </c>
      <c r="M53" s="35">
        <f>基础状态预估!E66</f>
        <v>2</v>
      </c>
      <c r="N53" s="35" t="e">
        <f>$L$1*(求节点('[1]资源-钻石'!$K$4:$K$113,'[1]资源-钻石'!$N$4:$N$113,L53))</f>
        <v>#VALUE!</v>
      </c>
      <c r="O53" s="26">
        <f t="shared" ref="O53:S53" si="106">O30</f>
        <v>0</v>
      </c>
      <c r="P53" s="26">
        <f t="shared" si="106"/>
        <v>0</v>
      </c>
      <c r="Q53" s="26">
        <f t="shared" si="106"/>
        <v>0</v>
      </c>
      <c r="R53" s="26">
        <f t="shared" si="106"/>
        <v>0</v>
      </c>
      <c r="S53" s="26">
        <f t="shared" si="106"/>
        <v>0</v>
      </c>
      <c r="T53" s="35" t="e">
        <f>N53-N52</f>
        <v>#VALUE!</v>
      </c>
      <c r="U53" s="35">
        <f t="shared" ref="U53:U61" si="107">IFERROR($T53/SUMPRODUCT($C$4:$G$4,$O53:$S53)*O53,0)</f>
        <v>0</v>
      </c>
      <c r="V53" s="35">
        <f t="shared" si="100"/>
        <v>0</v>
      </c>
      <c r="W53" s="35">
        <f t="shared" si="101"/>
        <v>0</v>
      </c>
      <c r="X53" s="35">
        <f t="shared" si="102"/>
        <v>0</v>
      </c>
      <c r="Y53" s="35">
        <f t="shared" si="103"/>
        <v>0</v>
      </c>
      <c r="Z53" s="35">
        <f t="shared" ref="Z53:AD53" si="108">Z30</f>
        <v>2</v>
      </c>
      <c r="AA53" s="35">
        <f t="shared" si="108"/>
        <v>0</v>
      </c>
      <c r="AB53" s="35">
        <f t="shared" si="108"/>
        <v>0</v>
      </c>
      <c r="AC53" s="35">
        <f t="shared" si="108"/>
        <v>0</v>
      </c>
      <c r="AD53" s="35">
        <f t="shared" si="108"/>
        <v>0</v>
      </c>
      <c r="AE53" s="35">
        <f t="shared" ref="AE53:AI53" si="109">AE30</f>
        <v>0</v>
      </c>
      <c r="AF53" s="35">
        <f t="shared" si="109"/>
        <v>0.68898536173792246</v>
      </c>
      <c r="AG53" s="35">
        <f t="shared" si="109"/>
        <v>0</v>
      </c>
      <c r="AH53" s="35">
        <f t="shared" si="109"/>
        <v>0</v>
      </c>
      <c r="AI53" s="35">
        <f t="shared" si="109"/>
        <v>0</v>
      </c>
      <c r="AJ53" s="35">
        <f>SUM(U$6:U53)+Z53+AE53</f>
        <v>2</v>
      </c>
      <c r="AK53" s="35">
        <f>SUM(V$6:V53)+AA53+AF53</f>
        <v>0.68898536173792246</v>
      </c>
      <c r="AL53" s="35">
        <f>SUM(W$6:W53)+AB53+AG53</f>
        <v>0</v>
      </c>
      <c r="AM53" s="35">
        <f>SUM(X$6:X53)+AC53+AH53</f>
        <v>0</v>
      </c>
      <c r="AN53" s="35">
        <f>SUM(Y$6:Y53)+AD53+AI53</f>
        <v>0</v>
      </c>
      <c r="AS53" s="36">
        <v>308</v>
      </c>
      <c r="AV53" s="36">
        <f t="shared" si="32"/>
        <v>0.14285714285714285</v>
      </c>
      <c r="AW53" s="36">
        <f t="shared" si="33"/>
        <v>7.1428571428571425E-2</v>
      </c>
      <c r="AY53" s="36">
        <f t="shared" si="27"/>
        <v>0</v>
      </c>
      <c r="AZ53" s="36">
        <f t="shared" si="28"/>
        <v>3</v>
      </c>
      <c r="BA53" s="36">
        <f t="shared" si="29"/>
        <v>41</v>
      </c>
      <c r="BB53" s="36">
        <f t="shared" si="30"/>
        <v>20</v>
      </c>
      <c r="BC53" s="36">
        <f t="shared" si="31"/>
        <v>0</v>
      </c>
      <c r="BP53" s="36">
        <v>0</v>
      </c>
      <c r="BQ53" s="36">
        <v>4.8621733863024748</v>
      </c>
      <c r="BR53" s="36">
        <v>0</v>
      </c>
      <c r="BS53" s="36">
        <v>0</v>
      </c>
      <c r="BT53" s="36">
        <v>0</v>
      </c>
    </row>
    <row r="54" spans="10:72" x14ac:dyDescent="0.15">
      <c r="J54" s="46">
        <v>3</v>
      </c>
      <c r="K54" s="45">
        <f>求节点(节奏总纲!$Z$4:$Z$83,节奏总纲!$AC$4:$AC$83,基础状态预估!C67)</f>
        <v>5.793008326295654</v>
      </c>
      <c r="L54" s="45">
        <f>基础状态预估!D67</f>
        <v>30.615521552489891</v>
      </c>
      <c r="M54" s="35">
        <f>基础状态预估!E67</f>
        <v>3</v>
      </c>
      <c r="N54" s="35" t="e">
        <f>$L$1*(求节点('[1]资源-钻石'!$K$4:$K$113,'[1]资源-钻石'!$N$4:$N$113,L54))</f>
        <v>#VALUE!</v>
      </c>
      <c r="O54" s="26">
        <f t="shared" ref="O54:S54" si="110">O31</f>
        <v>0</v>
      </c>
      <c r="P54" s="26">
        <f t="shared" si="110"/>
        <v>0</v>
      </c>
      <c r="Q54" s="26">
        <f t="shared" si="110"/>
        <v>0</v>
      </c>
      <c r="R54" s="26">
        <f t="shared" si="110"/>
        <v>0</v>
      </c>
      <c r="S54" s="26">
        <f t="shared" si="110"/>
        <v>0</v>
      </c>
      <c r="T54" s="35" t="e">
        <f t="shared" ref="T54:T61" si="111">N54-N53</f>
        <v>#VALUE!</v>
      </c>
      <c r="U54" s="35">
        <f t="shared" si="107"/>
        <v>0</v>
      </c>
      <c r="V54" s="35">
        <f t="shared" si="100"/>
        <v>0</v>
      </c>
      <c r="W54" s="35">
        <f t="shared" si="101"/>
        <v>0</v>
      </c>
      <c r="X54" s="35">
        <f t="shared" si="102"/>
        <v>0</v>
      </c>
      <c r="Y54" s="35">
        <f t="shared" si="103"/>
        <v>0</v>
      </c>
      <c r="Z54" s="35">
        <f t="shared" ref="Z54:AD54" si="112">Z31</f>
        <v>3</v>
      </c>
      <c r="AA54" s="35">
        <f t="shared" si="112"/>
        <v>0</v>
      </c>
      <c r="AB54" s="35">
        <f t="shared" si="112"/>
        <v>0</v>
      </c>
      <c r="AC54" s="35">
        <f t="shared" si="112"/>
        <v>0</v>
      </c>
      <c r="AD54" s="35">
        <f t="shared" si="112"/>
        <v>0</v>
      </c>
      <c r="AE54" s="35">
        <f t="shared" ref="AE54:AI54" si="113">AE31</f>
        <v>0</v>
      </c>
      <c r="AF54" s="35">
        <f t="shared" si="113"/>
        <v>1.3792876967370604</v>
      </c>
      <c r="AG54" s="35">
        <f t="shared" si="113"/>
        <v>0</v>
      </c>
      <c r="AH54" s="35">
        <f t="shared" si="113"/>
        <v>0</v>
      </c>
      <c r="AI54" s="35">
        <f t="shared" si="113"/>
        <v>0</v>
      </c>
      <c r="AJ54" s="35">
        <f>SUM(U$6:U54)+Z54+AE54</f>
        <v>3</v>
      </c>
      <c r="AK54" s="35">
        <f>SUM(V$6:V54)+AA54+AF54</f>
        <v>1.3792876967370604</v>
      </c>
      <c r="AL54" s="35">
        <f>SUM(W$6:W54)+AB54+AG54</f>
        <v>0</v>
      </c>
      <c r="AM54" s="35">
        <f>SUM(X$6:X54)+AC54+AH54</f>
        <v>0</v>
      </c>
      <c r="AN54" s="35">
        <f>SUM(Y$6:Y54)+AD54+AI54</f>
        <v>0</v>
      </c>
      <c r="AS54" s="36">
        <v>315</v>
      </c>
      <c r="AV54" s="36">
        <f t="shared" si="32"/>
        <v>0.14285714285714285</v>
      </c>
      <c r="AW54" s="36">
        <f t="shared" si="33"/>
        <v>7.1428571428571425E-2</v>
      </c>
      <c r="AY54" s="36">
        <f t="shared" si="27"/>
        <v>0</v>
      </c>
      <c r="AZ54" s="36">
        <f t="shared" si="28"/>
        <v>3</v>
      </c>
      <c r="BA54" s="36">
        <f t="shared" si="29"/>
        <v>42</v>
      </c>
      <c r="BB54" s="36">
        <f t="shared" si="30"/>
        <v>20.5</v>
      </c>
      <c r="BC54" s="36">
        <f t="shared" si="31"/>
        <v>0</v>
      </c>
      <c r="BP54" s="36">
        <v>0</v>
      </c>
      <c r="BQ54" s="36">
        <v>6.5958765213739099</v>
      </c>
      <c r="BR54" s="36">
        <v>0</v>
      </c>
      <c r="BS54" s="36">
        <v>0</v>
      </c>
      <c r="BT54" s="36">
        <v>0</v>
      </c>
    </row>
    <row r="55" spans="10:72" x14ac:dyDescent="0.15">
      <c r="J55" s="46">
        <v>4</v>
      </c>
      <c r="K55" s="45">
        <f>求节点(节奏总纲!$Z$4:$Z$83,节奏总纲!$AC$4:$AC$83,基础状态预估!C68)</f>
        <v>11.322133882791231</v>
      </c>
      <c r="L55" s="45">
        <f>基础状态预估!D68</f>
        <v>39.486304880774611</v>
      </c>
      <c r="M55" s="35">
        <f>基础状态预估!E68</f>
        <v>4</v>
      </c>
      <c r="N55" s="35" t="e">
        <f>$L$1*(求节点('[1]资源-钻石'!$K$4:$K$113,'[1]资源-钻石'!$N$4:$N$113,L55))</f>
        <v>#VALUE!</v>
      </c>
      <c r="O55" s="26">
        <f t="shared" ref="O55:S55" si="114">O32</f>
        <v>0</v>
      </c>
      <c r="P55" s="26">
        <f t="shared" si="114"/>
        <v>0</v>
      </c>
      <c r="Q55" s="26">
        <f t="shared" si="114"/>
        <v>0</v>
      </c>
      <c r="R55" s="26">
        <f t="shared" si="114"/>
        <v>0</v>
      </c>
      <c r="S55" s="26">
        <f t="shared" si="114"/>
        <v>0</v>
      </c>
      <c r="T55" s="35" t="e">
        <f t="shared" si="111"/>
        <v>#VALUE!</v>
      </c>
      <c r="U55" s="35">
        <f t="shared" si="107"/>
        <v>0</v>
      </c>
      <c r="V55" s="35">
        <f t="shared" si="100"/>
        <v>0</v>
      </c>
      <c r="W55" s="35">
        <f t="shared" si="101"/>
        <v>0</v>
      </c>
      <c r="X55" s="35">
        <f t="shared" si="102"/>
        <v>0</v>
      </c>
      <c r="Y55" s="35">
        <f t="shared" si="103"/>
        <v>0</v>
      </c>
      <c r="Z55" s="35">
        <f t="shared" ref="Z55:AD55" si="115">Z32</f>
        <v>4</v>
      </c>
      <c r="AA55" s="35">
        <f t="shared" si="115"/>
        <v>0</v>
      </c>
      <c r="AB55" s="35">
        <f t="shared" si="115"/>
        <v>0</v>
      </c>
      <c r="AC55" s="35">
        <f t="shared" si="115"/>
        <v>0</v>
      </c>
      <c r="AD55" s="35">
        <f t="shared" si="115"/>
        <v>0</v>
      </c>
      <c r="AE55" s="35">
        <f t="shared" ref="AE55:AI55" si="116">AE32</f>
        <v>0</v>
      </c>
      <c r="AF55" s="35">
        <f t="shared" si="116"/>
        <v>2.6957461625693404</v>
      </c>
      <c r="AG55" s="35">
        <f t="shared" si="116"/>
        <v>0</v>
      </c>
      <c r="AH55" s="35">
        <f t="shared" si="116"/>
        <v>0</v>
      </c>
      <c r="AI55" s="35">
        <f t="shared" si="116"/>
        <v>0</v>
      </c>
      <c r="AJ55" s="35">
        <f>SUM(U$6:U55)+Z55+AE55</f>
        <v>4</v>
      </c>
      <c r="AK55" s="35">
        <f>SUM(V$6:V55)+AA55+AF55</f>
        <v>2.6957461625693404</v>
      </c>
      <c r="AL55" s="35">
        <f>SUM(W$6:W55)+AB55+AG55</f>
        <v>0</v>
      </c>
      <c r="AM55" s="35">
        <f>SUM(X$6:X55)+AC55+AH55</f>
        <v>0</v>
      </c>
      <c r="AN55" s="35">
        <f>SUM(Y$6:Y55)+AD55+AI55</f>
        <v>0</v>
      </c>
      <c r="AS55" s="36">
        <v>322</v>
      </c>
      <c r="AV55" s="36">
        <f t="shared" si="32"/>
        <v>0.14285714285714285</v>
      </c>
      <c r="AW55" s="36">
        <f t="shared" si="33"/>
        <v>7.1428571428571425E-2</v>
      </c>
      <c r="AY55" s="36">
        <f t="shared" si="27"/>
        <v>0</v>
      </c>
      <c r="AZ55" s="36">
        <f t="shared" si="28"/>
        <v>3</v>
      </c>
      <c r="BA55" s="36">
        <f t="shared" si="29"/>
        <v>43</v>
      </c>
      <c r="BB55" s="36">
        <f t="shared" si="30"/>
        <v>21</v>
      </c>
      <c r="BC55" s="36">
        <f t="shared" si="31"/>
        <v>0</v>
      </c>
      <c r="BP55" s="36">
        <v>0</v>
      </c>
      <c r="BQ55" s="36">
        <v>6.5958765213739099</v>
      </c>
      <c r="BR55" s="36">
        <v>1.7935632820034506</v>
      </c>
      <c r="BS55" s="36">
        <v>0</v>
      </c>
      <c r="BT55" s="36">
        <v>0</v>
      </c>
    </row>
    <row r="56" spans="10:72" x14ac:dyDescent="0.15">
      <c r="J56" s="46">
        <v>5</v>
      </c>
      <c r="K56" s="45">
        <f>求节点(节奏总纲!$Z$4:$Z$83,节奏总纲!$AC$4:$AC$83,基础状态预估!C69)</f>
        <v>21.773543258148401</v>
      </c>
      <c r="L56" s="45">
        <f>基础状态预估!D69</f>
        <v>48.49295716189016</v>
      </c>
      <c r="M56" s="35">
        <f>基础状态预估!E69</f>
        <v>5</v>
      </c>
      <c r="N56" s="35" t="e">
        <f>$L$1*(求节点('[1]资源-钻石'!$K$4:$K$113,'[1]资源-钻石'!$N$4:$N$113,L56))</f>
        <v>#VALUE!</v>
      </c>
      <c r="O56" s="26">
        <f t="shared" ref="O56:S56" si="117">O33</f>
        <v>0</v>
      </c>
      <c r="P56" s="26">
        <f t="shared" si="117"/>
        <v>0</v>
      </c>
      <c r="Q56" s="26">
        <f t="shared" si="117"/>
        <v>0</v>
      </c>
      <c r="R56" s="26">
        <f t="shared" si="117"/>
        <v>0</v>
      </c>
      <c r="S56" s="26">
        <f t="shared" si="117"/>
        <v>0</v>
      </c>
      <c r="T56" s="35" t="e">
        <f t="shared" si="111"/>
        <v>#VALUE!</v>
      </c>
      <c r="U56" s="35">
        <f t="shared" si="107"/>
        <v>0</v>
      </c>
      <c r="V56" s="35">
        <f t="shared" si="100"/>
        <v>0</v>
      </c>
      <c r="W56" s="35">
        <f t="shared" si="101"/>
        <v>0</v>
      </c>
      <c r="X56" s="35">
        <f t="shared" si="102"/>
        <v>0</v>
      </c>
      <c r="Y56" s="35">
        <f t="shared" si="103"/>
        <v>0</v>
      </c>
      <c r="Z56" s="35">
        <f t="shared" ref="Z56:AD56" si="118">Z33</f>
        <v>5</v>
      </c>
      <c r="AA56" s="35">
        <f t="shared" si="118"/>
        <v>0</v>
      </c>
      <c r="AB56" s="35">
        <f t="shared" si="118"/>
        <v>0</v>
      </c>
      <c r="AC56" s="35">
        <f t="shared" si="118"/>
        <v>0</v>
      </c>
      <c r="AD56" s="35">
        <f t="shared" si="118"/>
        <v>0</v>
      </c>
      <c r="AE56" s="35">
        <f t="shared" ref="AE56:AI56" si="119">AE33</f>
        <v>0</v>
      </c>
      <c r="AF56" s="35">
        <f t="shared" si="119"/>
        <v>3</v>
      </c>
      <c r="AG56" s="35">
        <f t="shared" si="119"/>
        <v>2.1841769662258099</v>
      </c>
      <c r="AH56" s="35">
        <f t="shared" si="119"/>
        <v>0.59208848311290496</v>
      </c>
      <c r="AI56" s="35">
        <f t="shared" si="119"/>
        <v>0</v>
      </c>
      <c r="AJ56" s="35">
        <f>SUM(U$6:U56)+Z56+AE56</f>
        <v>5</v>
      </c>
      <c r="AK56" s="35">
        <f>SUM(V$6:V56)+AA56+AF56</f>
        <v>3</v>
      </c>
      <c r="AL56" s="35">
        <f>SUM(W$6:W56)+AB56+AG56</f>
        <v>2.1841769662258099</v>
      </c>
      <c r="AM56" s="35">
        <f>SUM(X$6:X56)+AC56+AH56</f>
        <v>0.59208848311290496</v>
      </c>
      <c r="AN56" s="35">
        <f>SUM(Y$6:Y56)+AD56+AI56</f>
        <v>0</v>
      </c>
      <c r="AS56" s="36">
        <v>329</v>
      </c>
      <c r="AV56" s="36">
        <f t="shared" si="32"/>
        <v>0.14285714285714285</v>
      </c>
      <c r="AW56" s="36">
        <f t="shared" si="33"/>
        <v>7.1428571428571425E-2</v>
      </c>
      <c r="AY56" s="36">
        <f t="shared" si="27"/>
        <v>0</v>
      </c>
      <c r="AZ56" s="36">
        <f t="shared" si="28"/>
        <v>3</v>
      </c>
      <c r="BA56" s="36">
        <f t="shared" si="29"/>
        <v>43</v>
      </c>
      <c r="BB56" s="36">
        <f t="shared" si="30"/>
        <v>21</v>
      </c>
      <c r="BC56" s="36">
        <f t="shared" si="31"/>
        <v>0</v>
      </c>
      <c r="BP56" s="36">
        <v>0</v>
      </c>
      <c r="BQ56" s="36">
        <v>6.5958765213739099</v>
      </c>
      <c r="BR56" s="36">
        <v>3.6090738243466269</v>
      </c>
      <c r="BS56" s="36">
        <v>0</v>
      </c>
      <c r="BT56" s="36">
        <v>0</v>
      </c>
    </row>
    <row r="57" spans="10:72" x14ac:dyDescent="0.15">
      <c r="J57" s="46">
        <v>6</v>
      </c>
      <c r="K57" s="45">
        <f>求节点(节奏总纲!$Z$4:$Z$83,节奏总纲!$AC$4:$AC$83,基础状态预估!C70)</f>
        <v>41.174058500102497</v>
      </c>
      <c r="L57" s="45">
        <f>基础状态预估!D70</f>
        <v>57.686819122040689</v>
      </c>
      <c r="M57" s="35">
        <f>基础状态预估!E70</f>
        <v>6</v>
      </c>
      <c r="N57" s="35" t="e">
        <f>$L$1*(求节点('[1]资源-钻石'!$K$4:$K$113,'[1]资源-钻石'!$N$4:$N$113,L57))</f>
        <v>#VALUE!</v>
      </c>
      <c r="O57" s="26">
        <f t="shared" ref="O57:S57" si="120">O34</f>
        <v>0</v>
      </c>
      <c r="P57" s="26">
        <f t="shared" si="120"/>
        <v>0</v>
      </c>
      <c r="Q57" s="26">
        <f t="shared" si="120"/>
        <v>0</v>
      </c>
      <c r="R57" s="26">
        <f t="shared" si="120"/>
        <v>0</v>
      </c>
      <c r="S57" s="26">
        <f t="shared" si="120"/>
        <v>0</v>
      </c>
      <c r="T57" s="35" t="e">
        <f t="shared" si="111"/>
        <v>#VALUE!</v>
      </c>
      <c r="U57" s="35">
        <f t="shared" si="107"/>
        <v>0</v>
      </c>
      <c r="V57" s="35">
        <f t="shared" si="100"/>
        <v>0</v>
      </c>
      <c r="W57" s="35">
        <f t="shared" si="101"/>
        <v>0</v>
      </c>
      <c r="X57" s="35">
        <f t="shared" si="102"/>
        <v>0</v>
      </c>
      <c r="Y57" s="35">
        <f t="shared" si="103"/>
        <v>0</v>
      </c>
      <c r="Z57" s="35">
        <f t="shared" ref="Z57:AD57" si="121">Z34</f>
        <v>6</v>
      </c>
      <c r="AA57" s="35">
        <f t="shared" si="121"/>
        <v>0</v>
      </c>
      <c r="AB57" s="35">
        <f t="shared" si="121"/>
        <v>0</v>
      </c>
      <c r="AC57" s="35">
        <f t="shared" si="121"/>
        <v>0</v>
      </c>
      <c r="AD57" s="35">
        <f t="shared" si="121"/>
        <v>0</v>
      </c>
      <c r="AE57" s="35">
        <f t="shared" ref="AE57:AI57" si="122">AE34</f>
        <v>0</v>
      </c>
      <c r="AF57" s="35">
        <f t="shared" si="122"/>
        <v>3</v>
      </c>
      <c r="AG57" s="35">
        <f t="shared" si="122"/>
        <v>6.8033472619291651</v>
      </c>
      <c r="AH57" s="35">
        <f t="shared" si="122"/>
        <v>2.9016736309645825</v>
      </c>
      <c r="AI57" s="35">
        <f t="shared" si="122"/>
        <v>0</v>
      </c>
      <c r="AJ57" s="35">
        <f>SUM(U$6:U57)+Z57+AE57</f>
        <v>6</v>
      </c>
      <c r="AK57" s="35">
        <f>SUM(V$6:V57)+AA57+AF57</f>
        <v>3</v>
      </c>
      <c r="AL57" s="35">
        <f>SUM(W$6:W57)+AB57+AG57</f>
        <v>6.8033472619291651</v>
      </c>
      <c r="AM57" s="35">
        <f>SUM(X$6:X57)+AC57+AH57</f>
        <v>2.9016736309645825</v>
      </c>
      <c r="AN57" s="35">
        <f>SUM(Y$6:Y57)+AD57+AI57</f>
        <v>0</v>
      </c>
      <c r="BP57" s="36">
        <v>0</v>
      </c>
      <c r="BQ57" s="36">
        <v>6.5958765213739099</v>
      </c>
      <c r="BR57" s="36">
        <v>5.4258933632712676</v>
      </c>
      <c r="BS57" s="36">
        <v>0</v>
      </c>
      <c r="BT57" s="36">
        <v>0</v>
      </c>
    </row>
    <row r="58" spans="10:72" x14ac:dyDescent="0.15">
      <c r="J58" s="46">
        <v>7</v>
      </c>
      <c r="K58" s="45">
        <f>求节点(节奏总纲!$Z$4:$Z$83,节奏总纲!$AC$4:$AC$83,基础状态预估!C71)</f>
        <v>74.77280729579401</v>
      </c>
      <c r="L58" s="45">
        <f>基础状态预估!D71</f>
        <v>66.152018816255293</v>
      </c>
      <c r="M58" s="35">
        <f>基础状态预估!E71</f>
        <v>7</v>
      </c>
      <c r="N58" s="35" t="e">
        <f>$L$1*(求节点('[1]资源-钻石'!$K$4:$K$113,'[1]资源-钻石'!$N$4:$N$113,L58))</f>
        <v>#VALUE!</v>
      </c>
      <c r="O58" s="26">
        <f t="shared" ref="O58:S58" si="123">O35</f>
        <v>0</v>
      </c>
      <c r="P58" s="26">
        <f t="shared" si="123"/>
        <v>0</v>
      </c>
      <c r="Q58" s="26">
        <f t="shared" si="123"/>
        <v>0</v>
      </c>
      <c r="R58" s="26">
        <f t="shared" si="123"/>
        <v>0</v>
      </c>
      <c r="S58" s="26">
        <f t="shared" si="123"/>
        <v>0</v>
      </c>
      <c r="T58" s="35" t="e">
        <f t="shared" si="111"/>
        <v>#VALUE!</v>
      </c>
      <c r="U58" s="35">
        <f t="shared" si="107"/>
        <v>0</v>
      </c>
      <c r="V58" s="35">
        <f t="shared" si="100"/>
        <v>0</v>
      </c>
      <c r="W58" s="35">
        <f t="shared" si="101"/>
        <v>0</v>
      </c>
      <c r="X58" s="35">
        <f t="shared" si="102"/>
        <v>0</v>
      </c>
      <c r="Y58" s="35">
        <f t="shared" si="103"/>
        <v>0</v>
      </c>
      <c r="Z58" s="35">
        <f t="shared" ref="Z58:AD58" si="124">Z35</f>
        <v>6</v>
      </c>
      <c r="AA58" s="35">
        <f t="shared" si="124"/>
        <v>1</v>
      </c>
      <c r="AB58" s="35">
        <f t="shared" si="124"/>
        <v>0</v>
      </c>
      <c r="AC58" s="35">
        <f t="shared" si="124"/>
        <v>0</v>
      </c>
      <c r="AD58" s="35">
        <f t="shared" si="124"/>
        <v>0</v>
      </c>
      <c r="AE58" s="35">
        <f t="shared" ref="AE58:AI58" si="125">AE35</f>
        <v>0</v>
      </c>
      <c r="AF58" s="35">
        <f t="shared" si="125"/>
        <v>3</v>
      </c>
      <c r="AG58" s="35">
        <f t="shared" si="125"/>
        <v>14.803049356141431</v>
      </c>
      <c r="AH58" s="35">
        <f t="shared" si="125"/>
        <v>6.9015246780707153</v>
      </c>
      <c r="AI58" s="35">
        <f t="shared" si="125"/>
        <v>0</v>
      </c>
      <c r="AJ58" s="35">
        <f>SUM(U$6:U58)+Z58+AE58</f>
        <v>6</v>
      </c>
      <c r="AK58" s="35">
        <f>SUM(V$6:V58)+AA58+AF58</f>
        <v>4</v>
      </c>
      <c r="AL58" s="35">
        <f>SUM(W$6:W58)+AB58+AG58</f>
        <v>14.803049356141431</v>
      </c>
      <c r="AM58" s="35">
        <f>SUM(X$6:X58)+AC58+AH58</f>
        <v>6.9015246780707153</v>
      </c>
      <c r="AN58" s="35">
        <f>SUM(Y$6:Y58)+AD58+AI58</f>
        <v>0</v>
      </c>
      <c r="BP58" s="36">
        <v>0</v>
      </c>
      <c r="BQ58" s="36">
        <v>6.5958765213739099</v>
      </c>
      <c r="BR58" s="36">
        <v>5.4258933632712676</v>
      </c>
      <c r="BS58" s="36">
        <v>1.7016952994647152</v>
      </c>
      <c r="BT58" s="36">
        <v>0</v>
      </c>
    </row>
    <row r="59" spans="10:72" x14ac:dyDescent="0.15">
      <c r="J59" s="46">
        <v>8</v>
      </c>
      <c r="K59" s="45">
        <f>求节点(节奏总纲!$Z$4:$Z$83,节奏总纲!$AC$4:$AC$83,基础状态预估!C72)</f>
        <v>135.40982620096435</v>
      </c>
      <c r="L59" s="45">
        <f>基础状态预估!D72</f>
        <v>74.771148405180824</v>
      </c>
      <c r="M59" s="35">
        <f>基础状态预估!E72</f>
        <v>8</v>
      </c>
      <c r="N59" s="35" t="e">
        <f>$L$1*(求节点('[1]资源-钻石'!$K$4:$K$113,'[1]资源-钻石'!$N$4:$N$113,L59))</f>
        <v>#VALUE!</v>
      </c>
      <c r="O59" s="26">
        <f t="shared" ref="O59:S59" si="126">O36</f>
        <v>0</v>
      </c>
      <c r="P59" s="26">
        <f t="shared" si="126"/>
        <v>0</v>
      </c>
      <c r="Q59" s="26">
        <f t="shared" si="126"/>
        <v>0</v>
      </c>
      <c r="R59" s="26">
        <f t="shared" si="126"/>
        <v>0</v>
      </c>
      <c r="S59" s="26">
        <f t="shared" si="126"/>
        <v>0</v>
      </c>
      <c r="T59" s="35" t="e">
        <f t="shared" si="111"/>
        <v>#VALUE!</v>
      </c>
      <c r="U59" s="35">
        <f t="shared" si="107"/>
        <v>0</v>
      </c>
      <c r="V59" s="35">
        <f t="shared" si="100"/>
        <v>0</v>
      </c>
      <c r="W59" s="35">
        <f t="shared" si="101"/>
        <v>0</v>
      </c>
      <c r="X59" s="35">
        <f t="shared" si="102"/>
        <v>0</v>
      </c>
      <c r="Y59" s="35">
        <f t="shared" si="103"/>
        <v>0</v>
      </c>
      <c r="Z59" s="35">
        <f t="shared" ref="Z59:AD59" si="127">Z36</f>
        <v>6</v>
      </c>
      <c r="AA59" s="35">
        <f t="shared" si="127"/>
        <v>2</v>
      </c>
      <c r="AB59" s="35">
        <f t="shared" si="127"/>
        <v>0</v>
      </c>
      <c r="AC59" s="35">
        <f t="shared" si="127"/>
        <v>0</v>
      </c>
      <c r="AD59" s="35">
        <f t="shared" si="127"/>
        <v>0</v>
      </c>
      <c r="AE59" s="35">
        <f t="shared" ref="AE59:AI59" si="128">AE36</f>
        <v>0</v>
      </c>
      <c r="AF59" s="35">
        <f t="shared" si="128"/>
        <v>3</v>
      </c>
      <c r="AG59" s="35">
        <f t="shared" si="128"/>
        <v>29.24043480975342</v>
      </c>
      <c r="AH59" s="35">
        <f t="shared" si="128"/>
        <v>14.12021740487671</v>
      </c>
      <c r="AI59" s="35">
        <f t="shared" si="128"/>
        <v>0</v>
      </c>
      <c r="AJ59" s="35">
        <f>SUM(U$6:U59)+Z59+AE59</f>
        <v>6</v>
      </c>
      <c r="AK59" s="35">
        <f>SUM(V$6:V59)+AA59+AF59</f>
        <v>5</v>
      </c>
      <c r="AL59" s="35">
        <f>SUM(W$6:W59)+AB59+AG59</f>
        <v>29.24043480975342</v>
      </c>
      <c r="AM59" s="35">
        <f>SUM(X$6:X59)+AC59+AH59</f>
        <v>14.12021740487671</v>
      </c>
      <c r="AN59" s="35">
        <f>SUM(Y$6:Y59)+AD59+AI59</f>
        <v>0</v>
      </c>
      <c r="BP59" s="36">
        <v>0</v>
      </c>
      <c r="BQ59" s="36">
        <v>6.5958765213739099</v>
      </c>
      <c r="BR59" s="36">
        <v>5.4258933632712676</v>
      </c>
      <c r="BS59" s="36">
        <v>3.4057830384772956</v>
      </c>
      <c r="BT59" s="36">
        <v>0</v>
      </c>
    </row>
    <row r="60" spans="10:72" x14ac:dyDescent="0.15">
      <c r="J60" s="46">
        <v>9</v>
      </c>
      <c r="K60" s="45">
        <f>求节点(节奏总纲!$Z$4:$Z$83,节奏总纲!$AC$4:$AC$83,基础状态预估!C73)</f>
        <v>244.70123896107964</v>
      </c>
      <c r="L60" s="45">
        <f>基础状态预估!D73</f>
        <v>83.32493049129468</v>
      </c>
      <c r="M60" s="35">
        <f>基础状态预估!E73</f>
        <v>9</v>
      </c>
      <c r="N60" s="35" t="e">
        <f>$L$1*(求节点('[1]资源-钻石'!$K$4:$K$113,'[1]资源-钻石'!$N$4:$N$113,L60))</f>
        <v>#VALUE!</v>
      </c>
      <c r="O60" s="26">
        <f t="shared" ref="O60:S60" si="129">O37</f>
        <v>0</v>
      </c>
      <c r="P60" s="26">
        <f t="shared" si="129"/>
        <v>0</v>
      </c>
      <c r="Q60" s="26">
        <f t="shared" si="129"/>
        <v>0</v>
      </c>
      <c r="R60" s="26">
        <f t="shared" si="129"/>
        <v>0</v>
      </c>
      <c r="S60" s="26">
        <f t="shared" si="129"/>
        <v>0</v>
      </c>
      <c r="T60" s="35" t="e">
        <f t="shared" si="111"/>
        <v>#VALUE!</v>
      </c>
      <c r="U60" s="35">
        <f t="shared" si="107"/>
        <v>0</v>
      </c>
      <c r="V60" s="35">
        <f t="shared" si="100"/>
        <v>0</v>
      </c>
      <c r="W60" s="35">
        <f t="shared" si="101"/>
        <v>0</v>
      </c>
      <c r="X60" s="35">
        <f t="shared" si="102"/>
        <v>0</v>
      </c>
      <c r="Y60" s="35">
        <f t="shared" si="103"/>
        <v>0</v>
      </c>
      <c r="Z60" s="35">
        <f t="shared" ref="Z60:AD60" si="130">Z37</f>
        <v>6</v>
      </c>
      <c r="AA60" s="35">
        <f t="shared" si="130"/>
        <v>3</v>
      </c>
      <c r="AB60" s="35">
        <f t="shared" si="130"/>
        <v>0</v>
      </c>
      <c r="AC60" s="35">
        <f t="shared" si="130"/>
        <v>0</v>
      </c>
      <c r="AD60" s="35">
        <f t="shared" si="130"/>
        <v>0</v>
      </c>
      <c r="AE60" s="35">
        <f t="shared" ref="AE60:AI60" si="131">AE37</f>
        <v>0</v>
      </c>
      <c r="AF60" s="35">
        <f t="shared" si="131"/>
        <v>3.7188638139981709</v>
      </c>
      <c r="AG60" s="35">
        <f t="shared" si="131"/>
        <v>53.303714667307112</v>
      </c>
      <c r="AH60" s="35">
        <f t="shared" si="131"/>
        <v>26.032046697987195</v>
      </c>
      <c r="AI60" s="35">
        <f t="shared" si="131"/>
        <v>0</v>
      </c>
      <c r="AJ60" s="35">
        <f>SUM(U$6:U60)+Z60+AE60</f>
        <v>6</v>
      </c>
      <c r="AK60" s="35">
        <f>SUM(V$6:V60)+AA60+AF60</f>
        <v>6.7188638139981709</v>
      </c>
      <c r="AL60" s="35">
        <f>SUM(W$6:W60)+AB60+AG60</f>
        <v>53.303714667307112</v>
      </c>
      <c r="AM60" s="35">
        <f>SUM(X$6:X60)+AC60+AH60</f>
        <v>26.032046697987195</v>
      </c>
      <c r="AN60" s="35">
        <f>SUM(Y$6:Y60)+AD60+AI60</f>
        <v>0</v>
      </c>
      <c r="BP60" s="36">
        <v>0</v>
      </c>
      <c r="BQ60" s="36">
        <v>6.5958765213739099</v>
      </c>
      <c r="BR60" s="36">
        <v>5.4258933632712676</v>
      </c>
      <c r="BS60" s="36">
        <v>5.1070027526733064</v>
      </c>
      <c r="BT60" s="36">
        <v>0</v>
      </c>
    </row>
    <row r="61" spans="10:72" x14ac:dyDescent="0.15">
      <c r="J61" s="46">
        <v>10</v>
      </c>
      <c r="K61" s="45">
        <f>求节点(节奏总纲!$Z$4:$Z$83,节奏总纲!$AC$4:$AC$83,基础状态预估!C74)</f>
        <v>473.91181132163672</v>
      </c>
      <c r="L61" s="45">
        <f>基础状态预估!D74</f>
        <v>94.309081972684396</v>
      </c>
      <c r="M61" s="35">
        <f>基础状态预估!E74</f>
        <v>10</v>
      </c>
      <c r="N61" s="35" t="e">
        <f>$L$1*(求节点('[1]资源-钻石'!$K$4:$K$113,'[1]资源-钻石'!$N$4:$N$113,L61))</f>
        <v>#VALUE!</v>
      </c>
      <c r="O61" s="26">
        <f t="shared" ref="O61:S61" si="132">O38</f>
        <v>0</v>
      </c>
      <c r="P61" s="26">
        <f t="shared" si="132"/>
        <v>0</v>
      </c>
      <c r="Q61" s="26">
        <f t="shared" si="132"/>
        <v>0</v>
      </c>
      <c r="R61" s="26">
        <f t="shared" si="132"/>
        <v>0</v>
      </c>
      <c r="S61" s="26">
        <f t="shared" si="132"/>
        <v>0</v>
      </c>
      <c r="T61" s="35" t="e">
        <f t="shared" si="111"/>
        <v>#VALUE!</v>
      </c>
      <c r="U61" s="35">
        <f t="shared" si="107"/>
        <v>0</v>
      </c>
      <c r="V61" s="35">
        <f t="shared" si="100"/>
        <v>0</v>
      </c>
      <c r="W61" s="35">
        <f t="shared" si="101"/>
        <v>0</v>
      </c>
      <c r="X61" s="35">
        <f t="shared" si="102"/>
        <v>0</v>
      </c>
      <c r="Y61" s="35">
        <f t="shared" si="103"/>
        <v>0</v>
      </c>
      <c r="Z61" s="35">
        <f t="shared" ref="Z61:AD61" si="133">Z38</f>
        <v>6</v>
      </c>
      <c r="AA61" s="35">
        <f t="shared" si="133"/>
        <v>4</v>
      </c>
      <c r="AB61" s="35">
        <f t="shared" si="133"/>
        <v>0</v>
      </c>
      <c r="AC61" s="35">
        <f t="shared" si="133"/>
        <v>0</v>
      </c>
      <c r="AD61" s="35">
        <f t="shared" si="133"/>
        <v>0</v>
      </c>
      <c r="AE61" s="35">
        <f t="shared" ref="AE61:AI61" si="134">AE38</f>
        <v>0</v>
      </c>
      <c r="AF61" s="35">
        <f t="shared" si="134"/>
        <v>7.202307162942807</v>
      </c>
      <c r="AG61" s="35">
        <f t="shared" si="134"/>
        <v>103.23306933551356</v>
      </c>
      <c r="AH61" s="35">
        <f t="shared" si="134"/>
        <v>50.416150140599648</v>
      </c>
      <c r="AI61" s="35">
        <f t="shared" si="134"/>
        <v>0</v>
      </c>
      <c r="AJ61" s="35">
        <f>SUM(U$6:U61)+Z61+AE61</f>
        <v>6</v>
      </c>
      <c r="AK61" s="35">
        <f>SUM(V$6:V61)+AA61+AF61</f>
        <v>11.202307162942807</v>
      </c>
      <c r="AL61" s="35">
        <f>SUM(W$6:W61)+AB61+AG61</f>
        <v>103.23306933551356</v>
      </c>
      <c r="AM61" s="35">
        <f>SUM(X$6:X61)+AC61+AH61</f>
        <v>50.416150140599648</v>
      </c>
      <c r="AN61" s="35">
        <f>SUM(Y$6:Y61)+AD61+AI61</f>
        <v>0</v>
      </c>
      <c r="BP61" s="36">
        <v>0</v>
      </c>
      <c r="BQ61" s="36">
        <v>6.5958765213739099</v>
      </c>
      <c r="BR61" s="36">
        <v>5.4258933632712676</v>
      </c>
      <c r="BS61" s="36">
        <v>6.3834013101230944</v>
      </c>
      <c r="BT61" s="36">
        <v>0</v>
      </c>
    </row>
    <row r="62" spans="10:72" x14ac:dyDescent="0.15">
      <c r="J62" s="46">
        <v>11</v>
      </c>
      <c r="K62" s="45">
        <f>求节点(节奏总纲!$Z$4:$Z$83,节奏总纲!$AC$4:$AC$83,基础状态预估!C75)</f>
        <v>988.69490566221691</v>
      </c>
      <c r="L62" s="45">
        <f>基础状态预估!D75</f>
        <v>104.93378702762401</v>
      </c>
      <c r="M62" s="45">
        <f>基础状态预估!E75</f>
        <v>11</v>
      </c>
      <c r="N62" s="45" t="e">
        <f>$L$1*(求节点('[1]资源-钻石'!$K$4:$K$113,'[1]资源-钻石'!$N$4:$N$113,L62))</f>
        <v>#VALUE!</v>
      </c>
      <c r="O62" s="26">
        <f t="shared" ref="O62:S62" si="135">O39</f>
        <v>0</v>
      </c>
      <c r="P62" s="26">
        <f t="shared" si="135"/>
        <v>0</v>
      </c>
      <c r="Q62" s="26">
        <f t="shared" si="135"/>
        <v>0</v>
      </c>
      <c r="R62" s="26">
        <f t="shared" si="135"/>
        <v>0</v>
      </c>
      <c r="S62" s="26">
        <f t="shared" si="135"/>
        <v>0</v>
      </c>
      <c r="T62" s="45" t="e">
        <f t="shared" ref="T62:T67" si="136">N62-N61</f>
        <v>#VALUE!</v>
      </c>
      <c r="U62" s="45">
        <f t="shared" ref="U62:U67" si="137">IFERROR($T62/SUMPRODUCT($C$4:$G$4,$O62:$S62)*O62,0)</f>
        <v>0</v>
      </c>
      <c r="V62" s="45">
        <f t="shared" ref="V62:V67" si="138">IFERROR($T62/SUMPRODUCT($C$4:$G$4,$O62:$S62)*P62,0)</f>
        <v>0</v>
      </c>
      <c r="W62" s="45">
        <f t="shared" ref="W62:W67" si="139">IFERROR($T62/SUMPRODUCT($C$4:$G$4,$O62:$S62)*Q62,0)</f>
        <v>0</v>
      </c>
      <c r="X62" s="45">
        <f t="shared" ref="X62:X67" si="140">IFERROR($T62/SUMPRODUCT($C$4:$G$4,$O62:$S62)*R62,0)</f>
        <v>0</v>
      </c>
      <c r="Y62" s="45">
        <f t="shared" ref="Y62:Y67" si="141">IFERROR($T62/SUMPRODUCT($C$4:$G$4,$O62:$S62)*S62,0)</f>
        <v>0</v>
      </c>
      <c r="Z62" s="45">
        <f t="shared" ref="Z62:AI62" si="142">Z39</f>
        <v>6</v>
      </c>
      <c r="AA62" s="45">
        <f t="shared" si="142"/>
        <v>5</v>
      </c>
      <c r="AB62" s="45">
        <f t="shared" si="142"/>
        <v>0</v>
      </c>
      <c r="AC62" s="45">
        <f t="shared" si="142"/>
        <v>0</v>
      </c>
      <c r="AD62" s="45">
        <f t="shared" si="142"/>
        <v>0</v>
      </c>
      <c r="AE62" s="45">
        <f t="shared" si="142"/>
        <v>0</v>
      </c>
      <c r="AF62" s="45">
        <f t="shared" si="142"/>
        <v>15.025758444714542</v>
      </c>
      <c r="AG62" s="45">
        <f t="shared" si="142"/>
        <v>215.36920437424178</v>
      </c>
      <c r="AH62" s="45">
        <f t="shared" si="142"/>
        <v>105.1803091130018</v>
      </c>
      <c r="AI62" s="45">
        <f t="shared" si="142"/>
        <v>0</v>
      </c>
      <c r="AJ62" s="45">
        <f>SUM(U$6:U62)+Z62+AE62</f>
        <v>6</v>
      </c>
      <c r="AK62" s="45">
        <f>SUM(V$6:V62)+AA62+AF62</f>
        <v>20.02575844471454</v>
      </c>
      <c r="AL62" s="45">
        <f>SUM(W$6:W62)+AB62+AG62</f>
        <v>215.36920437424178</v>
      </c>
      <c r="AM62" s="45">
        <f>SUM(X$6:X62)+AC62+AH62</f>
        <v>105.1803091130018</v>
      </c>
      <c r="AN62" s="45">
        <f>SUM(Y$6:Y62)+AD62+AI62</f>
        <v>0</v>
      </c>
    </row>
    <row r="63" spans="10:72" x14ac:dyDescent="0.15">
      <c r="J63" s="46">
        <v>12</v>
      </c>
      <c r="K63" s="45">
        <f>求节点(节奏总纲!$Z$4:$Z$83,节奏总纲!$AC$4:$AC$83,基础状态预估!C76)</f>
        <v>2058.8113773623186</v>
      </c>
      <c r="L63" s="45">
        <f>基础状态预估!D76</f>
        <v>115.63935175516689</v>
      </c>
      <c r="M63" s="45">
        <f>基础状态预估!E76</f>
        <v>12</v>
      </c>
      <c r="N63" s="45" t="e">
        <f>$L$1*(求节点('[1]资源-钻石'!$K$4:$K$113,'[1]资源-钻石'!$N$4:$N$113,L63))</f>
        <v>#VALUE!</v>
      </c>
      <c r="O63" s="26">
        <f t="shared" ref="O63:S63" si="143">O40</f>
        <v>0</v>
      </c>
      <c r="P63" s="26">
        <f t="shared" si="143"/>
        <v>0</v>
      </c>
      <c r="Q63" s="26">
        <f t="shared" si="143"/>
        <v>0</v>
      </c>
      <c r="R63" s="26">
        <f t="shared" si="143"/>
        <v>0</v>
      </c>
      <c r="S63" s="26">
        <f t="shared" si="143"/>
        <v>0</v>
      </c>
      <c r="T63" s="45" t="e">
        <f t="shared" si="136"/>
        <v>#VALUE!</v>
      </c>
      <c r="U63" s="45">
        <f t="shared" si="137"/>
        <v>0</v>
      </c>
      <c r="V63" s="45">
        <f t="shared" si="138"/>
        <v>0</v>
      </c>
      <c r="W63" s="45">
        <f t="shared" si="139"/>
        <v>0</v>
      </c>
      <c r="X63" s="45">
        <f t="shared" si="140"/>
        <v>0</v>
      </c>
      <c r="Y63" s="45">
        <f t="shared" si="141"/>
        <v>0</v>
      </c>
      <c r="Z63" s="45">
        <f t="shared" ref="Z63:AI63" si="144">Z40</f>
        <v>6</v>
      </c>
      <c r="AA63" s="45">
        <f t="shared" si="144"/>
        <v>6</v>
      </c>
      <c r="AB63" s="45">
        <f t="shared" si="144"/>
        <v>0</v>
      </c>
      <c r="AC63" s="45">
        <f t="shared" si="144"/>
        <v>0</v>
      </c>
      <c r="AD63" s="45">
        <f t="shared" si="144"/>
        <v>0</v>
      </c>
      <c r="AE63" s="45">
        <f t="shared" si="144"/>
        <v>0</v>
      </c>
      <c r="AF63" s="45">
        <f t="shared" si="144"/>
        <v>31.288926707634023</v>
      </c>
      <c r="AG63" s="45">
        <f t="shared" si="144"/>
        <v>448.47461614275431</v>
      </c>
      <c r="AH63" s="45">
        <f t="shared" si="144"/>
        <v>219.02248695343815</v>
      </c>
      <c r="AI63" s="45">
        <f t="shared" si="144"/>
        <v>0</v>
      </c>
      <c r="AJ63" s="45">
        <f>SUM(U$6:U63)+Z63+AE63</f>
        <v>6</v>
      </c>
      <c r="AK63" s="45">
        <f>SUM(V$6:V63)+AA63+AF63</f>
        <v>37.288926707634019</v>
      </c>
      <c r="AL63" s="45">
        <f>SUM(W$6:W63)+AB63+AG63</f>
        <v>448.47461614275431</v>
      </c>
      <c r="AM63" s="45">
        <f>SUM(X$6:X63)+AC63+AH63</f>
        <v>219.02248695343815</v>
      </c>
      <c r="AN63" s="45">
        <f>SUM(Y$6:Y63)+AD63+AI63</f>
        <v>0</v>
      </c>
    </row>
    <row r="64" spans="10:72" x14ac:dyDescent="0.15">
      <c r="J64" s="46">
        <v>13</v>
      </c>
      <c r="K64" s="45">
        <f>求节点(节奏总纲!$Z$4:$Z$83,节奏总纲!$AC$4:$AC$83,基础状态预估!C77)</f>
        <v>4280.1298868004114</v>
      </c>
      <c r="L64" s="45">
        <f>基础状态预估!D77</f>
        <v>126.19151638854794</v>
      </c>
      <c r="M64" s="45">
        <f>基础状态预估!E77</f>
        <v>13</v>
      </c>
      <c r="N64" s="45" t="e">
        <f>$L$1*(求节点('[1]资源-钻石'!$K$4:$K$113,'[1]资源-钻石'!$N$4:$N$113,L64))</f>
        <v>#VALUE!</v>
      </c>
      <c r="O64" s="26">
        <f t="shared" ref="O64:S64" si="145">O41</f>
        <v>0</v>
      </c>
      <c r="P64" s="26">
        <f t="shared" si="145"/>
        <v>0</v>
      </c>
      <c r="Q64" s="26">
        <f t="shared" si="145"/>
        <v>0</v>
      </c>
      <c r="R64" s="26">
        <f t="shared" si="145"/>
        <v>0</v>
      </c>
      <c r="S64" s="26">
        <f t="shared" si="145"/>
        <v>0</v>
      </c>
      <c r="T64" s="45" t="e">
        <f t="shared" si="136"/>
        <v>#VALUE!</v>
      </c>
      <c r="U64" s="45">
        <f t="shared" si="137"/>
        <v>0</v>
      </c>
      <c r="V64" s="45">
        <f t="shared" si="138"/>
        <v>0</v>
      </c>
      <c r="W64" s="45">
        <f t="shared" si="139"/>
        <v>0</v>
      </c>
      <c r="X64" s="45">
        <f t="shared" si="140"/>
        <v>0</v>
      </c>
      <c r="Y64" s="45">
        <f t="shared" si="141"/>
        <v>0</v>
      </c>
      <c r="Z64" s="45">
        <f t="shared" ref="Z64:AI64" si="146">Z41</f>
        <v>6</v>
      </c>
      <c r="AA64" s="45">
        <f t="shared" si="146"/>
        <v>6</v>
      </c>
      <c r="AB64" s="45">
        <f t="shared" si="146"/>
        <v>1</v>
      </c>
      <c r="AC64" s="45">
        <f t="shared" si="146"/>
        <v>0</v>
      </c>
      <c r="AD64" s="45">
        <f t="shared" si="146"/>
        <v>0</v>
      </c>
      <c r="AE64" s="45">
        <f t="shared" si="146"/>
        <v>0</v>
      </c>
      <c r="AF64" s="45">
        <f t="shared" si="146"/>
        <v>65.047566668699261</v>
      </c>
      <c r="AG64" s="45">
        <f t="shared" si="146"/>
        <v>932.3484555846893</v>
      </c>
      <c r="AH64" s="45">
        <f t="shared" si="146"/>
        <v>455.3329666808948</v>
      </c>
      <c r="AI64" s="45">
        <f t="shared" si="146"/>
        <v>0</v>
      </c>
      <c r="AJ64" s="45">
        <f>SUM(U$6:U64)+Z64+AE64</f>
        <v>6</v>
      </c>
      <c r="AK64" s="45">
        <f>SUM(V$6:V64)+AA64+AF64</f>
        <v>71.047566668699261</v>
      </c>
      <c r="AL64" s="45">
        <f>SUM(W$6:W64)+AB64+AG64</f>
        <v>933.3484555846893</v>
      </c>
      <c r="AM64" s="45">
        <f>SUM(X$6:X64)+AC64+AH64</f>
        <v>455.3329666808948</v>
      </c>
      <c r="AN64" s="45">
        <f>SUM(Y$6:Y64)+AD64+AI64</f>
        <v>0</v>
      </c>
    </row>
    <row r="65" spans="10:72" x14ac:dyDescent="0.15">
      <c r="J65" s="46">
        <v>14</v>
      </c>
      <c r="K65" s="45">
        <f>求节点(节奏总纲!$Z$4:$Z$83,节奏总纲!$AC$4:$AC$83,基础状态预估!C78)</f>
        <v>8884.9230377523691</v>
      </c>
      <c r="L65" s="45">
        <f>基础状态预估!D78</f>
        <v>136.8190741194654</v>
      </c>
      <c r="M65" s="45">
        <f>基础状态预估!E78</f>
        <v>14</v>
      </c>
      <c r="N65" s="45" t="e">
        <f>$L$1*(求节点('[1]资源-钻石'!$K$4:$K$113,'[1]资源-钻石'!$N$4:$N$113,L65))</f>
        <v>#VALUE!</v>
      </c>
      <c r="O65" s="26">
        <f t="shared" ref="O65:S65" si="147">O42</f>
        <v>0</v>
      </c>
      <c r="P65" s="26">
        <f t="shared" si="147"/>
        <v>0</v>
      </c>
      <c r="Q65" s="26">
        <f t="shared" si="147"/>
        <v>0</v>
      </c>
      <c r="R65" s="26">
        <f t="shared" si="147"/>
        <v>0</v>
      </c>
      <c r="S65" s="26">
        <f t="shared" si="147"/>
        <v>0</v>
      </c>
      <c r="T65" s="45" t="e">
        <f t="shared" si="136"/>
        <v>#VALUE!</v>
      </c>
      <c r="U65" s="45">
        <f t="shared" si="137"/>
        <v>0</v>
      </c>
      <c r="V65" s="45">
        <f t="shared" si="138"/>
        <v>0</v>
      </c>
      <c r="W65" s="45">
        <f t="shared" si="139"/>
        <v>0</v>
      </c>
      <c r="X65" s="45">
        <f t="shared" si="140"/>
        <v>0</v>
      </c>
      <c r="Y65" s="45">
        <f t="shared" si="141"/>
        <v>0</v>
      </c>
      <c r="Z65" s="45">
        <f t="shared" ref="Z65:AI65" si="148">Z42</f>
        <v>6</v>
      </c>
      <c r="AA65" s="45">
        <f t="shared" si="148"/>
        <v>6</v>
      </c>
      <c r="AB65" s="45">
        <f t="shared" si="148"/>
        <v>2</v>
      </c>
      <c r="AC65" s="45">
        <f t="shared" si="148"/>
        <v>0</v>
      </c>
      <c r="AD65" s="45">
        <f t="shared" si="148"/>
        <v>0</v>
      </c>
      <c r="AE65" s="45">
        <f t="shared" si="148"/>
        <v>0</v>
      </c>
      <c r="AF65" s="45">
        <f t="shared" si="148"/>
        <v>135.02922549775639</v>
      </c>
      <c r="AG65" s="45">
        <f t="shared" si="148"/>
        <v>1935.4188988011747</v>
      </c>
      <c r="AH65" s="45">
        <f t="shared" si="148"/>
        <v>945.20457848429464</v>
      </c>
      <c r="AI65" s="45">
        <f t="shared" si="148"/>
        <v>0</v>
      </c>
      <c r="AJ65" s="45">
        <f>SUM(U$6:U65)+Z65+AE65</f>
        <v>6</v>
      </c>
      <c r="AK65" s="45">
        <f>SUM(V$6:V65)+AA65+AF65</f>
        <v>141.02922549775639</v>
      </c>
      <c r="AL65" s="45">
        <f>SUM(W$6:W65)+AB65+AG65</f>
        <v>1937.4188988011747</v>
      </c>
      <c r="AM65" s="45">
        <f>SUM(X$6:X65)+AC65+AH65</f>
        <v>945.20457848429464</v>
      </c>
      <c r="AN65" s="45">
        <f>SUM(Y$6:Y65)+AD65+AI65</f>
        <v>0</v>
      </c>
    </row>
    <row r="66" spans="10:72" x14ac:dyDescent="0.15">
      <c r="J66" s="46">
        <v>15</v>
      </c>
      <c r="K66" s="45">
        <f>求节点(节奏总纲!$Z$4:$Z$83,节奏总纲!$AC$4:$AC$83,基础状态预估!C79)</f>
        <v>18418.806603807832</v>
      </c>
      <c r="L66" s="45">
        <f>基础状态预估!D79</f>
        <v>147.45018844840658</v>
      </c>
      <c r="M66" s="45">
        <f>基础状态预估!E79</f>
        <v>15</v>
      </c>
      <c r="N66" s="45" t="e">
        <f>$L$1*(求节点('[1]资源-钻石'!$K$4:$K$113,'[1]资源-钻石'!$N$4:$N$113,L66))</f>
        <v>#VALUE!</v>
      </c>
      <c r="O66" s="26">
        <f t="shared" ref="O66:S66" si="149">O43</f>
        <v>0</v>
      </c>
      <c r="P66" s="26">
        <f t="shared" si="149"/>
        <v>0</v>
      </c>
      <c r="Q66" s="26">
        <f t="shared" si="149"/>
        <v>0</v>
      </c>
      <c r="R66" s="26">
        <f t="shared" si="149"/>
        <v>0</v>
      </c>
      <c r="S66" s="26">
        <f t="shared" si="149"/>
        <v>0</v>
      </c>
      <c r="T66" s="45" t="e">
        <f t="shared" si="136"/>
        <v>#VALUE!</v>
      </c>
      <c r="U66" s="45">
        <f t="shared" si="137"/>
        <v>0</v>
      </c>
      <c r="V66" s="45">
        <f t="shared" si="138"/>
        <v>0</v>
      </c>
      <c r="W66" s="45">
        <f t="shared" si="139"/>
        <v>0</v>
      </c>
      <c r="X66" s="45">
        <f t="shared" si="140"/>
        <v>0</v>
      </c>
      <c r="Y66" s="45">
        <f t="shared" si="141"/>
        <v>0</v>
      </c>
      <c r="Z66" s="45">
        <f t="shared" ref="Z66:AI66" si="150">Z43</f>
        <v>6</v>
      </c>
      <c r="AA66" s="45">
        <f t="shared" si="150"/>
        <v>6</v>
      </c>
      <c r="AB66" s="45">
        <f t="shared" si="150"/>
        <v>3</v>
      </c>
      <c r="AC66" s="45">
        <f t="shared" si="150"/>
        <v>0</v>
      </c>
      <c r="AD66" s="45">
        <f t="shared" si="150"/>
        <v>0</v>
      </c>
      <c r="AE66" s="45">
        <f t="shared" si="150"/>
        <v>0</v>
      </c>
      <c r="AF66" s="45">
        <f t="shared" si="150"/>
        <v>279.92107300619807</v>
      </c>
      <c r="AG66" s="45">
        <f t="shared" si="150"/>
        <v>4012.2020464221719</v>
      </c>
      <c r="AH66" s="45">
        <f t="shared" si="150"/>
        <v>1959.4475110433862</v>
      </c>
      <c r="AI66" s="45">
        <f t="shared" si="150"/>
        <v>0</v>
      </c>
      <c r="AJ66" s="45">
        <f>SUM(U$6:U66)+Z66+AE66</f>
        <v>6</v>
      </c>
      <c r="AK66" s="45">
        <f>SUM(V$6:V66)+AA66+AF66</f>
        <v>285.92107300619807</v>
      </c>
      <c r="AL66" s="45">
        <f>SUM(W$6:W66)+AB66+AG66</f>
        <v>4015.2020464221719</v>
      </c>
      <c r="AM66" s="45">
        <f>SUM(X$6:X66)+AC66+AH66</f>
        <v>1959.4475110433862</v>
      </c>
      <c r="AN66" s="45">
        <f>SUM(Y$6:Y66)+AD66+AI66</f>
        <v>0</v>
      </c>
    </row>
    <row r="67" spans="10:72" x14ac:dyDescent="0.15">
      <c r="J67" s="46">
        <v>16</v>
      </c>
      <c r="K67" s="45">
        <f>求节点(节奏总纲!$Z$4:$Z$83,节奏总纲!$AC$4:$AC$83,基础状态预估!C80)</f>
        <v>28507.724999999999</v>
      </c>
      <c r="L67" s="45">
        <f>基础状态预估!D80</f>
        <v>153.14946182958477</v>
      </c>
      <c r="M67" s="45">
        <f>基础状态预估!E80</f>
        <v>16</v>
      </c>
      <c r="N67" s="45" t="e">
        <f>$L$1*(求节点('[1]资源-钻石'!$K$4:$K$113,'[1]资源-钻石'!$N$4:$N$113,L67))</f>
        <v>#VALUE!</v>
      </c>
      <c r="O67" s="26">
        <f t="shared" ref="O67:S67" si="151">O44</f>
        <v>0</v>
      </c>
      <c r="P67" s="26">
        <f t="shared" si="151"/>
        <v>0</v>
      </c>
      <c r="Q67" s="26">
        <f t="shared" si="151"/>
        <v>0</v>
      </c>
      <c r="R67" s="26">
        <f t="shared" si="151"/>
        <v>0</v>
      </c>
      <c r="S67" s="26">
        <f t="shared" si="151"/>
        <v>0</v>
      </c>
      <c r="T67" s="45" t="e">
        <f t="shared" si="136"/>
        <v>#VALUE!</v>
      </c>
      <c r="U67" s="45">
        <f t="shared" si="137"/>
        <v>0</v>
      </c>
      <c r="V67" s="45">
        <f t="shared" si="138"/>
        <v>0</v>
      </c>
      <c r="W67" s="45">
        <f t="shared" si="139"/>
        <v>0</v>
      </c>
      <c r="X67" s="45">
        <f t="shared" si="140"/>
        <v>0</v>
      </c>
      <c r="Y67" s="45">
        <f t="shared" si="141"/>
        <v>0</v>
      </c>
      <c r="Z67" s="45">
        <f t="shared" ref="Z67:AI67" si="152">Z44</f>
        <v>6</v>
      </c>
      <c r="AA67" s="45">
        <f t="shared" si="152"/>
        <v>6</v>
      </c>
      <c r="AB67" s="45">
        <f t="shared" si="152"/>
        <v>4</v>
      </c>
      <c r="AC67" s="45">
        <f t="shared" si="152"/>
        <v>0</v>
      </c>
      <c r="AD67" s="45">
        <f t="shared" si="152"/>
        <v>0</v>
      </c>
      <c r="AE67" s="45">
        <f t="shared" si="152"/>
        <v>0</v>
      </c>
      <c r="AF67" s="45">
        <f t="shared" si="152"/>
        <v>433.24810030395133</v>
      </c>
      <c r="AG67" s="45">
        <f t="shared" si="152"/>
        <v>6209.8894376899689</v>
      </c>
      <c r="AH67" s="45">
        <f t="shared" si="152"/>
        <v>3032.7367021276596</v>
      </c>
      <c r="AI67" s="45">
        <f t="shared" si="152"/>
        <v>0</v>
      </c>
      <c r="AJ67" s="45">
        <f>SUM(U$6:U67)+Z67+AE67</f>
        <v>6</v>
      </c>
      <c r="AK67" s="45">
        <f>SUM(V$6:V67)+AA67+AF67</f>
        <v>439.24810030395133</v>
      </c>
      <c r="AL67" s="45">
        <f>SUM(W$6:W67)+AB67+AG67</f>
        <v>6213.8894376899689</v>
      </c>
      <c r="AM67" s="45">
        <f>SUM(X$6:X67)+AC67+AH67</f>
        <v>3032.7367021276596</v>
      </c>
      <c r="AN67" s="45">
        <f>SUM(Y$6:Y67)+AD67+AI67</f>
        <v>0</v>
      </c>
    </row>
    <row r="69" spans="10:72" x14ac:dyDescent="0.15">
      <c r="K69" s="37"/>
      <c r="L69" s="37"/>
      <c r="M69" s="37"/>
      <c r="N69" s="37"/>
      <c r="O69" s="37"/>
      <c r="P69" s="37"/>
      <c r="Q69" s="37"/>
      <c r="R69" s="37"/>
      <c r="S69" s="37"/>
      <c r="T69" s="37"/>
    </row>
    <row r="70" spans="10:72" x14ac:dyDescent="0.15">
      <c r="K70" s="37"/>
      <c r="L70" s="37"/>
      <c r="M70" s="37"/>
      <c r="N70" s="37"/>
      <c r="O70" s="37"/>
      <c r="P70" s="37"/>
      <c r="Q70" s="37"/>
      <c r="R70" s="37"/>
      <c r="S70" s="37"/>
      <c r="T70" s="37"/>
    </row>
    <row r="72" spans="10:72" x14ac:dyDescent="0.15">
      <c r="K72" s="129" t="s">
        <v>19</v>
      </c>
      <c r="L72" s="129"/>
      <c r="M72" s="129"/>
      <c r="N72" s="129"/>
      <c r="O72" s="129" t="s">
        <v>80</v>
      </c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 t="s">
        <v>85</v>
      </c>
      <c r="AA72" s="129"/>
      <c r="AB72" s="129"/>
      <c r="AC72" s="129"/>
      <c r="AD72" s="129"/>
      <c r="AE72" s="129" t="s">
        <v>115</v>
      </c>
      <c r="AF72" s="129"/>
      <c r="AG72" s="129"/>
      <c r="AH72" s="129"/>
      <c r="AI72" s="129"/>
      <c r="AJ72" s="129" t="s">
        <v>42</v>
      </c>
      <c r="AK72" s="129"/>
      <c r="AL72" s="129"/>
      <c r="AM72" s="129"/>
      <c r="AN72" s="129"/>
      <c r="BP72" s="36" t="s">
        <v>42</v>
      </c>
    </row>
    <row r="73" spans="10:72" x14ac:dyDescent="0.15">
      <c r="K73" s="129"/>
      <c r="L73" s="129"/>
      <c r="M73" s="129"/>
      <c r="N73" s="129"/>
      <c r="O73" s="129" t="s">
        <v>81</v>
      </c>
      <c r="P73" s="129"/>
      <c r="Q73" s="129"/>
      <c r="R73" s="129"/>
      <c r="S73" s="129"/>
      <c r="T73" s="137" t="s">
        <v>82</v>
      </c>
      <c r="U73" s="129" t="s">
        <v>83</v>
      </c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</row>
    <row r="74" spans="10:72" x14ac:dyDescent="0.15">
      <c r="K74" s="35" t="s">
        <v>15</v>
      </c>
      <c r="L74" s="35" t="s">
        <v>79</v>
      </c>
      <c r="M74" s="35" t="s">
        <v>21</v>
      </c>
      <c r="N74" s="35" t="s">
        <v>78</v>
      </c>
      <c r="O74" s="35" t="s">
        <v>33</v>
      </c>
      <c r="P74" s="35" t="s">
        <v>34</v>
      </c>
      <c r="Q74" s="35" t="s">
        <v>10</v>
      </c>
      <c r="R74" s="35" t="s">
        <v>36</v>
      </c>
      <c r="S74" s="35" t="s">
        <v>37</v>
      </c>
      <c r="T74" s="138"/>
      <c r="U74" s="35" t="s">
        <v>33</v>
      </c>
      <c r="V74" s="35" t="s">
        <v>34</v>
      </c>
      <c r="W74" s="35" t="s">
        <v>35</v>
      </c>
      <c r="X74" s="35" t="s">
        <v>36</v>
      </c>
      <c r="Y74" s="35" t="s">
        <v>37</v>
      </c>
      <c r="Z74" s="35" t="s">
        <v>33</v>
      </c>
      <c r="AA74" s="35" t="s">
        <v>34</v>
      </c>
      <c r="AB74" s="35" t="s">
        <v>10</v>
      </c>
      <c r="AC74" s="35" t="s">
        <v>36</v>
      </c>
      <c r="AD74" s="35" t="s">
        <v>37</v>
      </c>
      <c r="AE74" s="35" t="s">
        <v>8</v>
      </c>
      <c r="AF74" s="35" t="s">
        <v>9</v>
      </c>
      <c r="AG74" s="35" t="s">
        <v>10</v>
      </c>
      <c r="AH74" s="35" t="s">
        <v>11</v>
      </c>
      <c r="AI74" s="35" t="s">
        <v>12</v>
      </c>
      <c r="AJ74" s="35" t="s">
        <v>33</v>
      </c>
      <c r="AK74" s="35" t="s">
        <v>34</v>
      </c>
      <c r="AL74" s="35" t="s">
        <v>35</v>
      </c>
      <c r="AM74" s="35" t="s">
        <v>36</v>
      </c>
      <c r="AN74" s="35" t="s">
        <v>37</v>
      </c>
      <c r="BP74" s="36" t="s">
        <v>104</v>
      </c>
      <c r="BQ74" s="36" t="s">
        <v>105</v>
      </c>
      <c r="BR74" s="36" t="s">
        <v>106</v>
      </c>
      <c r="BS74" s="36" t="s">
        <v>107</v>
      </c>
      <c r="BT74" s="36" t="s">
        <v>108</v>
      </c>
    </row>
    <row r="75" spans="10:72" x14ac:dyDescent="0.15">
      <c r="J75" s="46">
        <v>1</v>
      </c>
      <c r="K75" s="45">
        <f>求节点(节奏总纲!$Z$4:$Z$83,节奏总纲!$AD$4:$AD$83,基础状态预估!C88)</f>
        <v>1.0155087681570587</v>
      </c>
      <c r="L75" s="45">
        <f>基础状态预估!D88</f>
        <v>15.589627930182091</v>
      </c>
      <c r="M75" s="35">
        <f>基础状态预估!E88</f>
        <v>1</v>
      </c>
      <c r="N75" s="35" t="e">
        <f>$L$1*(求节点('[1]资源-钻石'!$K$4:$K$113,'[1]资源-钻石'!$O$4:$O$113,L75))</f>
        <v>#VALUE!</v>
      </c>
      <c r="O75" s="26">
        <f>O52</f>
        <v>0</v>
      </c>
      <c r="P75" s="26">
        <f t="shared" ref="P75:S75" si="153">P52</f>
        <v>0</v>
      </c>
      <c r="Q75" s="26">
        <f t="shared" si="153"/>
        <v>0</v>
      </c>
      <c r="R75" s="26">
        <f t="shared" si="153"/>
        <v>0</v>
      </c>
      <c r="S75" s="26">
        <f t="shared" si="153"/>
        <v>0</v>
      </c>
      <c r="T75" s="17" t="e">
        <f>N75</f>
        <v>#VALUE!</v>
      </c>
      <c r="U75" s="35">
        <f>IFERROR($T75/SUMPRODUCT($C$4:$G$4,$O75:$S75)*O75,0)</f>
        <v>0</v>
      </c>
      <c r="V75" s="35">
        <f t="shared" ref="V75:V84" si="154">IFERROR($T75/SUMPRODUCT($C$4:$G$4,$O75:$S75)*P75,0)</f>
        <v>0</v>
      </c>
      <c r="W75" s="35">
        <f t="shared" ref="W75:W84" si="155">IFERROR($T75/SUMPRODUCT($C$4:$G$4,$O75:$S75)*Q75,0)</f>
        <v>0</v>
      </c>
      <c r="X75" s="35">
        <f t="shared" ref="X75:X84" si="156">IFERROR($T75/SUMPRODUCT($C$4:$G$4,$O75:$S75)*R75,0)</f>
        <v>0</v>
      </c>
      <c r="Y75" s="35">
        <f t="shared" ref="Y75:Y84" si="157">IFERROR($T75/SUMPRODUCT($C$4:$G$4,$O75:$S75)*S75,0)</f>
        <v>0</v>
      </c>
      <c r="Z75" s="35">
        <f>Z52</f>
        <v>1</v>
      </c>
      <c r="AA75" s="35">
        <f t="shared" ref="AA75:AD75" si="158">AA52</f>
        <v>0</v>
      </c>
      <c r="AB75" s="35">
        <f t="shared" si="158"/>
        <v>0</v>
      </c>
      <c r="AC75" s="35">
        <f t="shared" si="158"/>
        <v>0</v>
      </c>
      <c r="AD75" s="35">
        <f t="shared" si="158"/>
        <v>0</v>
      </c>
      <c r="AE75" s="35">
        <f>AE52</f>
        <v>0</v>
      </c>
      <c r="AF75" s="35">
        <f t="shared" ref="AF75:AI75" si="159">AF52</f>
        <v>0.3626817029132352</v>
      </c>
      <c r="AG75" s="35">
        <f t="shared" si="159"/>
        <v>0</v>
      </c>
      <c r="AH75" s="35">
        <f t="shared" si="159"/>
        <v>0</v>
      </c>
      <c r="AI75" s="35">
        <f t="shared" si="159"/>
        <v>0</v>
      </c>
      <c r="AJ75" s="35">
        <f>SUM(U$6:U75)+Z75+AE75</f>
        <v>1</v>
      </c>
      <c r="AK75" s="35">
        <f>SUM(V$6:V75)+AA75+AF75</f>
        <v>0.3626817029132352</v>
      </c>
      <c r="AL75" s="35">
        <f>SUM(W$6:W75)+AB75+AG75</f>
        <v>0</v>
      </c>
      <c r="AM75" s="35">
        <f>SUM(X$6:X75)+AC75+AH75</f>
        <v>0</v>
      </c>
      <c r="AN75" s="35">
        <f>SUM(Y$6:Y75)+AD75+AI75</f>
        <v>0</v>
      </c>
      <c r="BP75" s="36">
        <v>0</v>
      </c>
      <c r="BQ75" s="36">
        <v>3.6452684609105162</v>
      </c>
      <c r="BR75" s="36">
        <v>0</v>
      </c>
      <c r="BS75" s="36">
        <v>0</v>
      </c>
      <c r="BT75" s="36">
        <v>0</v>
      </c>
    </row>
    <row r="76" spans="10:72" x14ac:dyDescent="0.15">
      <c r="J76" s="46">
        <v>2</v>
      </c>
      <c r="K76" s="45">
        <f>求节点(节奏总纲!$Z$4:$Z$83,节奏总纲!$AD$4:$AD$83,基础状态预估!C89)</f>
        <v>1.9291590128661831</v>
      </c>
      <c r="L76" s="45">
        <f>基础状态预估!D89</f>
        <v>21.127034033068878</v>
      </c>
      <c r="M76" s="35">
        <f>基础状态预估!E89</f>
        <v>2</v>
      </c>
      <c r="N76" s="35" t="e">
        <f>$L$1*(求节点('[1]资源-钻石'!$K$4:$K$113,'[1]资源-钻石'!$O$4:$O$113,L76))</f>
        <v>#VALUE!</v>
      </c>
      <c r="O76" s="26">
        <f t="shared" ref="O76:S76" si="160">O53</f>
        <v>0</v>
      </c>
      <c r="P76" s="26">
        <f t="shared" si="160"/>
        <v>0</v>
      </c>
      <c r="Q76" s="26">
        <f t="shared" si="160"/>
        <v>0</v>
      </c>
      <c r="R76" s="26">
        <f t="shared" si="160"/>
        <v>0</v>
      </c>
      <c r="S76" s="26">
        <f t="shared" si="160"/>
        <v>0</v>
      </c>
      <c r="T76" s="35" t="e">
        <f>N76-N75</f>
        <v>#VALUE!</v>
      </c>
      <c r="U76" s="35">
        <f t="shared" ref="U76:U84" si="161">IFERROR($T76/SUMPRODUCT($C$4:$G$4,$O76:$S76)*O76,0)</f>
        <v>0</v>
      </c>
      <c r="V76" s="35">
        <f t="shared" si="154"/>
        <v>0</v>
      </c>
      <c r="W76" s="35">
        <f t="shared" si="155"/>
        <v>0</v>
      </c>
      <c r="X76" s="35">
        <f t="shared" si="156"/>
        <v>0</v>
      </c>
      <c r="Y76" s="35">
        <f t="shared" si="157"/>
        <v>0</v>
      </c>
      <c r="Z76" s="35">
        <f t="shared" ref="Z76:AD76" si="162">Z53</f>
        <v>2</v>
      </c>
      <c r="AA76" s="35">
        <f t="shared" si="162"/>
        <v>0</v>
      </c>
      <c r="AB76" s="35">
        <f t="shared" si="162"/>
        <v>0</v>
      </c>
      <c r="AC76" s="35">
        <f t="shared" si="162"/>
        <v>0</v>
      </c>
      <c r="AD76" s="35">
        <f t="shared" si="162"/>
        <v>0</v>
      </c>
      <c r="AE76" s="35">
        <f t="shared" ref="AE76:AI76" si="163">AE53</f>
        <v>0</v>
      </c>
      <c r="AF76" s="35">
        <f t="shared" si="163"/>
        <v>0.68898536173792246</v>
      </c>
      <c r="AG76" s="35">
        <f t="shared" si="163"/>
        <v>0</v>
      </c>
      <c r="AH76" s="35">
        <f t="shared" si="163"/>
        <v>0</v>
      </c>
      <c r="AI76" s="35">
        <f t="shared" si="163"/>
        <v>0</v>
      </c>
      <c r="AJ76" s="35">
        <f>SUM(U$6:U76)+Z76+AE76</f>
        <v>2</v>
      </c>
      <c r="AK76" s="35">
        <f>SUM(V$6:V76)+AA76+AF76</f>
        <v>0.68898536173792246</v>
      </c>
      <c r="AL76" s="35">
        <f>SUM(W$6:W76)+AB76+AG76</f>
        <v>0</v>
      </c>
      <c r="AM76" s="35">
        <f>SUM(X$6:X76)+AC76+AH76</f>
        <v>0</v>
      </c>
      <c r="AN76" s="35">
        <f>SUM(Y$6:Y76)+AD76+AI76</f>
        <v>0</v>
      </c>
      <c r="BP76" s="36">
        <v>0</v>
      </c>
      <c r="BQ76" s="36">
        <v>4.8621733863024748</v>
      </c>
      <c r="BR76" s="36">
        <v>0</v>
      </c>
      <c r="BS76" s="36">
        <v>0</v>
      </c>
      <c r="BT76" s="36">
        <v>0</v>
      </c>
    </row>
    <row r="77" spans="10:72" x14ac:dyDescent="0.15">
      <c r="J77" s="46">
        <v>3</v>
      </c>
      <c r="K77" s="45">
        <f>求节点(节奏总纲!$Z$4:$Z$83,节奏总纲!$AD$4:$AD$83,基础状态预估!C90)</f>
        <v>3.8620055508637692</v>
      </c>
      <c r="L77" s="45">
        <f>基础状态预估!D90</f>
        <v>29.279653557700659</v>
      </c>
      <c r="M77" s="35">
        <f>基础状态预估!E90</f>
        <v>3</v>
      </c>
      <c r="N77" s="35" t="e">
        <f>$L$1*(求节点('[1]资源-钻石'!$K$4:$K$113,'[1]资源-钻石'!$O$4:$O$113,L77))</f>
        <v>#VALUE!</v>
      </c>
      <c r="O77" s="26">
        <f t="shared" ref="O77:S77" si="164">O54</f>
        <v>0</v>
      </c>
      <c r="P77" s="26">
        <f t="shared" si="164"/>
        <v>0</v>
      </c>
      <c r="Q77" s="26">
        <f t="shared" si="164"/>
        <v>0</v>
      </c>
      <c r="R77" s="26">
        <f t="shared" si="164"/>
        <v>0</v>
      </c>
      <c r="S77" s="26">
        <f t="shared" si="164"/>
        <v>0</v>
      </c>
      <c r="T77" s="35" t="e">
        <f t="shared" ref="T77:T84" si="165">N77-N76</f>
        <v>#VALUE!</v>
      </c>
      <c r="U77" s="35">
        <f t="shared" si="161"/>
        <v>0</v>
      </c>
      <c r="V77" s="35">
        <f t="shared" si="154"/>
        <v>0</v>
      </c>
      <c r="W77" s="35">
        <f t="shared" si="155"/>
        <v>0</v>
      </c>
      <c r="X77" s="35">
        <f t="shared" si="156"/>
        <v>0</v>
      </c>
      <c r="Y77" s="35">
        <f t="shared" si="157"/>
        <v>0</v>
      </c>
      <c r="Z77" s="35">
        <f t="shared" ref="Z77:AD77" si="166">Z54</f>
        <v>3</v>
      </c>
      <c r="AA77" s="35">
        <f t="shared" si="166"/>
        <v>0</v>
      </c>
      <c r="AB77" s="35">
        <f t="shared" si="166"/>
        <v>0</v>
      </c>
      <c r="AC77" s="35">
        <f t="shared" si="166"/>
        <v>0</v>
      </c>
      <c r="AD77" s="35">
        <f t="shared" si="166"/>
        <v>0</v>
      </c>
      <c r="AE77" s="35">
        <f t="shared" ref="AE77:AI77" si="167">AE54</f>
        <v>0</v>
      </c>
      <c r="AF77" s="35">
        <f t="shared" si="167"/>
        <v>1.3792876967370604</v>
      </c>
      <c r="AG77" s="35">
        <f t="shared" si="167"/>
        <v>0</v>
      </c>
      <c r="AH77" s="35">
        <f t="shared" si="167"/>
        <v>0</v>
      </c>
      <c r="AI77" s="35">
        <f t="shared" si="167"/>
        <v>0</v>
      </c>
      <c r="AJ77" s="35">
        <f>SUM(U$6:U77)+Z77+AE77</f>
        <v>3</v>
      </c>
      <c r="AK77" s="35">
        <f>SUM(V$6:V77)+AA77+AF77</f>
        <v>1.3792876967370604</v>
      </c>
      <c r="AL77" s="35">
        <f>SUM(W$6:W77)+AB77+AG77</f>
        <v>0</v>
      </c>
      <c r="AM77" s="35">
        <f>SUM(X$6:X77)+AC77+AH77</f>
        <v>0</v>
      </c>
      <c r="AN77" s="35">
        <f>SUM(Y$6:Y77)+AD77+AI77</f>
        <v>0</v>
      </c>
      <c r="BP77" s="36">
        <v>0</v>
      </c>
      <c r="BQ77" s="36">
        <v>6.5958765213739099</v>
      </c>
      <c r="BR77" s="36">
        <v>0</v>
      </c>
      <c r="BS77" s="36">
        <v>0</v>
      </c>
      <c r="BT77" s="36">
        <v>0</v>
      </c>
    </row>
    <row r="78" spans="10:72" x14ac:dyDescent="0.15">
      <c r="J78" s="46">
        <v>4</v>
      </c>
      <c r="K78" s="45">
        <f>求节点(节奏总纲!$Z$4:$Z$83,节奏总纲!$AD$4:$AD$83,基础状态预估!C91)</f>
        <v>7.5480892551941539</v>
      </c>
      <c r="L78" s="45">
        <f>基础状态预估!D91</f>
        <v>38.056251761612167</v>
      </c>
      <c r="M78" s="35">
        <f>基础状态预估!E91</f>
        <v>4</v>
      </c>
      <c r="N78" s="35" t="e">
        <f>$L$1*(求节点('[1]资源-钻石'!$K$4:$K$113,'[1]资源-钻石'!$O$4:$O$113,L78))</f>
        <v>#VALUE!</v>
      </c>
      <c r="O78" s="26">
        <f t="shared" ref="O78:S78" si="168">O55</f>
        <v>0</v>
      </c>
      <c r="P78" s="26">
        <f t="shared" si="168"/>
        <v>0</v>
      </c>
      <c r="Q78" s="26">
        <f t="shared" si="168"/>
        <v>0</v>
      </c>
      <c r="R78" s="26">
        <f t="shared" si="168"/>
        <v>0</v>
      </c>
      <c r="S78" s="26">
        <f t="shared" si="168"/>
        <v>0</v>
      </c>
      <c r="T78" s="35" t="e">
        <f t="shared" si="165"/>
        <v>#VALUE!</v>
      </c>
      <c r="U78" s="35">
        <f t="shared" si="161"/>
        <v>0</v>
      </c>
      <c r="V78" s="35">
        <f t="shared" si="154"/>
        <v>0</v>
      </c>
      <c r="W78" s="35">
        <f t="shared" si="155"/>
        <v>0</v>
      </c>
      <c r="X78" s="35">
        <f t="shared" si="156"/>
        <v>0</v>
      </c>
      <c r="Y78" s="35">
        <f t="shared" si="157"/>
        <v>0</v>
      </c>
      <c r="Z78" s="35">
        <f t="shared" ref="Z78:AD78" si="169">Z55</f>
        <v>4</v>
      </c>
      <c r="AA78" s="35">
        <f t="shared" si="169"/>
        <v>0</v>
      </c>
      <c r="AB78" s="35">
        <f t="shared" si="169"/>
        <v>0</v>
      </c>
      <c r="AC78" s="35">
        <f t="shared" si="169"/>
        <v>0</v>
      </c>
      <c r="AD78" s="35">
        <f t="shared" si="169"/>
        <v>0</v>
      </c>
      <c r="AE78" s="35">
        <f t="shared" ref="AE78:AI78" si="170">AE55</f>
        <v>0</v>
      </c>
      <c r="AF78" s="35">
        <f t="shared" si="170"/>
        <v>2.6957461625693404</v>
      </c>
      <c r="AG78" s="35">
        <f t="shared" si="170"/>
        <v>0</v>
      </c>
      <c r="AH78" s="35">
        <f t="shared" si="170"/>
        <v>0</v>
      </c>
      <c r="AI78" s="35">
        <f t="shared" si="170"/>
        <v>0</v>
      </c>
      <c r="AJ78" s="35">
        <f>SUM(U$6:U78)+Z78+AE78</f>
        <v>4</v>
      </c>
      <c r="AK78" s="35">
        <f>SUM(V$6:V78)+AA78+AF78</f>
        <v>2.6957461625693404</v>
      </c>
      <c r="AL78" s="35">
        <f>SUM(W$6:W78)+AB78+AG78</f>
        <v>0</v>
      </c>
      <c r="AM78" s="35">
        <f>SUM(X$6:X78)+AC78+AH78</f>
        <v>0</v>
      </c>
      <c r="AN78" s="35">
        <f>SUM(Y$6:Y78)+AD78+AI78</f>
        <v>0</v>
      </c>
      <c r="BP78" s="36">
        <v>0</v>
      </c>
      <c r="BQ78" s="36">
        <v>6.5958765213739099</v>
      </c>
      <c r="BR78" s="36">
        <v>1.7935632820034506</v>
      </c>
      <c r="BS78" s="36">
        <v>0</v>
      </c>
      <c r="BT78" s="36">
        <v>0</v>
      </c>
    </row>
    <row r="79" spans="10:72" x14ac:dyDescent="0.15">
      <c r="J79" s="46">
        <v>5</v>
      </c>
      <c r="K79" s="45">
        <f>求节点(节奏总纲!$Z$4:$Z$83,节奏总纲!$AD$4:$AD$83,基础状态预估!C92)</f>
        <v>14.515695505432269</v>
      </c>
      <c r="L79" s="45">
        <f>基础状态预估!D92</f>
        <v>47.007818211309306</v>
      </c>
      <c r="M79" s="35">
        <f>基础状态预估!E92</f>
        <v>5</v>
      </c>
      <c r="N79" s="35" t="e">
        <f>$L$1*(求节点('[1]资源-钻石'!$K$4:$K$113,'[1]资源-钻石'!$O$4:$O$113,L79))</f>
        <v>#VALUE!</v>
      </c>
      <c r="O79" s="26">
        <f t="shared" ref="O79:S79" si="171">O56</f>
        <v>0</v>
      </c>
      <c r="P79" s="26">
        <f t="shared" si="171"/>
        <v>0</v>
      </c>
      <c r="Q79" s="26">
        <f t="shared" si="171"/>
        <v>0</v>
      </c>
      <c r="R79" s="26">
        <f t="shared" si="171"/>
        <v>0</v>
      </c>
      <c r="S79" s="26">
        <f t="shared" si="171"/>
        <v>0</v>
      </c>
      <c r="T79" s="35" t="e">
        <f t="shared" si="165"/>
        <v>#VALUE!</v>
      </c>
      <c r="U79" s="35">
        <f t="shared" si="161"/>
        <v>0</v>
      </c>
      <c r="V79" s="35">
        <f t="shared" si="154"/>
        <v>0</v>
      </c>
      <c r="W79" s="35">
        <f t="shared" si="155"/>
        <v>0</v>
      </c>
      <c r="X79" s="35">
        <f t="shared" si="156"/>
        <v>0</v>
      </c>
      <c r="Y79" s="35">
        <f t="shared" si="157"/>
        <v>0</v>
      </c>
      <c r="Z79" s="35">
        <f t="shared" ref="Z79:AD79" si="172">Z56</f>
        <v>5</v>
      </c>
      <c r="AA79" s="35">
        <f t="shared" si="172"/>
        <v>0</v>
      </c>
      <c r="AB79" s="35">
        <f t="shared" si="172"/>
        <v>0</v>
      </c>
      <c r="AC79" s="35">
        <f t="shared" si="172"/>
        <v>0</v>
      </c>
      <c r="AD79" s="35">
        <f t="shared" si="172"/>
        <v>0</v>
      </c>
      <c r="AE79" s="35">
        <f t="shared" ref="AE79:AI79" si="173">AE56</f>
        <v>0</v>
      </c>
      <c r="AF79" s="35">
        <f t="shared" si="173"/>
        <v>3</v>
      </c>
      <c r="AG79" s="35">
        <f t="shared" si="173"/>
        <v>2.1841769662258099</v>
      </c>
      <c r="AH79" s="35">
        <f t="shared" si="173"/>
        <v>0.59208848311290496</v>
      </c>
      <c r="AI79" s="35">
        <f t="shared" si="173"/>
        <v>0</v>
      </c>
      <c r="AJ79" s="35">
        <f>SUM(U$6:U79)+Z79+AE79</f>
        <v>5</v>
      </c>
      <c r="AK79" s="35">
        <f>SUM(V$6:V79)+AA79+AF79</f>
        <v>3</v>
      </c>
      <c r="AL79" s="35">
        <f>SUM(W$6:W79)+AB79+AG79</f>
        <v>2.1841769662258099</v>
      </c>
      <c r="AM79" s="35">
        <f>SUM(X$6:X79)+AC79+AH79</f>
        <v>0.59208848311290496</v>
      </c>
      <c r="AN79" s="35">
        <f>SUM(Y$6:Y79)+AD79+AI79</f>
        <v>0</v>
      </c>
      <c r="BP79" s="36">
        <v>0</v>
      </c>
      <c r="BQ79" s="36">
        <v>6.5958765213739099</v>
      </c>
      <c r="BR79" s="36">
        <v>3.6090738243466269</v>
      </c>
      <c r="BS79" s="36">
        <v>0</v>
      </c>
      <c r="BT79" s="36">
        <v>0</v>
      </c>
    </row>
    <row r="80" spans="10:72" x14ac:dyDescent="0.15">
      <c r="J80" s="46">
        <v>6</v>
      </c>
      <c r="K80" s="45">
        <f>求节点(节奏总纲!$Z$4:$Z$83,节奏总纲!$AD$4:$AD$83,基础状态预估!C93)</f>
        <v>27.449372333401666</v>
      </c>
      <c r="L80" s="45">
        <f>基础状态预估!D93</f>
        <v>56.279027610646125</v>
      </c>
      <c r="M80" s="35">
        <f>基础状态预估!E93</f>
        <v>6</v>
      </c>
      <c r="N80" s="35" t="e">
        <f>$L$1*(求节点('[1]资源-钻石'!$K$4:$K$113,'[1]资源-钻石'!$O$4:$O$113,L80))</f>
        <v>#VALUE!</v>
      </c>
      <c r="O80" s="26">
        <f t="shared" ref="O80:S80" si="174">O57</f>
        <v>0</v>
      </c>
      <c r="P80" s="26">
        <f t="shared" si="174"/>
        <v>0</v>
      </c>
      <c r="Q80" s="26">
        <f t="shared" si="174"/>
        <v>0</v>
      </c>
      <c r="R80" s="26">
        <f t="shared" si="174"/>
        <v>0</v>
      </c>
      <c r="S80" s="26">
        <f t="shared" si="174"/>
        <v>0</v>
      </c>
      <c r="T80" s="35" t="e">
        <f t="shared" si="165"/>
        <v>#VALUE!</v>
      </c>
      <c r="U80" s="35">
        <f t="shared" si="161"/>
        <v>0</v>
      </c>
      <c r="V80" s="35">
        <f t="shared" si="154"/>
        <v>0</v>
      </c>
      <c r="W80" s="35">
        <f t="shared" si="155"/>
        <v>0</v>
      </c>
      <c r="X80" s="35">
        <f t="shared" si="156"/>
        <v>0</v>
      </c>
      <c r="Y80" s="35">
        <f t="shared" si="157"/>
        <v>0</v>
      </c>
      <c r="Z80" s="35">
        <f t="shared" ref="Z80:AD80" si="175">Z57</f>
        <v>6</v>
      </c>
      <c r="AA80" s="35">
        <f t="shared" si="175"/>
        <v>0</v>
      </c>
      <c r="AB80" s="35">
        <f t="shared" si="175"/>
        <v>0</v>
      </c>
      <c r="AC80" s="35">
        <f t="shared" si="175"/>
        <v>0</v>
      </c>
      <c r="AD80" s="35">
        <f t="shared" si="175"/>
        <v>0</v>
      </c>
      <c r="AE80" s="35">
        <f t="shared" ref="AE80:AI80" si="176">AE57</f>
        <v>0</v>
      </c>
      <c r="AF80" s="35">
        <f t="shared" si="176"/>
        <v>3</v>
      </c>
      <c r="AG80" s="35">
        <f t="shared" si="176"/>
        <v>6.8033472619291651</v>
      </c>
      <c r="AH80" s="35">
        <f t="shared" si="176"/>
        <v>2.9016736309645825</v>
      </c>
      <c r="AI80" s="35">
        <f t="shared" si="176"/>
        <v>0</v>
      </c>
      <c r="AJ80" s="35">
        <f>SUM(U$6:U80)+Z80+AE80</f>
        <v>6</v>
      </c>
      <c r="AK80" s="35">
        <f>SUM(V$6:V80)+AA80+AF80</f>
        <v>3</v>
      </c>
      <c r="AL80" s="35">
        <f>SUM(W$6:W80)+AB80+AG80</f>
        <v>6.8033472619291651</v>
      </c>
      <c r="AM80" s="35">
        <f>SUM(X$6:X80)+AC80+AH80</f>
        <v>2.9016736309645825</v>
      </c>
      <c r="AN80" s="35">
        <f>SUM(Y$6:Y80)+AD80+AI80</f>
        <v>0</v>
      </c>
      <c r="BP80" s="36">
        <v>0</v>
      </c>
      <c r="BQ80" s="36">
        <v>6.5958765213739099</v>
      </c>
      <c r="BR80" s="36">
        <v>5.4258933632712676</v>
      </c>
      <c r="BS80" s="36">
        <v>0</v>
      </c>
      <c r="BT80" s="36">
        <v>0</v>
      </c>
    </row>
    <row r="81" spans="10:72" x14ac:dyDescent="0.15">
      <c r="J81" s="46">
        <v>7</v>
      </c>
      <c r="K81" s="45">
        <f>求节点(节奏总纲!$Z$4:$Z$83,节奏总纲!$AD$4:$AD$83,基础状态预估!C94)</f>
        <v>49.848538197196007</v>
      </c>
      <c r="L81" s="45">
        <f>基础状态预估!D94</f>
        <v>64.756218484668864</v>
      </c>
      <c r="M81" s="35">
        <f>基础状态预估!E94</f>
        <v>7</v>
      </c>
      <c r="N81" s="35" t="e">
        <f>$L$1*(求节点('[1]资源-钻石'!$K$4:$K$113,'[1]资源-钻石'!$O$4:$O$113,L81))</f>
        <v>#VALUE!</v>
      </c>
      <c r="O81" s="26">
        <f t="shared" ref="O81:S81" si="177">O58</f>
        <v>0</v>
      </c>
      <c r="P81" s="26">
        <f t="shared" si="177"/>
        <v>0</v>
      </c>
      <c r="Q81" s="26">
        <f t="shared" si="177"/>
        <v>0</v>
      </c>
      <c r="R81" s="26">
        <f t="shared" si="177"/>
        <v>0</v>
      </c>
      <c r="S81" s="26">
        <f t="shared" si="177"/>
        <v>0</v>
      </c>
      <c r="T81" s="35" t="e">
        <f t="shared" si="165"/>
        <v>#VALUE!</v>
      </c>
      <c r="U81" s="35">
        <f t="shared" si="161"/>
        <v>0</v>
      </c>
      <c r="V81" s="35">
        <f t="shared" si="154"/>
        <v>0</v>
      </c>
      <c r="W81" s="35">
        <f t="shared" si="155"/>
        <v>0</v>
      </c>
      <c r="X81" s="35">
        <f t="shared" si="156"/>
        <v>0</v>
      </c>
      <c r="Y81" s="35">
        <f t="shared" si="157"/>
        <v>0</v>
      </c>
      <c r="Z81" s="35">
        <f t="shared" ref="Z81:AD81" si="178">Z58</f>
        <v>6</v>
      </c>
      <c r="AA81" s="35">
        <f t="shared" si="178"/>
        <v>1</v>
      </c>
      <c r="AB81" s="35">
        <f t="shared" si="178"/>
        <v>0</v>
      </c>
      <c r="AC81" s="35">
        <f t="shared" si="178"/>
        <v>0</v>
      </c>
      <c r="AD81" s="35">
        <f t="shared" si="178"/>
        <v>0</v>
      </c>
      <c r="AE81" s="35">
        <f t="shared" ref="AE81:AI81" si="179">AE58</f>
        <v>0</v>
      </c>
      <c r="AF81" s="35">
        <f t="shared" si="179"/>
        <v>3</v>
      </c>
      <c r="AG81" s="35">
        <f t="shared" si="179"/>
        <v>14.803049356141431</v>
      </c>
      <c r="AH81" s="35">
        <f t="shared" si="179"/>
        <v>6.9015246780707153</v>
      </c>
      <c r="AI81" s="35">
        <f t="shared" si="179"/>
        <v>0</v>
      </c>
      <c r="AJ81" s="35">
        <f>SUM(U$6:U81)+Z81+AE81</f>
        <v>6</v>
      </c>
      <c r="AK81" s="35">
        <f>SUM(V$6:V81)+AA81+AF81</f>
        <v>4</v>
      </c>
      <c r="AL81" s="35">
        <f>SUM(W$6:W81)+AB81+AG81</f>
        <v>14.803049356141431</v>
      </c>
      <c r="AM81" s="35">
        <f>SUM(X$6:X81)+AC81+AH81</f>
        <v>6.9015246780707153</v>
      </c>
      <c r="AN81" s="35">
        <f>SUM(Y$6:Y81)+AD81+AI81</f>
        <v>0</v>
      </c>
      <c r="BP81" s="36">
        <v>0</v>
      </c>
      <c r="BQ81" s="36">
        <v>6.5958765213739099</v>
      </c>
      <c r="BR81" s="36">
        <v>5.4258933632712676</v>
      </c>
      <c r="BS81" s="36">
        <v>1.7016952994647152</v>
      </c>
      <c r="BT81" s="36">
        <v>0</v>
      </c>
    </row>
    <row r="82" spans="10:72" x14ac:dyDescent="0.15">
      <c r="J82" s="46">
        <v>8</v>
      </c>
      <c r="K82" s="45">
        <f>求节点(节奏总纲!$Z$4:$Z$83,节奏总纲!$AD$4:$AD$83,基础状态预估!C95)</f>
        <v>90.273217467309593</v>
      </c>
      <c r="L82" s="45">
        <f>基础状态预估!D95</f>
        <v>73.446658299619131</v>
      </c>
      <c r="M82" s="35">
        <f>基础状态预估!E95</f>
        <v>8</v>
      </c>
      <c r="N82" s="35" t="e">
        <f>$L$1*(求节点('[1]资源-钻石'!$K$4:$K$113,'[1]资源-钻石'!$O$4:$O$113,L82))</f>
        <v>#VALUE!</v>
      </c>
      <c r="O82" s="26">
        <f t="shared" ref="O82:S82" si="180">O59</f>
        <v>0</v>
      </c>
      <c r="P82" s="26">
        <f t="shared" si="180"/>
        <v>0</v>
      </c>
      <c r="Q82" s="26">
        <f t="shared" si="180"/>
        <v>0</v>
      </c>
      <c r="R82" s="26">
        <f t="shared" si="180"/>
        <v>0</v>
      </c>
      <c r="S82" s="26">
        <f t="shared" si="180"/>
        <v>0</v>
      </c>
      <c r="T82" s="35" t="e">
        <f t="shared" si="165"/>
        <v>#VALUE!</v>
      </c>
      <c r="U82" s="35">
        <f t="shared" si="161"/>
        <v>0</v>
      </c>
      <c r="V82" s="35">
        <f t="shared" si="154"/>
        <v>0</v>
      </c>
      <c r="W82" s="35">
        <f t="shared" si="155"/>
        <v>0</v>
      </c>
      <c r="X82" s="35">
        <f t="shared" si="156"/>
        <v>0</v>
      </c>
      <c r="Y82" s="35">
        <f t="shared" si="157"/>
        <v>0</v>
      </c>
      <c r="Z82" s="35">
        <f t="shared" ref="Z82:AD82" si="181">Z59</f>
        <v>6</v>
      </c>
      <c r="AA82" s="35">
        <f t="shared" si="181"/>
        <v>2</v>
      </c>
      <c r="AB82" s="35">
        <f t="shared" si="181"/>
        <v>0</v>
      </c>
      <c r="AC82" s="35">
        <f t="shared" si="181"/>
        <v>0</v>
      </c>
      <c r="AD82" s="35">
        <f t="shared" si="181"/>
        <v>0</v>
      </c>
      <c r="AE82" s="35">
        <f t="shared" ref="AE82:AI82" si="182">AE59</f>
        <v>0</v>
      </c>
      <c r="AF82" s="35">
        <f t="shared" si="182"/>
        <v>3</v>
      </c>
      <c r="AG82" s="35">
        <f t="shared" si="182"/>
        <v>29.24043480975342</v>
      </c>
      <c r="AH82" s="35">
        <f t="shared" si="182"/>
        <v>14.12021740487671</v>
      </c>
      <c r="AI82" s="35">
        <f t="shared" si="182"/>
        <v>0</v>
      </c>
      <c r="AJ82" s="35">
        <f>SUM(U$6:U82)+Z82+AE82</f>
        <v>6</v>
      </c>
      <c r="AK82" s="35">
        <f>SUM(V$6:V82)+AA82+AF82</f>
        <v>5</v>
      </c>
      <c r="AL82" s="35">
        <f>SUM(W$6:W82)+AB82+AG82</f>
        <v>29.24043480975342</v>
      </c>
      <c r="AM82" s="35">
        <f>SUM(X$6:X82)+AC82+AH82</f>
        <v>14.12021740487671</v>
      </c>
      <c r="AN82" s="35">
        <f>SUM(Y$6:Y82)+AD82+AI82</f>
        <v>0</v>
      </c>
      <c r="BP82" s="36">
        <v>0</v>
      </c>
      <c r="BQ82" s="36">
        <v>6.5958765213739099</v>
      </c>
      <c r="BR82" s="36">
        <v>5.4258933632712676</v>
      </c>
      <c r="BS82" s="36">
        <v>3.4057830384772956</v>
      </c>
      <c r="BT82" s="36">
        <v>0</v>
      </c>
    </row>
    <row r="83" spans="10:72" x14ac:dyDescent="0.15">
      <c r="J83" s="46">
        <v>9</v>
      </c>
      <c r="K83" s="45">
        <f>求节点(节奏总纲!$Z$4:$Z$83,节奏总纲!$AD$4:$AD$83,基础状态预估!C96)</f>
        <v>163.13415930738643</v>
      </c>
      <c r="L83" s="45">
        <f>基础状态预估!D96</f>
        <v>82.027450452783569</v>
      </c>
      <c r="M83" s="35">
        <f>基础状态预估!E96</f>
        <v>9</v>
      </c>
      <c r="N83" s="35" t="e">
        <f>$L$1*(求节点('[1]资源-钻石'!$K$4:$K$113,'[1]资源-钻石'!$O$4:$O$113,L83))</f>
        <v>#VALUE!</v>
      </c>
      <c r="O83" s="26">
        <f t="shared" ref="O83:S83" si="183">O60</f>
        <v>0</v>
      </c>
      <c r="P83" s="26">
        <f t="shared" si="183"/>
        <v>0</v>
      </c>
      <c r="Q83" s="26">
        <f t="shared" si="183"/>
        <v>0</v>
      </c>
      <c r="R83" s="26">
        <f t="shared" si="183"/>
        <v>0</v>
      </c>
      <c r="S83" s="26">
        <f t="shared" si="183"/>
        <v>0</v>
      </c>
      <c r="T83" s="35" t="e">
        <f t="shared" si="165"/>
        <v>#VALUE!</v>
      </c>
      <c r="U83" s="35">
        <f t="shared" si="161"/>
        <v>0</v>
      </c>
      <c r="V83" s="35">
        <f t="shared" si="154"/>
        <v>0</v>
      </c>
      <c r="W83" s="35">
        <f t="shared" si="155"/>
        <v>0</v>
      </c>
      <c r="X83" s="35">
        <f t="shared" si="156"/>
        <v>0</v>
      </c>
      <c r="Y83" s="35">
        <f t="shared" si="157"/>
        <v>0</v>
      </c>
      <c r="Z83" s="35">
        <f t="shared" ref="Z83:AD83" si="184">Z60</f>
        <v>6</v>
      </c>
      <c r="AA83" s="35">
        <f t="shared" si="184"/>
        <v>3</v>
      </c>
      <c r="AB83" s="35">
        <f t="shared" si="184"/>
        <v>0</v>
      </c>
      <c r="AC83" s="35">
        <f t="shared" si="184"/>
        <v>0</v>
      </c>
      <c r="AD83" s="35">
        <f t="shared" si="184"/>
        <v>0</v>
      </c>
      <c r="AE83" s="35">
        <f t="shared" ref="AE83:AI83" si="185">AE60</f>
        <v>0</v>
      </c>
      <c r="AF83" s="35">
        <f t="shared" si="185"/>
        <v>3.7188638139981709</v>
      </c>
      <c r="AG83" s="35">
        <f t="shared" si="185"/>
        <v>53.303714667307112</v>
      </c>
      <c r="AH83" s="35">
        <f t="shared" si="185"/>
        <v>26.032046697987195</v>
      </c>
      <c r="AI83" s="35">
        <f t="shared" si="185"/>
        <v>0</v>
      </c>
      <c r="AJ83" s="35">
        <f>SUM(U$6:U83)+Z83+AE83</f>
        <v>6</v>
      </c>
      <c r="AK83" s="35">
        <f>SUM(V$6:V83)+AA83+AF83</f>
        <v>6.7188638139981709</v>
      </c>
      <c r="AL83" s="35">
        <f>SUM(W$6:W83)+AB83+AG83</f>
        <v>53.303714667307112</v>
      </c>
      <c r="AM83" s="35">
        <f>SUM(X$6:X83)+AC83+AH83</f>
        <v>26.032046697987195</v>
      </c>
      <c r="AN83" s="35">
        <f>SUM(Y$6:Y83)+AD83+AI83</f>
        <v>0</v>
      </c>
      <c r="BP83" s="36">
        <v>0</v>
      </c>
      <c r="BQ83" s="36">
        <v>6.5958765213739099</v>
      </c>
      <c r="BR83" s="36">
        <v>5.4258933632712676</v>
      </c>
      <c r="BS83" s="36">
        <v>5.1070027526733064</v>
      </c>
      <c r="BT83" s="36">
        <v>0</v>
      </c>
    </row>
    <row r="84" spans="10:72" x14ac:dyDescent="0.15">
      <c r="J84" s="46">
        <v>10</v>
      </c>
      <c r="K84" s="45">
        <f>求节点(节奏总纲!$Z$4:$Z$83,节奏总纲!$AD$4:$AD$83,基础状态预估!C97)</f>
        <v>315.94120754775781</v>
      </c>
      <c r="L84" s="45">
        <f>基础状态预估!D97</f>
        <v>93.208444061349098</v>
      </c>
      <c r="M84" s="35">
        <f>基础状态预估!E97</f>
        <v>10</v>
      </c>
      <c r="N84" s="35" t="e">
        <f>$L$1*(求节点('[1]资源-钻石'!$K$4:$K$113,'[1]资源-钻石'!$O$4:$O$113,L84))</f>
        <v>#VALUE!</v>
      </c>
      <c r="O84" s="26">
        <f t="shared" ref="O84:S84" si="186">O61</f>
        <v>0</v>
      </c>
      <c r="P84" s="26">
        <f t="shared" si="186"/>
        <v>0</v>
      </c>
      <c r="Q84" s="26">
        <f t="shared" si="186"/>
        <v>0</v>
      </c>
      <c r="R84" s="26">
        <f t="shared" si="186"/>
        <v>0</v>
      </c>
      <c r="S84" s="26">
        <f t="shared" si="186"/>
        <v>0</v>
      </c>
      <c r="T84" s="35" t="e">
        <f t="shared" si="165"/>
        <v>#VALUE!</v>
      </c>
      <c r="U84" s="35">
        <f t="shared" si="161"/>
        <v>0</v>
      </c>
      <c r="V84" s="35">
        <f t="shared" si="154"/>
        <v>0</v>
      </c>
      <c r="W84" s="35">
        <f t="shared" si="155"/>
        <v>0</v>
      </c>
      <c r="X84" s="35">
        <f t="shared" si="156"/>
        <v>0</v>
      </c>
      <c r="Y84" s="35">
        <f t="shared" si="157"/>
        <v>0</v>
      </c>
      <c r="Z84" s="35">
        <f t="shared" ref="Z84:AD84" si="187">Z61</f>
        <v>6</v>
      </c>
      <c r="AA84" s="35">
        <f t="shared" si="187"/>
        <v>4</v>
      </c>
      <c r="AB84" s="35">
        <f t="shared" si="187"/>
        <v>0</v>
      </c>
      <c r="AC84" s="35">
        <f t="shared" si="187"/>
        <v>0</v>
      </c>
      <c r="AD84" s="35">
        <f t="shared" si="187"/>
        <v>0</v>
      </c>
      <c r="AE84" s="35">
        <f t="shared" ref="AE84:AI84" si="188">AE61</f>
        <v>0</v>
      </c>
      <c r="AF84" s="35">
        <f t="shared" si="188"/>
        <v>7.202307162942807</v>
      </c>
      <c r="AG84" s="35">
        <f t="shared" si="188"/>
        <v>103.23306933551356</v>
      </c>
      <c r="AH84" s="35">
        <f t="shared" si="188"/>
        <v>50.416150140599648</v>
      </c>
      <c r="AI84" s="35">
        <f t="shared" si="188"/>
        <v>0</v>
      </c>
      <c r="AJ84" s="35">
        <f>SUM(U$6:U84)+Z84+AE84</f>
        <v>6</v>
      </c>
      <c r="AK84" s="35">
        <f>SUM(V$6:V84)+AA84+AF84</f>
        <v>11.202307162942807</v>
      </c>
      <c r="AL84" s="35">
        <f>SUM(W$6:W84)+AB84+AG84</f>
        <v>103.23306933551356</v>
      </c>
      <c r="AM84" s="35">
        <f>SUM(X$6:X84)+AC84+AH84</f>
        <v>50.416150140599648</v>
      </c>
      <c r="AN84" s="35">
        <f>SUM(Y$6:Y84)+AD84+AI84</f>
        <v>0</v>
      </c>
      <c r="BP84" s="36">
        <v>0</v>
      </c>
      <c r="BQ84" s="36">
        <v>6.5958765213739099</v>
      </c>
      <c r="BR84" s="36">
        <v>5.4258933632712676</v>
      </c>
      <c r="BS84" s="36">
        <v>6.3834013101230944</v>
      </c>
      <c r="BT84" s="36">
        <v>0</v>
      </c>
    </row>
    <row r="85" spans="10:72" x14ac:dyDescent="0.15">
      <c r="J85" s="46">
        <v>11</v>
      </c>
      <c r="K85" s="45">
        <f>求节点(节奏总纲!$Z$4:$Z$83,节奏总纲!$AD$4:$AD$83,基础状态预估!C98)</f>
        <v>659.12993710814465</v>
      </c>
      <c r="L85" s="45">
        <f>基础状态预估!D98</f>
        <v>103.87052361677672</v>
      </c>
      <c r="M85" s="45">
        <f>基础状态预估!E98</f>
        <v>11</v>
      </c>
      <c r="N85" s="45" t="e">
        <f>$L$1*(求节点('[1]资源-钻石'!$K$4:$K$113,'[1]资源-钻石'!$O$4:$O$113,L85))</f>
        <v>#VALUE!</v>
      </c>
      <c r="O85" s="26">
        <f t="shared" ref="O85:S85" si="189">O62</f>
        <v>0</v>
      </c>
      <c r="P85" s="26">
        <f t="shared" si="189"/>
        <v>0</v>
      </c>
      <c r="Q85" s="26">
        <f t="shared" si="189"/>
        <v>0</v>
      </c>
      <c r="R85" s="26">
        <f t="shared" si="189"/>
        <v>0</v>
      </c>
      <c r="S85" s="26">
        <f t="shared" si="189"/>
        <v>0</v>
      </c>
      <c r="T85" s="45" t="e">
        <f t="shared" ref="T85:T90" si="190">N85-N84</f>
        <v>#VALUE!</v>
      </c>
      <c r="U85" s="45">
        <f t="shared" ref="U85:U90" si="191">IFERROR($T85/SUMPRODUCT($C$4:$G$4,$O85:$S85)*O85,0)</f>
        <v>0</v>
      </c>
      <c r="V85" s="45">
        <f t="shared" ref="V85:V90" si="192">IFERROR($T85/SUMPRODUCT($C$4:$G$4,$O85:$S85)*P85,0)</f>
        <v>0</v>
      </c>
      <c r="W85" s="45">
        <f t="shared" ref="W85:W90" si="193">IFERROR($T85/SUMPRODUCT($C$4:$G$4,$O85:$S85)*Q85,0)</f>
        <v>0</v>
      </c>
      <c r="X85" s="45">
        <f t="shared" ref="X85:X90" si="194">IFERROR($T85/SUMPRODUCT($C$4:$G$4,$O85:$S85)*R85,0)</f>
        <v>0</v>
      </c>
      <c r="Y85" s="45">
        <f t="shared" ref="Y85:Y90" si="195">IFERROR($T85/SUMPRODUCT($C$4:$G$4,$O85:$S85)*S85,0)</f>
        <v>0</v>
      </c>
      <c r="Z85" s="45">
        <f t="shared" ref="Z85:AI85" si="196">Z62</f>
        <v>6</v>
      </c>
      <c r="AA85" s="45">
        <f t="shared" si="196"/>
        <v>5</v>
      </c>
      <c r="AB85" s="45">
        <f t="shared" si="196"/>
        <v>0</v>
      </c>
      <c r="AC85" s="45">
        <f t="shared" si="196"/>
        <v>0</v>
      </c>
      <c r="AD85" s="45">
        <f t="shared" si="196"/>
        <v>0</v>
      </c>
      <c r="AE85" s="45">
        <f t="shared" si="196"/>
        <v>0</v>
      </c>
      <c r="AF85" s="45">
        <f t="shared" si="196"/>
        <v>15.025758444714542</v>
      </c>
      <c r="AG85" s="45">
        <f t="shared" si="196"/>
        <v>215.36920437424178</v>
      </c>
      <c r="AH85" s="45">
        <f t="shared" si="196"/>
        <v>105.1803091130018</v>
      </c>
      <c r="AI85" s="45">
        <f t="shared" si="196"/>
        <v>0</v>
      </c>
      <c r="AJ85" s="45">
        <f>SUM(U$6:U85)+Z85+AE85</f>
        <v>6</v>
      </c>
      <c r="AK85" s="45">
        <f>SUM(V$6:V85)+AA85+AF85</f>
        <v>20.02575844471454</v>
      </c>
      <c r="AL85" s="45">
        <f>SUM(W$6:W85)+AB85+AG85</f>
        <v>215.36920437424178</v>
      </c>
      <c r="AM85" s="45">
        <f>SUM(X$6:X85)+AC85+AH85</f>
        <v>105.1803091130018</v>
      </c>
      <c r="AN85" s="45">
        <f>SUM(Y$6:Y85)+AD85+AI85</f>
        <v>0</v>
      </c>
    </row>
    <row r="86" spans="10:72" x14ac:dyDescent="0.15">
      <c r="J86" s="46">
        <v>12</v>
      </c>
      <c r="K86" s="45">
        <f>求节点(节奏总纲!$Z$4:$Z$83,节奏总纲!$AD$4:$AD$83,基础状态预估!C99)</f>
        <v>1372.540918241546</v>
      </c>
      <c r="L86" s="45">
        <f>基础状态预估!D99</f>
        <v>114.60606674176169</v>
      </c>
      <c r="M86" s="45">
        <f>基础状态预估!E99</f>
        <v>12</v>
      </c>
      <c r="N86" s="45" t="e">
        <f>$L$1*(求节点('[1]资源-钻石'!$K$4:$K$113,'[1]资源-钻石'!$O$4:$O$113,L86))</f>
        <v>#VALUE!</v>
      </c>
      <c r="O86" s="26">
        <f t="shared" ref="O86:S86" si="197">O63</f>
        <v>0</v>
      </c>
      <c r="P86" s="26">
        <f t="shared" si="197"/>
        <v>0</v>
      </c>
      <c r="Q86" s="26">
        <f t="shared" si="197"/>
        <v>0</v>
      </c>
      <c r="R86" s="26">
        <f t="shared" si="197"/>
        <v>0</v>
      </c>
      <c r="S86" s="26">
        <f t="shared" si="197"/>
        <v>0</v>
      </c>
      <c r="T86" s="45" t="e">
        <f t="shared" si="190"/>
        <v>#VALUE!</v>
      </c>
      <c r="U86" s="45">
        <f t="shared" si="191"/>
        <v>0</v>
      </c>
      <c r="V86" s="45">
        <f t="shared" si="192"/>
        <v>0</v>
      </c>
      <c r="W86" s="45">
        <f t="shared" si="193"/>
        <v>0</v>
      </c>
      <c r="X86" s="45">
        <f t="shared" si="194"/>
        <v>0</v>
      </c>
      <c r="Y86" s="45">
        <f t="shared" si="195"/>
        <v>0</v>
      </c>
      <c r="Z86" s="45">
        <f t="shared" ref="Z86:AI86" si="198">Z63</f>
        <v>6</v>
      </c>
      <c r="AA86" s="45">
        <f t="shared" si="198"/>
        <v>6</v>
      </c>
      <c r="AB86" s="45">
        <f t="shared" si="198"/>
        <v>0</v>
      </c>
      <c r="AC86" s="45">
        <f t="shared" si="198"/>
        <v>0</v>
      </c>
      <c r="AD86" s="45">
        <f t="shared" si="198"/>
        <v>0</v>
      </c>
      <c r="AE86" s="45">
        <f t="shared" si="198"/>
        <v>0</v>
      </c>
      <c r="AF86" s="45">
        <f t="shared" si="198"/>
        <v>31.288926707634023</v>
      </c>
      <c r="AG86" s="45">
        <f t="shared" si="198"/>
        <v>448.47461614275431</v>
      </c>
      <c r="AH86" s="45">
        <f t="shared" si="198"/>
        <v>219.02248695343815</v>
      </c>
      <c r="AI86" s="45">
        <f t="shared" si="198"/>
        <v>0</v>
      </c>
      <c r="AJ86" s="45">
        <f>SUM(U$6:U86)+Z86+AE86</f>
        <v>6</v>
      </c>
      <c r="AK86" s="45">
        <f>SUM(V$6:V86)+AA86+AF86</f>
        <v>37.288926707634019</v>
      </c>
      <c r="AL86" s="45">
        <f>SUM(W$6:W86)+AB86+AG86</f>
        <v>448.47461614275431</v>
      </c>
      <c r="AM86" s="45">
        <f>SUM(X$6:X86)+AC86+AH86</f>
        <v>219.02248695343815</v>
      </c>
      <c r="AN86" s="45">
        <f>SUM(Y$6:Y86)+AD86+AI86</f>
        <v>0</v>
      </c>
    </row>
    <row r="87" spans="10:72" x14ac:dyDescent="0.15">
      <c r="J87" s="46">
        <v>13</v>
      </c>
      <c r="K87" s="45">
        <f>求节点(节奏总纲!$Z$4:$Z$83,节奏总纲!$AD$4:$AD$83,基础状态预估!C100)</f>
        <v>2853.4199245336076</v>
      </c>
      <c r="L87" s="45">
        <f>基础状态预估!D100</f>
        <v>125.19410714767859</v>
      </c>
      <c r="M87" s="45">
        <f>基础状态预估!E100</f>
        <v>13</v>
      </c>
      <c r="N87" s="45" t="e">
        <f>$L$1*(求节点('[1]资源-钻石'!$K$4:$K$113,'[1]资源-钻石'!$O$4:$O$113,L87))</f>
        <v>#VALUE!</v>
      </c>
      <c r="O87" s="26">
        <f t="shared" ref="O87:S87" si="199">O64</f>
        <v>0</v>
      </c>
      <c r="P87" s="26">
        <f t="shared" si="199"/>
        <v>0</v>
      </c>
      <c r="Q87" s="26">
        <f t="shared" si="199"/>
        <v>0</v>
      </c>
      <c r="R87" s="26">
        <f t="shared" si="199"/>
        <v>0</v>
      </c>
      <c r="S87" s="26">
        <f t="shared" si="199"/>
        <v>0</v>
      </c>
      <c r="T87" s="45" t="e">
        <f t="shared" si="190"/>
        <v>#VALUE!</v>
      </c>
      <c r="U87" s="45">
        <f t="shared" si="191"/>
        <v>0</v>
      </c>
      <c r="V87" s="45">
        <f t="shared" si="192"/>
        <v>0</v>
      </c>
      <c r="W87" s="45">
        <f t="shared" si="193"/>
        <v>0</v>
      </c>
      <c r="X87" s="45">
        <f t="shared" si="194"/>
        <v>0</v>
      </c>
      <c r="Y87" s="45">
        <f t="shared" si="195"/>
        <v>0</v>
      </c>
      <c r="Z87" s="45">
        <f t="shared" ref="Z87:AI87" si="200">Z64</f>
        <v>6</v>
      </c>
      <c r="AA87" s="45">
        <f t="shared" si="200"/>
        <v>6</v>
      </c>
      <c r="AB87" s="45">
        <f t="shared" si="200"/>
        <v>1</v>
      </c>
      <c r="AC87" s="45">
        <f t="shared" si="200"/>
        <v>0</v>
      </c>
      <c r="AD87" s="45">
        <f t="shared" si="200"/>
        <v>0</v>
      </c>
      <c r="AE87" s="45">
        <f t="shared" si="200"/>
        <v>0</v>
      </c>
      <c r="AF87" s="45">
        <f t="shared" si="200"/>
        <v>65.047566668699261</v>
      </c>
      <c r="AG87" s="45">
        <f t="shared" si="200"/>
        <v>932.3484555846893</v>
      </c>
      <c r="AH87" s="45">
        <f t="shared" si="200"/>
        <v>455.3329666808948</v>
      </c>
      <c r="AI87" s="45">
        <f t="shared" si="200"/>
        <v>0</v>
      </c>
      <c r="AJ87" s="45">
        <f>SUM(U$6:U87)+Z87+AE87</f>
        <v>6</v>
      </c>
      <c r="AK87" s="45">
        <f>SUM(V$6:V87)+AA87+AF87</f>
        <v>71.047566668699261</v>
      </c>
      <c r="AL87" s="45">
        <f>SUM(W$6:W87)+AB87+AG87</f>
        <v>933.3484555846893</v>
      </c>
      <c r="AM87" s="45">
        <f>SUM(X$6:X87)+AC87+AH87</f>
        <v>455.3329666808948</v>
      </c>
      <c r="AN87" s="45">
        <f>SUM(Y$6:Y87)+AD87+AI87</f>
        <v>0</v>
      </c>
    </row>
    <row r="88" spans="10:72" x14ac:dyDescent="0.15">
      <c r="J88" s="46">
        <v>14</v>
      </c>
      <c r="K88" s="45">
        <f>求节点(节奏总纲!$Z$4:$Z$83,节奏总纲!$AD$4:$AD$83,基础状态预估!C101)</f>
        <v>5923.2820251682469</v>
      </c>
      <c r="L88" s="45">
        <f>基础状态预估!D101</f>
        <v>135.89542876835631</v>
      </c>
      <c r="M88" s="45">
        <f>基础状态预估!E101</f>
        <v>14</v>
      </c>
      <c r="N88" s="45" t="e">
        <f>$L$1*(求节点('[1]资源-钻石'!$K$4:$K$113,'[1]资源-钻石'!$O$4:$O$113,L88))</f>
        <v>#VALUE!</v>
      </c>
      <c r="O88" s="26">
        <f t="shared" ref="O88:S88" si="201">O65</f>
        <v>0</v>
      </c>
      <c r="P88" s="26">
        <f t="shared" si="201"/>
        <v>0</v>
      </c>
      <c r="Q88" s="26">
        <f t="shared" si="201"/>
        <v>0</v>
      </c>
      <c r="R88" s="26">
        <f t="shared" si="201"/>
        <v>0</v>
      </c>
      <c r="S88" s="26">
        <f t="shared" si="201"/>
        <v>0</v>
      </c>
      <c r="T88" s="45" t="e">
        <f t="shared" si="190"/>
        <v>#VALUE!</v>
      </c>
      <c r="U88" s="45">
        <f t="shared" si="191"/>
        <v>0</v>
      </c>
      <c r="V88" s="45">
        <f t="shared" si="192"/>
        <v>0</v>
      </c>
      <c r="W88" s="45">
        <f t="shared" si="193"/>
        <v>0</v>
      </c>
      <c r="X88" s="45">
        <f t="shared" si="194"/>
        <v>0</v>
      </c>
      <c r="Y88" s="45">
        <f t="shared" si="195"/>
        <v>0</v>
      </c>
      <c r="Z88" s="45">
        <f t="shared" ref="Z88:AI88" si="202">Z65</f>
        <v>6</v>
      </c>
      <c r="AA88" s="45">
        <f t="shared" si="202"/>
        <v>6</v>
      </c>
      <c r="AB88" s="45">
        <f t="shared" si="202"/>
        <v>2</v>
      </c>
      <c r="AC88" s="45">
        <f t="shared" si="202"/>
        <v>0</v>
      </c>
      <c r="AD88" s="45">
        <f t="shared" si="202"/>
        <v>0</v>
      </c>
      <c r="AE88" s="45">
        <f t="shared" si="202"/>
        <v>0</v>
      </c>
      <c r="AF88" s="45">
        <f t="shared" si="202"/>
        <v>135.02922549775639</v>
      </c>
      <c r="AG88" s="45">
        <f t="shared" si="202"/>
        <v>1935.4188988011747</v>
      </c>
      <c r="AH88" s="45">
        <f t="shared" si="202"/>
        <v>945.20457848429464</v>
      </c>
      <c r="AI88" s="45">
        <f t="shared" si="202"/>
        <v>0</v>
      </c>
      <c r="AJ88" s="45">
        <f>SUM(U$6:U88)+Z88+AE88</f>
        <v>6</v>
      </c>
      <c r="AK88" s="45">
        <f>SUM(V$6:V88)+AA88+AF88</f>
        <v>141.02922549775639</v>
      </c>
      <c r="AL88" s="45">
        <f>SUM(W$6:W88)+AB88+AG88</f>
        <v>1937.4188988011747</v>
      </c>
      <c r="AM88" s="45">
        <f>SUM(X$6:X88)+AC88+AH88</f>
        <v>945.20457848429464</v>
      </c>
      <c r="AN88" s="45">
        <f>SUM(Y$6:Y88)+AD88+AI88</f>
        <v>0</v>
      </c>
    </row>
    <row r="89" spans="10:72" x14ac:dyDescent="0.15">
      <c r="J89" s="46">
        <v>15</v>
      </c>
      <c r="K89" s="45">
        <f>求节点(节奏总纲!$Z$4:$Z$83,节奏总纲!$AD$4:$AD$83,基础状态预估!C102)</f>
        <v>12279.204402538555</v>
      </c>
      <c r="L89" s="45">
        <f>基础状态预估!D102</f>
        <v>146.55064673623977</v>
      </c>
      <c r="M89" s="45">
        <f>基础状态预估!E102</f>
        <v>15</v>
      </c>
      <c r="N89" s="45" t="e">
        <f>$L$1*(求节点('[1]资源-钻石'!$K$4:$K$113,'[1]资源-钻石'!$O$4:$O$113,L89))</f>
        <v>#VALUE!</v>
      </c>
      <c r="O89" s="26">
        <f t="shared" ref="O89:S89" si="203">O66</f>
        <v>0</v>
      </c>
      <c r="P89" s="26">
        <f t="shared" si="203"/>
        <v>0</v>
      </c>
      <c r="Q89" s="26">
        <f t="shared" si="203"/>
        <v>0</v>
      </c>
      <c r="R89" s="26">
        <f t="shared" si="203"/>
        <v>0</v>
      </c>
      <c r="S89" s="26">
        <f t="shared" si="203"/>
        <v>0</v>
      </c>
      <c r="T89" s="45" t="e">
        <f t="shared" si="190"/>
        <v>#VALUE!</v>
      </c>
      <c r="U89" s="45">
        <f t="shared" si="191"/>
        <v>0</v>
      </c>
      <c r="V89" s="45">
        <f t="shared" si="192"/>
        <v>0</v>
      </c>
      <c r="W89" s="45">
        <f t="shared" si="193"/>
        <v>0</v>
      </c>
      <c r="X89" s="45">
        <f t="shared" si="194"/>
        <v>0</v>
      </c>
      <c r="Y89" s="45">
        <f t="shared" si="195"/>
        <v>0</v>
      </c>
      <c r="Z89" s="45">
        <f t="shared" ref="Z89:AI89" si="204">Z66</f>
        <v>6</v>
      </c>
      <c r="AA89" s="45">
        <f t="shared" si="204"/>
        <v>6</v>
      </c>
      <c r="AB89" s="45">
        <f t="shared" si="204"/>
        <v>3</v>
      </c>
      <c r="AC89" s="45">
        <f t="shared" si="204"/>
        <v>0</v>
      </c>
      <c r="AD89" s="45">
        <f t="shared" si="204"/>
        <v>0</v>
      </c>
      <c r="AE89" s="45">
        <f t="shared" si="204"/>
        <v>0</v>
      </c>
      <c r="AF89" s="45">
        <f t="shared" si="204"/>
        <v>279.92107300619807</v>
      </c>
      <c r="AG89" s="45">
        <f t="shared" si="204"/>
        <v>4012.2020464221719</v>
      </c>
      <c r="AH89" s="45">
        <f t="shared" si="204"/>
        <v>1959.4475110433862</v>
      </c>
      <c r="AI89" s="45">
        <f t="shared" si="204"/>
        <v>0</v>
      </c>
      <c r="AJ89" s="45">
        <f>SUM(U$6:U89)+Z89+AE89</f>
        <v>6</v>
      </c>
      <c r="AK89" s="45">
        <f>SUM(V$6:V89)+AA89+AF89</f>
        <v>285.92107300619807</v>
      </c>
      <c r="AL89" s="45">
        <f>SUM(W$6:W89)+AB89+AG89</f>
        <v>4015.2020464221719</v>
      </c>
      <c r="AM89" s="45">
        <f>SUM(X$6:X89)+AC89+AH89</f>
        <v>1959.4475110433862</v>
      </c>
      <c r="AN89" s="45">
        <f>SUM(Y$6:Y89)+AD89+AI89</f>
        <v>0</v>
      </c>
    </row>
    <row r="90" spans="10:72" x14ac:dyDescent="0.15">
      <c r="J90" s="46">
        <v>16</v>
      </c>
      <c r="K90" s="45">
        <f>求节点(节奏总纲!$Z$4:$Z$83,节奏总纲!$AD$4:$AD$83,基础状态预估!C103)</f>
        <v>19005.150000000001</v>
      </c>
      <c r="L90" s="45">
        <f>基础状态预估!D103</f>
        <v>152.12605579164665</v>
      </c>
      <c r="M90" s="45">
        <f>基础状态预估!E103</f>
        <v>16</v>
      </c>
      <c r="N90" s="45" t="e">
        <f>$L$1*(求节点('[1]资源-钻石'!$K$4:$K$113,'[1]资源-钻石'!$O$4:$O$113,L90))</f>
        <v>#VALUE!</v>
      </c>
      <c r="O90" s="26">
        <f t="shared" ref="O90:S90" si="205">O67</f>
        <v>0</v>
      </c>
      <c r="P90" s="26">
        <f t="shared" si="205"/>
        <v>0</v>
      </c>
      <c r="Q90" s="26">
        <f t="shared" si="205"/>
        <v>0</v>
      </c>
      <c r="R90" s="26">
        <f t="shared" si="205"/>
        <v>0</v>
      </c>
      <c r="S90" s="26">
        <f t="shared" si="205"/>
        <v>0</v>
      </c>
      <c r="T90" s="45" t="e">
        <f t="shared" si="190"/>
        <v>#VALUE!</v>
      </c>
      <c r="U90" s="45">
        <f t="shared" si="191"/>
        <v>0</v>
      </c>
      <c r="V90" s="45">
        <f t="shared" si="192"/>
        <v>0</v>
      </c>
      <c r="W90" s="45">
        <f t="shared" si="193"/>
        <v>0</v>
      </c>
      <c r="X90" s="45">
        <f t="shared" si="194"/>
        <v>0</v>
      </c>
      <c r="Y90" s="45">
        <f t="shared" si="195"/>
        <v>0</v>
      </c>
      <c r="Z90" s="45">
        <f t="shared" ref="Z90:AI90" si="206">Z67</f>
        <v>6</v>
      </c>
      <c r="AA90" s="45">
        <f t="shared" si="206"/>
        <v>6</v>
      </c>
      <c r="AB90" s="45">
        <f t="shared" si="206"/>
        <v>4</v>
      </c>
      <c r="AC90" s="45">
        <f t="shared" si="206"/>
        <v>0</v>
      </c>
      <c r="AD90" s="45">
        <f t="shared" si="206"/>
        <v>0</v>
      </c>
      <c r="AE90" s="45">
        <f t="shared" si="206"/>
        <v>0</v>
      </c>
      <c r="AF90" s="45">
        <f t="shared" si="206"/>
        <v>433.24810030395133</v>
      </c>
      <c r="AG90" s="45">
        <f t="shared" si="206"/>
        <v>6209.8894376899689</v>
      </c>
      <c r="AH90" s="45">
        <f t="shared" si="206"/>
        <v>3032.7367021276596</v>
      </c>
      <c r="AI90" s="45">
        <f t="shared" si="206"/>
        <v>0</v>
      </c>
      <c r="AJ90" s="45">
        <f>SUM(U$6:U90)+Z90+AE90</f>
        <v>6</v>
      </c>
      <c r="AK90" s="45">
        <f>SUM(V$6:V90)+AA90+AF90</f>
        <v>439.24810030395133</v>
      </c>
      <c r="AL90" s="45">
        <f>SUM(W$6:W90)+AB90+AG90</f>
        <v>6213.8894376899689</v>
      </c>
      <c r="AM90" s="45">
        <f>SUM(X$6:X90)+AC90+AH90</f>
        <v>3032.7367021276596</v>
      </c>
      <c r="AN90" s="45">
        <f>SUM(Y$6:Y90)+AD90+AI90</f>
        <v>0</v>
      </c>
    </row>
    <row r="92" spans="10:72" x14ac:dyDescent="0.15">
      <c r="K92" s="37"/>
      <c r="L92" s="37"/>
      <c r="M92" s="37"/>
      <c r="N92" s="37"/>
      <c r="O92" s="37"/>
      <c r="P92" s="37"/>
      <c r="Q92" s="37"/>
      <c r="R92" s="37"/>
      <c r="S92" s="37"/>
      <c r="T92" s="37"/>
    </row>
    <row r="95" spans="10:72" x14ac:dyDescent="0.15">
      <c r="K95" s="129" t="s">
        <v>20</v>
      </c>
      <c r="L95" s="129"/>
      <c r="M95" s="129"/>
      <c r="N95" s="129"/>
      <c r="O95" s="129" t="s">
        <v>80</v>
      </c>
      <c r="P95" s="129"/>
      <c r="Q95" s="129"/>
      <c r="R95" s="129"/>
      <c r="S95" s="129"/>
      <c r="T95" s="129"/>
      <c r="U95" s="129"/>
      <c r="V95" s="129"/>
      <c r="W95" s="129"/>
      <c r="X95" s="129"/>
      <c r="Y95" s="129"/>
      <c r="Z95" s="129" t="s">
        <v>85</v>
      </c>
      <c r="AA95" s="129"/>
      <c r="AB95" s="129"/>
      <c r="AC95" s="129"/>
      <c r="AD95" s="129"/>
      <c r="AE95" s="129" t="s">
        <v>115</v>
      </c>
      <c r="AF95" s="129"/>
      <c r="AG95" s="129"/>
      <c r="AH95" s="129"/>
      <c r="AI95" s="129"/>
      <c r="AJ95" s="129" t="s">
        <v>42</v>
      </c>
      <c r="AK95" s="129"/>
      <c r="AL95" s="129"/>
      <c r="AM95" s="129"/>
      <c r="AN95" s="129"/>
      <c r="BP95" s="36" t="s">
        <v>42</v>
      </c>
    </row>
    <row r="96" spans="10:72" x14ac:dyDescent="0.15">
      <c r="K96" s="129"/>
      <c r="L96" s="129"/>
      <c r="M96" s="129"/>
      <c r="N96" s="129"/>
      <c r="O96" s="129" t="s">
        <v>81</v>
      </c>
      <c r="P96" s="129"/>
      <c r="Q96" s="129"/>
      <c r="R96" s="129"/>
      <c r="S96" s="129"/>
      <c r="T96" s="137" t="s">
        <v>82</v>
      </c>
      <c r="U96" s="129" t="s">
        <v>83</v>
      </c>
      <c r="V96" s="129"/>
      <c r="W96" s="129"/>
      <c r="X96" s="129"/>
      <c r="Y96" s="129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J96" s="129"/>
      <c r="AK96" s="129"/>
      <c r="AL96" s="129"/>
      <c r="AM96" s="129"/>
      <c r="AN96" s="129"/>
    </row>
    <row r="97" spans="10:72" x14ac:dyDescent="0.15">
      <c r="K97" s="35" t="s">
        <v>16</v>
      </c>
      <c r="L97" s="35" t="s">
        <v>79</v>
      </c>
      <c r="M97" s="35" t="s">
        <v>21</v>
      </c>
      <c r="N97" s="35" t="s">
        <v>78</v>
      </c>
      <c r="O97" s="35" t="s">
        <v>33</v>
      </c>
      <c r="P97" s="35" t="s">
        <v>34</v>
      </c>
      <c r="Q97" s="35" t="s">
        <v>10</v>
      </c>
      <c r="R97" s="35" t="s">
        <v>36</v>
      </c>
      <c r="S97" s="35" t="s">
        <v>37</v>
      </c>
      <c r="T97" s="138"/>
      <c r="U97" s="35" t="s">
        <v>33</v>
      </c>
      <c r="V97" s="35" t="s">
        <v>34</v>
      </c>
      <c r="W97" s="35" t="s">
        <v>35</v>
      </c>
      <c r="X97" s="35" t="s">
        <v>36</v>
      </c>
      <c r="Y97" s="35" t="s">
        <v>37</v>
      </c>
      <c r="Z97" s="35" t="s">
        <v>33</v>
      </c>
      <c r="AA97" s="35" t="s">
        <v>34</v>
      </c>
      <c r="AB97" s="35" t="s">
        <v>10</v>
      </c>
      <c r="AC97" s="35" t="s">
        <v>36</v>
      </c>
      <c r="AD97" s="35" t="s">
        <v>37</v>
      </c>
      <c r="AE97" s="35" t="s">
        <v>8</v>
      </c>
      <c r="AF97" s="35" t="s">
        <v>9</v>
      </c>
      <c r="AG97" s="35" t="s">
        <v>10</v>
      </c>
      <c r="AH97" s="35" t="s">
        <v>11</v>
      </c>
      <c r="AI97" s="35" t="s">
        <v>12</v>
      </c>
      <c r="AJ97" s="35" t="s">
        <v>33</v>
      </c>
      <c r="AK97" s="35" t="s">
        <v>34</v>
      </c>
      <c r="AL97" s="35" t="s">
        <v>35</v>
      </c>
      <c r="AM97" s="35" t="s">
        <v>36</v>
      </c>
      <c r="AN97" s="35" t="s">
        <v>37</v>
      </c>
      <c r="BP97" s="36" t="s">
        <v>104</v>
      </c>
      <c r="BQ97" s="36" t="s">
        <v>105</v>
      </c>
      <c r="BR97" s="36" t="s">
        <v>106</v>
      </c>
      <c r="BS97" s="36" t="s">
        <v>107</v>
      </c>
      <c r="BT97" s="36" t="s">
        <v>108</v>
      </c>
    </row>
    <row r="98" spans="10:72" x14ac:dyDescent="0.15">
      <c r="J98" s="46">
        <v>1</v>
      </c>
      <c r="K98" s="45">
        <f>求节点(节奏总纲!$Z$4:$Z$83,节奏总纲!$AE$4:$AE$83,基础状态预估!C111)</f>
        <v>0.50775438407852935</v>
      </c>
      <c r="L98" s="35">
        <f>基础状态预估!D111</f>
        <v>14.671687356650759</v>
      </c>
      <c r="M98" s="35">
        <f>基础状态预估!E111</f>
        <v>1</v>
      </c>
      <c r="N98" s="35" t="e">
        <f>$L$1*(求节点('[1]资源-钻石'!$K$4:$K$113,'[1]资源-钻石'!$P$4:$P$113,L98))</f>
        <v>#VALUE!</v>
      </c>
      <c r="O98" s="26">
        <f>O75</f>
        <v>0</v>
      </c>
      <c r="P98" s="26">
        <f t="shared" ref="P98:S98" si="207">P75</f>
        <v>0</v>
      </c>
      <c r="Q98" s="26">
        <f t="shared" si="207"/>
        <v>0</v>
      </c>
      <c r="R98" s="26">
        <f t="shared" si="207"/>
        <v>0</v>
      </c>
      <c r="S98" s="26">
        <f t="shared" si="207"/>
        <v>0</v>
      </c>
      <c r="T98" s="17" t="e">
        <f>N98</f>
        <v>#VALUE!</v>
      </c>
      <c r="U98" s="35">
        <f>IFERROR($T98/SUMPRODUCT($C$4:$G$4,$O98:$S98)*O98,0)</f>
        <v>0</v>
      </c>
      <c r="V98" s="35">
        <f t="shared" ref="V98:V107" si="208">IFERROR($T98/SUMPRODUCT($C$4:$G$4,$O98:$S98)*P98,0)</f>
        <v>0</v>
      </c>
      <c r="W98" s="35">
        <f t="shared" ref="W98:W107" si="209">IFERROR($T98/SUMPRODUCT($C$4:$G$4,$O98:$S98)*Q98,0)</f>
        <v>0</v>
      </c>
      <c r="X98" s="35">
        <f t="shared" ref="X98:X107" si="210">IFERROR($T98/SUMPRODUCT($C$4:$G$4,$O98:$S98)*R98,0)</f>
        <v>0</v>
      </c>
      <c r="Y98" s="35">
        <f t="shared" ref="Y98:Y107" si="211">IFERROR($T98/SUMPRODUCT($C$4:$G$4,$O98:$S98)*S98,0)</f>
        <v>0</v>
      </c>
      <c r="Z98" s="35">
        <f>Z75</f>
        <v>1</v>
      </c>
      <c r="AA98" s="35">
        <f t="shared" ref="AA98:AD98" si="212">AA75</f>
        <v>0</v>
      </c>
      <c r="AB98" s="35">
        <f t="shared" si="212"/>
        <v>0</v>
      </c>
      <c r="AC98" s="35">
        <f t="shared" si="212"/>
        <v>0</v>
      </c>
      <c r="AD98" s="35">
        <f t="shared" si="212"/>
        <v>0</v>
      </c>
      <c r="AE98" s="35">
        <f>AE75</f>
        <v>0</v>
      </c>
      <c r="AF98" s="35">
        <f t="shared" ref="AF98:AI98" si="213">AF75</f>
        <v>0.3626817029132352</v>
      </c>
      <c r="AG98" s="35">
        <f t="shared" si="213"/>
        <v>0</v>
      </c>
      <c r="AH98" s="35">
        <f t="shared" si="213"/>
        <v>0</v>
      </c>
      <c r="AI98" s="35">
        <f t="shared" si="213"/>
        <v>0</v>
      </c>
      <c r="AJ98" s="35">
        <f>SUM(U$6:U98)+Z98+AE98</f>
        <v>1</v>
      </c>
      <c r="AK98" s="35">
        <f>SUM(V$6:V98)+AA98+AF98</f>
        <v>0.3626817029132352</v>
      </c>
      <c r="AL98" s="35">
        <f>SUM(W$6:W98)+AB98+AG98</f>
        <v>0</v>
      </c>
      <c r="AM98" s="35">
        <f>SUM(X$6:X98)+AC98+AH98</f>
        <v>0</v>
      </c>
      <c r="AN98" s="35">
        <f>SUM(Y$6:Y98)+AD98+AI98</f>
        <v>0</v>
      </c>
      <c r="BP98" s="36">
        <v>0</v>
      </c>
      <c r="BQ98" s="36">
        <v>3.6452684609105162</v>
      </c>
      <c r="BR98" s="36">
        <v>0</v>
      </c>
      <c r="BS98" s="36">
        <v>0</v>
      </c>
      <c r="BT98" s="36">
        <v>0</v>
      </c>
    </row>
    <row r="99" spans="10:72" x14ac:dyDescent="0.15">
      <c r="J99" s="46">
        <v>2</v>
      </c>
      <c r="K99" s="45">
        <f>求节点(节奏总纲!$Z$4:$Z$83,节奏总纲!$AE$4:$AE$83,基础状态预估!C112)</f>
        <v>0.96457950643309154</v>
      </c>
      <c r="L99" s="45">
        <f>基础状态预估!D112</f>
        <v>19.990401674856564</v>
      </c>
      <c r="M99" s="35">
        <f>基础状态预估!E112</f>
        <v>2</v>
      </c>
      <c r="N99" s="35" t="e">
        <f>$L$1*(求节点('[1]资源-钻石'!$K$4:$K$113,'[1]资源-钻石'!$P$4:$P$113,L99))</f>
        <v>#VALUE!</v>
      </c>
      <c r="O99" s="26">
        <f t="shared" ref="O99:S99" si="214">O76</f>
        <v>0</v>
      </c>
      <c r="P99" s="26">
        <f t="shared" si="214"/>
        <v>0</v>
      </c>
      <c r="Q99" s="26">
        <f t="shared" si="214"/>
        <v>0</v>
      </c>
      <c r="R99" s="26">
        <f t="shared" si="214"/>
        <v>0</v>
      </c>
      <c r="S99" s="26">
        <f t="shared" si="214"/>
        <v>0</v>
      </c>
      <c r="T99" s="35" t="e">
        <f>N99-N98</f>
        <v>#VALUE!</v>
      </c>
      <c r="U99" s="35">
        <f t="shared" ref="U99:U107" si="215">IFERROR($T99/SUMPRODUCT($C$4:$G$4,$O99:$S99)*O99,0)</f>
        <v>0</v>
      </c>
      <c r="V99" s="35">
        <f t="shared" si="208"/>
        <v>0</v>
      </c>
      <c r="W99" s="35">
        <f t="shared" si="209"/>
        <v>0</v>
      </c>
      <c r="X99" s="35">
        <f t="shared" si="210"/>
        <v>0</v>
      </c>
      <c r="Y99" s="35">
        <f t="shared" si="211"/>
        <v>0</v>
      </c>
      <c r="Z99" s="35">
        <f t="shared" ref="Z99:AD99" si="216">Z76</f>
        <v>2</v>
      </c>
      <c r="AA99" s="35">
        <f t="shared" si="216"/>
        <v>0</v>
      </c>
      <c r="AB99" s="35">
        <f t="shared" si="216"/>
        <v>0</v>
      </c>
      <c r="AC99" s="35">
        <f t="shared" si="216"/>
        <v>0</v>
      </c>
      <c r="AD99" s="35">
        <f t="shared" si="216"/>
        <v>0</v>
      </c>
      <c r="AE99" s="35">
        <f t="shared" ref="AE99:AI99" si="217">AE76</f>
        <v>0</v>
      </c>
      <c r="AF99" s="35">
        <f t="shared" si="217"/>
        <v>0.68898536173792246</v>
      </c>
      <c r="AG99" s="35">
        <f t="shared" si="217"/>
        <v>0</v>
      </c>
      <c r="AH99" s="35">
        <f t="shared" si="217"/>
        <v>0</v>
      </c>
      <c r="AI99" s="35">
        <f t="shared" si="217"/>
        <v>0</v>
      </c>
      <c r="AJ99" s="35">
        <f>SUM(U$6:U99)+Z99+AE99</f>
        <v>2</v>
      </c>
      <c r="AK99" s="35">
        <f>SUM(V$6:V99)+AA99+AF99</f>
        <v>0.68898536173792246</v>
      </c>
      <c r="AL99" s="35">
        <f>SUM(W$6:W99)+AB99+AG99</f>
        <v>0</v>
      </c>
      <c r="AM99" s="35">
        <f>SUM(X$6:X99)+AC99+AH99</f>
        <v>0</v>
      </c>
      <c r="AN99" s="35">
        <f>SUM(Y$6:Y99)+AD99+AI99</f>
        <v>0</v>
      </c>
      <c r="BP99" s="36">
        <v>0</v>
      </c>
      <c r="BQ99" s="36">
        <v>4.8621733863024748</v>
      </c>
      <c r="BR99" s="36">
        <v>0</v>
      </c>
      <c r="BS99" s="36">
        <v>0</v>
      </c>
      <c r="BT99" s="36">
        <v>0</v>
      </c>
    </row>
    <row r="100" spans="10:72" x14ac:dyDescent="0.15">
      <c r="J100" s="46">
        <v>3</v>
      </c>
      <c r="K100" s="45">
        <f>求节点(节奏总纲!$Z$4:$Z$83,节奏总纲!$AE$4:$AE$83,基础状态预估!C113)</f>
        <v>1.9310027754318846</v>
      </c>
      <c r="L100" s="45">
        <f>基础状态预估!D113</f>
        <v>27.953695907743711</v>
      </c>
      <c r="M100" s="35">
        <f>基础状态预估!E113</f>
        <v>3</v>
      </c>
      <c r="N100" s="35" t="e">
        <f>$L$1*(求节点('[1]资源-钻石'!$K$4:$K$113,'[1]资源-钻石'!$P$4:$P$113,L100))</f>
        <v>#VALUE!</v>
      </c>
      <c r="O100" s="26">
        <f t="shared" ref="O100:S100" si="218">O77</f>
        <v>0</v>
      </c>
      <c r="P100" s="26">
        <f t="shared" si="218"/>
        <v>0</v>
      </c>
      <c r="Q100" s="26">
        <f t="shared" si="218"/>
        <v>0</v>
      </c>
      <c r="R100" s="26">
        <f t="shared" si="218"/>
        <v>0</v>
      </c>
      <c r="S100" s="26">
        <f t="shared" si="218"/>
        <v>0</v>
      </c>
      <c r="T100" s="35" t="e">
        <f t="shared" ref="T100:T107" si="219">N100-N99</f>
        <v>#VALUE!</v>
      </c>
      <c r="U100" s="35">
        <f t="shared" si="215"/>
        <v>0</v>
      </c>
      <c r="V100" s="35">
        <f t="shared" si="208"/>
        <v>0</v>
      </c>
      <c r="W100" s="35">
        <f t="shared" si="209"/>
        <v>0</v>
      </c>
      <c r="X100" s="35">
        <f t="shared" si="210"/>
        <v>0</v>
      </c>
      <c r="Y100" s="35">
        <f t="shared" si="211"/>
        <v>0</v>
      </c>
      <c r="Z100" s="35">
        <f t="shared" ref="Z100:AD100" si="220">Z77</f>
        <v>3</v>
      </c>
      <c r="AA100" s="35">
        <f t="shared" si="220"/>
        <v>0</v>
      </c>
      <c r="AB100" s="35">
        <f t="shared" si="220"/>
        <v>0</v>
      </c>
      <c r="AC100" s="35">
        <f t="shared" si="220"/>
        <v>0</v>
      </c>
      <c r="AD100" s="35">
        <f t="shared" si="220"/>
        <v>0</v>
      </c>
      <c r="AE100" s="35">
        <f t="shared" ref="AE100:AI100" si="221">AE77</f>
        <v>0</v>
      </c>
      <c r="AF100" s="35">
        <f t="shared" si="221"/>
        <v>1.3792876967370604</v>
      </c>
      <c r="AG100" s="35">
        <f t="shared" si="221"/>
        <v>0</v>
      </c>
      <c r="AH100" s="35">
        <f t="shared" si="221"/>
        <v>0</v>
      </c>
      <c r="AI100" s="35">
        <f t="shared" si="221"/>
        <v>0</v>
      </c>
      <c r="AJ100" s="35">
        <f>SUM(U$6:U100)+Z100+AE100</f>
        <v>3</v>
      </c>
      <c r="AK100" s="35">
        <f>SUM(V$6:V100)+AA100+AF100</f>
        <v>1.3792876967370604</v>
      </c>
      <c r="AL100" s="35">
        <f>SUM(W$6:W100)+AB100+AG100</f>
        <v>0</v>
      </c>
      <c r="AM100" s="35">
        <f>SUM(X$6:X100)+AC100+AH100</f>
        <v>0</v>
      </c>
      <c r="AN100" s="35">
        <f>SUM(Y$6:Y100)+AD100+AI100</f>
        <v>0</v>
      </c>
      <c r="BP100" s="36">
        <v>0</v>
      </c>
      <c r="BQ100" s="36">
        <v>6.5958765213739099</v>
      </c>
      <c r="BR100" s="36">
        <v>0</v>
      </c>
      <c r="BS100" s="36">
        <v>0</v>
      </c>
      <c r="BT100" s="36">
        <v>0</v>
      </c>
    </row>
    <row r="101" spans="10:72" x14ac:dyDescent="0.15">
      <c r="J101" s="46">
        <v>4</v>
      </c>
      <c r="K101" s="45">
        <f>求节点(节奏总纲!$Z$4:$Z$83,节奏总纲!$AE$4:$AE$83,基础状态预估!C114)</f>
        <v>3.7740446275970769</v>
      </c>
      <c r="L101" s="45">
        <f>基础状态预估!D114</f>
        <v>36.474789469426575</v>
      </c>
      <c r="M101" s="35">
        <f>基础状态预估!E114</f>
        <v>4</v>
      </c>
      <c r="N101" s="35" t="e">
        <f>$L$1*(求节点('[1]资源-钻石'!$K$4:$K$113,'[1]资源-钻石'!$P$4:$P$113,L101))</f>
        <v>#VALUE!</v>
      </c>
      <c r="O101" s="26">
        <f t="shared" ref="O101:S101" si="222">O78</f>
        <v>0</v>
      </c>
      <c r="P101" s="26">
        <f t="shared" si="222"/>
        <v>0</v>
      </c>
      <c r="Q101" s="26">
        <f t="shared" si="222"/>
        <v>0</v>
      </c>
      <c r="R101" s="26">
        <f t="shared" si="222"/>
        <v>0</v>
      </c>
      <c r="S101" s="26">
        <f t="shared" si="222"/>
        <v>0</v>
      </c>
      <c r="T101" s="35" t="e">
        <f t="shared" si="219"/>
        <v>#VALUE!</v>
      </c>
      <c r="U101" s="35">
        <f t="shared" si="215"/>
        <v>0</v>
      </c>
      <c r="V101" s="35">
        <f t="shared" si="208"/>
        <v>0</v>
      </c>
      <c r="W101" s="35">
        <f t="shared" si="209"/>
        <v>0</v>
      </c>
      <c r="X101" s="35">
        <f t="shared" si="210"/>
        <v>0</v>
      </c>
      <c r="Y101" s="35">
        <f t="shared" si="211"/>
        <v>0</v>
      </c>
      <c r="Z101" s="35">
        <f t="shared" ref="Z101:AD101" si="223">Z78</f>
        <v>4</v>
      </c>
      <c r="AA101" s="35">
        <f t="shared" si="223"/>
        <v>0</v>
      </c>
      <c r="AB101" s="35">
        <f t="shared" si="223"/>
        <v>0</v>
      </c>
      <c r="AC101" s="35">
        <f t="shared" si="223"/>
        <v>0</v>
      </c>
      <c r="AD101" s="35">
        <f t="shared" si="223"/>
        <v>0</v>
      </c>
      <c r="AE101" s="35">
        <f t="shared" ref="AE101:AI101" si="224">AE78</f>
        <v>0</v>
      </c>
      <c r="AF101" s="35">
        <f t="shared" si="224"/>
        <v>2.6957461625693404</v>
      </c>
      <c r="AG101" s="35">
        <f t="shared" si="224"/>
        <v>0</v>
      </c>
      <c r="AH101" s="35">
        <f t="shared" si="224"/>
        <v>0</v>
      </c>
      <c r="AI101" s="35">
        <f t="shared" si="224"/>
        <v>0</v>
      </c>
      <c r="AJ101" s="35">
        <f>SUM(U$6:U101)+Z101+AE101</f>
        <v>4</v>
      </c>
      <c r="AK101" s="35">
        <f>SUM(V$6:V101)+AA101+AF101</f>
        <v>2.6957461625693404</v>
      </c>
      <c r="AL101" s="35">
        <f>SUM(W$6:W101)+AB101+AG101</f>
        <v>0</v>
      </c>
      <c r="AM101" s="35">
        <f>SUM(X$6:X101)+AC101+AH101</f>
        <v>0</v>
      </c>
      <c r="AN101" s="35">
        <f>SUM(Y$6:Y101)+AD101+AI101</f>
        <v>0</v>
      </c>
      <c r="BP101" s="36">
        <v>0</v>
      </c>
      <c r="BQ101" s="36">
        <v>6.5958765213739099</v>
      </c>
      <c r="BR101" s="36">
        <v>1.7935632820034506</v>
      </c>
      <c r="BS101" s="36">
        <v>0</v>
      </c>
      <c r="BT101" s="36">
        <v>0</v>
      </c>
    </row>
    <row r="102" spans="10:72" x14ac:dyDescent="0.15">
      <c r="J102" s="46">
        <v>5</v>
      </c>
      <c r="K102" s="45">
        <f>求节点(节奏总纲!$Z$4:$Z$83,节奏总纲!$AE$4:$AE$83,基础状态预估!C115)</f>
        <v>7.2578477527161347</v>
      </c>
      <c r="L102" s="45">
        <f>基础状态预估!D115</f>
        <v>45.378719658137989</v>
      </c>
      <c r="M102" s="35">
        <f>基础状态预估!E115</f>
        <v>5</v>
      </c>
      <c r="N102" s="35" t="e">
        <f>$L$1*(求节点('[1]资源-钻石'!$K$4:$K$113,'[1]资源-钻石'!$P$4:$P$113,L102))</f>
        <v>#VALUE!</v>
      </c>
      <c r="O102" s="26">
        <f t="shared" ref="O102:S102" si="225">O79</f>
        <v>0</v>
      </c>
      <c r="P102" s="26">
        <f t="shared" si="225"/>
        <v>0</v>
      </c>
      <c r="Q102" s="26">
        <f t="shared" si="225"/>
        <v>0</v>
      </c>
      <c r="R102" s="26">
        <f t="shared" si="225"/>
        <v>0</v>
      </c>
      <c r="S102" s="26">
        <f t="shared" si="225"/>
        <v>0</v>
      </c>
      <c r="T102" s="35" t="e">
        <f t="shared" si="219"/>
        <v>#VALUE!</v>
      </c>
      <c r="U102" s="35">
        <f t="shared" si="215"/>
        <v>0</v>
      </c>
      <c r="V102" s="35">
        <f t="shared" si="208"/>
        <v>0</v>
      </c>
      <c r="W102" s="35">
        <f t="shared" si="209"/>
        <v>0</v>
      </c>
      <c r="X102" s="35">
        <f t="shared" si="210"/>
        <v>0</v>
      </c>
      <c r="Y102" s="35">
        <f t="shared" si="211"/>
        <v>0</v>
      </c>
      <c r="Z102" s="35">
        <f t="shared" ref="Z102:AD102" si="226">Z79</f>
        <v>5</v>
      </c>
      <c r="AA102" s="35">
        <f t="shared" si="226"/>
        <v>0</v>
      </c>
      <c r="AB102" s="35">
        <f t="shared" si="226"/>
        <v>0</v>
      </c>
      <c r="AC102" s="35">
        <f t="shared" si="226"/>
        <v>0</v>
      </c>
      <c r="AD102" s="35">
        <f t="shared" si="226"/>
        <v>0</v>
      </c>
      <c r="AE102" s="35">
        <f t="shared" ref="AE102:AI102" si="227">AE79</f>
        <v>0</v>
      </c>
      <c r="AF102" s="35">
        <f t="shared" si="227"/>
        <v>3</v>
      </c>
      <c r="AG102" s="35">
        <f t="shared" si="227"/>
        <v>2.1841769662258099</v>
      </c>
      <c r="AH102" s="35">
        <f t="shared" si="227"/>
        <v>0.59208848311290496</v>
      </c>
      <c r="AI102" s="35">
        <f t="shared" si="227"/>
        <v>0</v>
      </c>
      <c r="AJ102" s="35">
        <f>SUM(U$6:U102)+Z102+AE102</f>
        <v>5</v>
      </c>
      <c r="AK102" s="35">
        <f>SUM(V$6:V102)+AA102+AF102</f>
        <v>3</v>
      </c>
      <c r="AL102" s="35">
        <f>SUM(W$6:W102)+AB102+AG102</f>
        <v>2.1841769662258099</v>
      </c>
      <c r="AM102" s="35">
        <f>SUM(X$6:X102)+AC102+AH102</f>
        <v>0.59208848311290496</v>
      </c>
      <c r="AN102" s="35">
        <f>SUM(Y$6:Y102)+AD102+AI102</f>
        <v>0</v>
      </c>
      <c r="BP102" s="36">
        <v>0</v>
      </c>
      <c r="BQ102" s="36">
        <v>6.5958765213739099</v>
      </c>
      <c r="BR102" s="36">
        <v>3.6090738243466269</v>
      </c>
      <c r="BS102" s="36">
        <v>0</v>
      </c>
      <c r="BT102" s="36">
        <v>0</v>
      </c>
    </row>
    <row r="103" spans="10:72" x14ac:dyDescent="0.15">
      <c r="J103" s="46">
        <v>6</v>
      </c>
      <c r="K103" s="45">
        <f>求节点(节奏总纲!$Z$4:$Z$83,节奏总纲!$AE$4:$AE$83,基础状态预估!C116)</f>
        <v>13.724686166700833</v>
      </c>
      <c r="L103" s="45">
        <f>基础状态预估!D116</f>
        <v>54.706384157580409</v>
      </c>
      <c r="M103" s="35">
        <f>基础状态预估!E116</f>
        <v>6</v>
      </c>
      <c r="N103" s="35" t="e">
        <f>$L$1*(求节点('[1]资源-钻石'!$K$4:$K$113,'[1]资源-钻石'!$P$4:$P$113,L103))</f>
        <v>#VALUE!</v>
      </c>
      <c r="O103" s="26">
        <f t="shared" ref="O103:S103" si="228">O80</f>
        <v>0</v>
      </c>
      <c r="P103" s="26">
        <f t="shared" si="228"/>
        <v>0</v>
      </c>
      <c r="Q103" s="26">
        <f t="shared" si="228"/>
        <v>0</v>
      </c>
      <c r="R103" s="26">
        <f t="shared" si="228"/>
        <v>0</v>
      </c>
      <c r="S103" s="26">
        <f t="shared" si="228"/>
        <v>0</v>
      </c>
      <c r="T103" s="35" t="e">
        <f t="shared" si="219"/>
        <v>#VALUE!</v>
      </c>
      <c r="U103" s="35">
        <f t="shared" si="215"/>
        <v>0</v>
      </c>
      <c r="V103" s="35">
        <f t="shared" si="208"/>
        <v>0</v>
      </c>
      <c r="W103" s="35">
        <f t="shared" si="209"/>
        <v>0</v>
      </c>
      <c r="X103" s="35">
        <f t="shared" si="210"/>
        <v>0</v>
      </c>
      <c r="Y103" s="35">
        <f t="shared" si="211"/>
        <v>0</v>
      </c>
      <c r="Z103" s="35">
        <f t="shared" ref="Z103:AD103" si="229">Z80</f>
        <v>6</v>
      </c>
      <c r="AA103" s="35">
        <f t="shared" si="229"/>
        <v>0</v>
      </c>
      <c r="AB103" s="35">
        <f t="shared" si="229"/>
        <v>0</v>
      </c>
      <c r="AC103" s="35">
        <f t="shared" si="229"/>
        <v>0</v>
      </c>
      <c r="AD103" s="35">
        <f t="shared" si="229"/>
        <v>0</v>
      </c>
      <c r="AE103" s="35">
        <f t="shared" ref="AE103:AI103" si="230">AE80</f>
        <v>0</v>
      </c>
      <c r="AF103" s="35">
        <f t="shared" si="230"/>
        <v>3</v>
      </c>
      <c r="AG103" s="35">
        <f t="shared" si="230"/>
        <v>6.8033472619291651</v>
      </c>
      <c r="AH103" s="35">
        <f t="shared" si="230"/>
        <v>2.9016736309645825</v>
      </c>
      <c r="AI103" s="35">
        <f t="shared" si="230"/>
        <v>0</v>
      </c>
      <c r="AJ103" s="35">
        <f>SUM(U$6:U103)+Z103+AE103</f>
        <v>6</v>
      </c>
      <c r="AK103" s="35">
        <f>SUM(V$6:V103)+AA103+AF103</f>
        <v>3</v>
      </c>
      <c r="AL103" s="35">
        <f>SUM(W$6:W103)+AB103+AG103</f>
        <v>6.8033472619291651</v>
      </c>
      <c r="AM103" s="35">
        <f>SUM(X$6:X103)+AC103+AH103</f>
        <v>2.9016736309645825</v>
      </c>
      <c r="AN103" s="35">
        <f>SUM(Y$6:Y103)+AD103+AI103</f>
        <v>0</v>
      </c>
      <c r="BP103" s="36">
        <v>0</v>
      </c>
      <c r="BQ103" s="36">
        <v>6.5958765213739099</v>
      </c>
      <c r="BR103" s="36">
        <v>5.4258933632712676</v>
      </c>
      <c r="BS103" s="36">
        <v>0</v>
      </c>
      <c r="BT103" s="36">
        <v>0</v>
      </c>
    </row>
    <row r="104" spans="10:72" x14ac:dyDescent="0.15">
      <c r="J104" s="46">
        <v>7</v>
      </c>
      <c r="K104" s="45">
        <f>求节点(节奏总纲!$Z$4:$Z$83,节奏总纲!$AE$4:$AE$83,基础状态预估!C117)</f>
        <v>24.924269098598003</v>
      </c>
      <c r="L104" s="45">
        <f>基础状态预估!D117</f>
        <v>63.227467500622204</v>
      </c>
      <c r="M104" s="35">
        <f>基础状态预估!E117</f>
        <v>7</v>
      </c>
      <c r="N104" s="35" t="e">
        <f>$L$1*(求节点('[1]资源-钻石'!$K$4:$K$113,'[1]资源-钻石'!$P$4:$P$113,L104))</f>
        <v>#VALUE!</v>
      </c>
      <c r="O104" s="26">
        <f t="shared" ref="O104:S104" si="231">O81</f>
        <v>0</v>
      </c>
      <c r="P104" s="26">
        <f t="shared" si="231"/>
        <v>0</v>
      </c>
      <c r="Q104" s="26">
        <f t="shared" si="231"/>
        <v>0</v>
      </c>
      <c r="R104" s="26">
        <f t="shared" si="231"/>
        <v>0</v>
      </c>
      <c r="S104" s="26">
        <f t="shared" si="231"/>
        <v>0</v>
      </c>
      <c r="T104" s="35" t="e">
        <f t="shared" si="219"/>
        <v>#VALUE!</v>
      </c>
      <c r="U104" s="35">
        <f t="shared" si="215"/>
        <v>0</v>
      </c>
      <c r="V104" s="35">
        <f t="shared" si="208"/>
        <v>0</v>
      </c>
      <c r="W104" s="35">
        <f t="shared" si="209"/>
        <v>0</v>
      </c>
      <c r="X104" s="35">
        <f t="shared" si="210"/>
        <v>0</v>
      </c>
      <c r="Y104" s="35">
        <f t="shared" si="211"/>
        <v>0</v>
      </c>
      <c r="Z104" s="35">
        <f t="shared" ref="Z104:AD104" si="232">Z81</f>
        <v>6</v>
      </c>
      <c r="AA104" s="35">
        <f t="shared" si="232"/>
        <v>1</v>
      </c>
      <c r="AB104" s="35">
        <f t="shared" si="232"/>
        <v>0</v>
      </c>
      <c r="AC104" s="35">
        <f t="shared" si="232"/>
        <v>0</v>
      </c>
      <c r="AD104" s="35">
        <f t="shared" si="232"/>
        <v>0</v>
      </c>
      <c r="AE104" s="35">
        <f t="shared" ref="AE104:AI104" si="233">AE81</f>
        <v>0</v>
      </c>
      <c r="AF104" s="35">
        <f t="shared" si="233"/>
        <v>3</v>
      </c>
      <c r="AG104" s="35">
        <f t="shared" si="233"/>
        <v>14.803049356141431</v>
      </c>
      <c r="AH104" s="35">
        <f t="shared" si="233"/>
        <v>6.9015246780707153</v>
      </c>
      <c r="AI104" s="35">
        <f t="shared" si="233"/>
        <v>0</v>
      </c>
      <c r="AJ104" s="35">
        <f>SUM(U$6:U104)+Z104+AE104</f>
        <v>6</v>
      </c>
      <c r="AK104" s="35">
        <f>SUM(V$6:V104)+AA104+AF104</f>
        <v>4</v>
      </c>
      <c r="AL104" s="35">
        <f>SUM(W$6:W104)+AB104+AG104</f>
        <v>14.803049356141431</v>
      </c>
      <c r="AM104" s="35">
        <f>SUM(X$6:X104)+AC104+AH104</f>
        <v>6.9015246780707153</v>
      </c>
      <c r="AN104" s="35">
        <f>SUM(Y$6:Y104)+AD104+AI104</f>
        <v>0</v>
      </c>
      <c r="BP104" s="36">
        <v>0</v>
      </c>
      <c r="BQ104" s="36">
        <v>6.5958765213739099</v>
      </c>
      <c r="BR104" s="36">
        <v>5.4258933632712676</v>
      </c>
      <c r="BS104" s="36">
        <v>1.7016952994647152</v>
      </c>
      <c r="BT104" s="36">
        <v>0</v>
      </c>
    </row>
    <row r="105" spans="10:72" x14ac:dyDescent="0.15">
      <c r="J105" s="46">
        <v>8</v>
      </c>
      <c r="K105" s="45">
        <f>求节点(节奏总纲!$Z$4:$Z$83,节奏总纲!$AE$4:$AE$83,基础状态预估!C118)</f>
        <v>45.136608733654796</v>
      </c>
      <c r="L105" s="45">
        <f>基础状态预估!D118</f>
        <v>71.964465094771541</v>
      </c>
      <c r="M105" s="35">
        <f>基础状态预估!E118</f>
        <v>8</v>
      </c>
      <c r="N105" s="35" t="e">
        <f>$L$1*(求节点('[1]资源-钻石'!$K$4:$K$113,'[1]资源-钻石'!$P$4:$P$113,L105))</f>
        <v>#VALUE!</v>
      </c>
      <c r="O105" s="26">
        <f t="shared" ref="O105:S105" si="234">O82</f>
        <v>0</v>
      </c>
      <c r="P105" s="26">
        <f t="shared" si="234"/>
        <v>0</v>
      </c>
      <c r="Q105" s="26">
        <f t="shared" si="234"/>
        <v>0</v>
      </c>
      <c r="R105" s="26">
        <f t="shared" si="234"/>
        <v>0</v>
      </c>
      <c r="S105" s="26">
        <f t="shared" si="234"/>
        <v>0</v>
      </c>
      <c r="T105" s="35" t="e">
        <f t="shared" si="219"/>
        <v>#VALUE!</v>
      </c>
      <c r="U105" s="35">
        <f t="shared" si="215"/>
        <v>0</v>
      </c>
      <c r="V105" s="35">
        <f t="shared" si="208"/>
        <v>0</v>
      </c>
      <c r="W105" s="35">
        <f t="shared" si="209"/>
        <v>0</v>
      </c>
      <c r="X105" s="35">
        <f t="shared" si="210"/>
        <v>0</v>
      </c>
      <c r="Y105" s="35">
        <f t="shared" si="211"/>
        <v>0</v>
      </c>
      <c r="Z105" s="35">
        <f t="shared" ref="Z105:AD105" si="235">Z82</f>
        <v>6</v>
      </c>
      <c r="AA105" s="35">
        <f t="shared" si="235"/>
        <v>2</v>
      </c>
      <c r="AB105" s="35">
        <f t="shared" si="235"/>
        <v>0</v>
      </c>
      <c r="AC105" s="35">
        <f t="shared" si="235"/>
        <v>0</v>
      </c>
      <c r="AD105" s="35">
        <f t="shared" si="235"/>
        <v>0</v>
      </c>
      <c r="AE105" s="35">
        <f t="shared" ref="AE105:AI105" si="236">AE82</f>
        <v>0</v>
      </c>
      <c r="AF105" s="35">
        <f t="shared" si="236"/>
        <v>3</v>
      </c>
      <c r="AG105" s="35">
        <f t="shared" si="236"/>
        <v>29.24043480975342</v>
      </c>
      <c r="AH105" s="35">
        <f t="shared" si="236"/>
        <v>14.12021740487671</v>
      </c>
      <c r="AI105" s="35">
        <f t="shared" si="236"/>
        <v>0</v>
      </c>
      <c r="AJ105" s="35">
        <f>SUM(U$6:U105)+Z105+AE105</f>
        <v>6</v>
      </c>
      <c r="AK105" s="35">
        <f>SUM(V$6:V105)+AA105+AF105</f>
        <v>5</v>
      </c>
      <c r="AL105" s="35">
        <f>SUM(W$6:W105)+AB105+AG105</f>
        <v>29.24043480975342</v>
      </c>
      <c r="AM105" s="35">
        <f>SUM(X$6:X105)+AC105+AH105</f>
        <v>14.12021740487671</v>
      </c>
      <c r="AN105" s="35">
        <f>SUM(Y$6:Y105)+AD105+AI105</f>
        <v>0</v>
      </c>
      <c r="BP105" s="36">
        <v>0</v>
      </c>
      <c r="BQ105" s="36">
        <v>6.5958765213739099</v>
      </c>
      <c r="BR105" s="36">
        <v>5.4258933632712676</v>
      </c>
      <c r="BS105" s="36">
        <v>3.4057830384772956</v>
      </c>
      <c r="BT105" s="36">
        <v>0</v>
      </c>
    </row>
    <row r="106" spans="10:72" x14ac:dyDescent="0.15">
      <c r="J106" s="46">
        <v>9</v>
      </c>
      <c r="K106" s="45">
        <f>求节点(节奏总纲!$Z$4:$Z$83,节奏总纲!$AE$4:$AE$83,基础状态预估!C119)</f>
        <v>81.567079653693213</v>
      </c>
      <c r="L106" s="45">
        <f>基础状态预估!D119</f>
        <v>80.54663523468885</v>
      </c>
      <c r="M106" s="35">
        <f>基础状态预估!E119</f>
        <v>9</v>
      </c>
      <c r="N106" s="35" t="e">
        <f>$L$1*(求节点('[1]资源-钻石'!$K$4:$K$113,'[1]资源-钻石'!$P$4:$P$113,L106))</f>
        <v>#VALUE!</v>
      </c>
      <c r="O106" s="26">
        <f t="shared" ref="O106:S106" si="237">O83</f>
        <v>0</v>
      </c>
      <c r="P106" s="26">
        <f t="shared" si="237"/>
        <v>0</v>
      </c>
      <c r="Q106" s="26">
        <f t="shared" si="237"/>
        <v>0</v>
      </c>
      <c r="R106" s="26">
        <f t="shared" si="237"/>
        <v>0</v>
      </c>
      <c r="S106" s="26">
        <f t="shared" si="237"/>
        <v>0</v>
      </c>
      <c r="T106" s="35" t="e">
        <f t="shared" si="219"/>
        <v>#VALUE!</v>
      </c>
      <c r="U106" s="35">
        <f t="shared" si="215"/>
        <v>0</v>
      </c>
      <c r="V106" s="35">
        <f t="shared" si="208"/>
        <v>0</v>
      </c>
      <c r="W106" s="35">
        <f t="shared" si="209"/>
        <v>0</v>
      </c>
      <c r="X106" s="35">
        <f t="shared" si="210"/>
        <v>0</v>
      </c>
      <c r="Y106" s="35">
        <f t="shared" si="211"/>
        <v>0</v>
      </c>
      <c r="Z106" s="35">
        <f t="shared" ref="Z106:AD106" si="238">Z83</f>
        <v>6</v>
      </c>
      <c r="AA106" s="35">
        <f t="shared" si="238"/>
        <v>3</v>
      </c>
      <c r="AB106" s="35">
        <f t="shared" si="238"/>
        <v>0</v>
      </c>
      <c r="AC106" s="35">
        <f t="shared" si="238"/>
        <v>0</v>
      </c>
      <c r="AD106" s="35">
        <f t="shared" si="238"/>
        <v>0</v>
      </c>
      <c r="AE106" s="35">
        <f t="shared" ref="AE106:AI106" si="239">AE83</f>
        <v>0</v>
      </c>
      <c r="AF106" s="35">
        <f t="shared" si="239"/>
        <v>3.7188638139981709</v>
      </c>
      <c r="AG106" s="35">
        <f t="shared" si="239"/>
        <v>53.303714667307112</v>
      </c>
      <c r="AH106" s="35">
        <f t="shared" si="239"/>
        <v>26.032046697987195</v>
      </c>
      <c r="AI106" s="35">
        <f t="shared" si="239"/>
        <v>0</v>
      </c>
      <c r="AJ106" s="35">
        <f>SUM(U$6:U106)+Z106+AE106</f>
        <v>6</v>
      </c>
      <c r="AK106" s="35">
        <f>SUM(V$6:V106)+AA106+AF106</f>
        <v>6.7188638139981709</v>
      </c>
      <c r="AL106" s="35">
        <f>SUM(W$6:W106)+AB106+AG106</f>
        <v>53.303714667307112</v>
      </c>
      <c r="AM106" s="35">
        <f>SUM(X$6:X106)+AC106+AH106</f>
        <v>26.032046697987195</v>
      </c>
      <c r="AN106" s="35">
        <f>SUM(Y$6:Y106)+AD106+AI106</f>
        <v>0</v>
      </c>
      <c r="BP106" s="36">
        <v>0</v>
      </c>
      <c r="BQ106" s="36">
        <v>6.5958765213739099</v>
      </c>
      <c r="BR106" s="36">
        <v>5.4258933632712676</v>
      </c>
      <c r="BS106" s="36">
        <v>5.1070027526733064</v>
      </c>
      <c r="BT106" s="36">
        <v>0</v>
      </c>
    </row>
    <row r="107" spans="10:72" x14ac:dyDescent="0.15">
      <c r="J107" s="46">
        <v>10</v>
      </c>
      <c r="K107" s="45">
        <f>求节点(节奏总纲!$Z$4:$Z$83,节奏总纲!$AE$4:$AE$83,基础状态预估!C120)</f>
        <v>157.97060377387891</v>
      </c>
      <c r="L107" s="45">
        <f>基础状态预估!D120</f>
        <v>92.03038330510195</v>
      </c>
      <c r="M107" s="35">
        <f>基础状态预估!E120</f>
        <v>10</v>
      </c>
      <c r="N107" s="35" t="e">
        <f>$L$1*(求节点('[1]资源-钻石'!$K$4:$K$113,'[1]资源-钻石'!$P$4:$P$113,L107))</f>
        <v>#VALUE!</v>
      </c>
      <c r="O107" s="26">
        <f t="shared" ref="O107:S107" si="240">O84</f>
        <v>0</v>
      </c>
      <c r="P107" s="26">
        <f t="shared" si="240"/>
        <v>0</v>
      </c>
      <c r="Q107" s="26">
        <f t="shared" si="240"/>
        <v>0</v>
      </c>
      <c r="R107" s="26">
        <f t="shared" si="240"/>
        <v>0</v>
      </c>
      <c r="S107" s="26">
        <f t="shared" si="240"/>
        <v>0</v>
      </c>
      <c r="T107" s="35" t="e">
        <f t="shared" si="219"/>
        <v>#VALUE!</v>
      </c>
      <c r="U107" s="35">
        <f t="shared" si="215"/>
        <v>0</v>
      </c>
      <c r="V107" s="35">
        <f t="shared" si="208"/>
        <v>0</v>
      </c>
      <c r="W107" s="35">
        <f t="shared" si="209"/>
        <v>0</v>
      </c>
      <c r="X107" s="35">
        <f t="shared" si="210"/>
        <v>0</v>
      </c>
      <c r="Y107" s="35">
        <f t="shared" si="211"/>
        <v>0</v>
      </c>
      <c r="Z107" s="35">
        <f t="shared" ref="Z107:AD107" si="241">Z84</f>
        <v>6</v>
      </c>
      <c r="AA107" s="35">
        <f t="shared" si="241"/>
        <v>4</v>
      </c>
      <c r="AB107" s="35">
        <f t="shared" si="241"/>
        <v>0</v>
      </c>
      <c r="AC107" s="35">
        <f t="shared" si="241"/>
        <v>0</v>
      </c>
      <c r="AD107" s="35">
        <f t="shared" si="241"/>
        <v>0</v>
      </c>
      <c r="AE107" s="35">
        <f t="shared" ref="AE107:AI107" si="242">AE84</f>
        <v>0</v>
      </c>
      <c r="AF107" s="35">
        <f t="shared" si="242"/>
        <v>7.202307162942807</v>
      </c>
      <c r="AG107" s="35">
        <f t="shared" si="242"/>
        <v>103.23306933551356</v>
      </c>
      <c r="AH107" s="35">
        <f t="shared" si="242"/>
        <v>50.416150140599648</v>
      </c>
      <c r="AI107" s="35">
        <f t="shared" si="242"/>
        <v>0</v>
      </c>
      <c r="AJ107" s="35">
        <f>SUM(U$6:U107)+Z107+AE107</f>
        <v>6</v>
      </c>
      <c r="AK107" s="35">
        <f>SUM(V$6:V107)+AA107+AF107</f>
        <v>11.202307162942807</v>
      </c>
      <c r="AL107" s="35">
        <f>SUM(W$6:W107)+AB107+AG107</f>
        <v>103.23306933551356</v>
      </c>
      <c r="AM107" s="35">
        <f>SUM(X$6:X107)+AC107+AH107</f>
        <v>50.416150140599648</v>
      </c>
      <c r="AN107" s="35">
        <f>SUM(Y$6:Y107)+AD107+AI107</f>
        <v>0</v>
      </c>
      <c r="BP107" s="36">
        <v>0</v>
      </c>
      <c r="BQ107" s="36">
        <v>6.5958765213739099</v>
      </c>
      <c r="BR107" s="36">
        <v>5.4258933632712676</v>
      </c>
      <c r="BS107" s="36">
        <v>6.3834013101230944</v>
      </c>
      <c r="BT107" s="36">
        <v>0</v>
      </c>
    </row>
    <row r="108" spans="10:72" x14ac:dyDescent="0.15">
      <c r="J108" s="46">
        <v>11</v>
      </c>
      <c r="K108" s="45">
        <f>求节点(节奏总纲!$Z$4:$Z$83,节奏总纲!$AE$4:$AE$83,基础状态预估!C121)</f>
        <v>329.56496855407232</v>
      </c>
      <c r="L108" s="45">
        <f>基础状态预估!D121</f>
        <v>102.71853803916484</v>
      </c>
      <c r="M108" s="45">
        <f>基础状态预估!E121</f>
        <v>11</v>
      </c>
      <c r="N108" s="45" t="e">
        <f>$L$1*(求节点('[1]资源-钻石'!$K$4:$K$113,'[1]资源-钻石'!$P$4:$P$113,L108))</f>
        <v>#VALUE!</v>
      </c>
      <c r="O108" s="26">
        <f t="shared" ref="O108:S108" si="243">O85</f>
        <v>0</v>
      </c>
      <c r="P108" s="26">
        <f t="shared" si="243"/>
        <v>0</v>
      </c>
      <c r="Q108" s="26">
        <f t="shared" si="243"/>
        <v>0</v>
      </c>
      <c r="R108" s="26">
        <f t="shared" si="243"/>
        <v>0</v>
      </c>
      <c r="S108" s="26">
        <f t="shared" si="243"/>
        <v>0</v>
      </c>
      <c r="T108" s="45" t="e">
        <f t="shared" ref="T108:T113" si="244">N108-N107</f>
        <v>#VALUE!</v>
      </c>
      <c r="U108" s="45">
        <f t="shared" ref="U108:U113" si="245">IFERROR($T108/SUMPRODUCT($C$4:$G$4,$O108:$S108)*O108,0)</f>
        <v>0</v>
      </c>
      <c r="V108" s="45">
        <f t="shared" ref="V108:V113" si="246">IFERROR($T108/SUMPRODUCT($C$4:$G$4,$O108:$S108)*P108,0)</f>
        <v>0</v>
      </c>
      <c r="W108" s="45">
        <f t="shared" ref="W108:W113" si="247">IFERROR($T108/SUMPRODUCT($C$4:$G$4,$O108:$S108)*Q108,0)</f>
        <v>0</v>
      </c>
      <c r="X108" s="45">
        <f t="shared" ref="X108:X113" si="248">IFERROR($T108/SUMPRODUCT($C$4:$G$4,$O108:$S108)*R108,0)</f>
        <v>0</v>
      </c>
      <c r="Y108" s="45">
        <f t="shared" ref="Y108:Y113" si="249">IFERROR($T108/SUMPRODUCT($C$4:$G$4,$O108:$S108)*S108,0)</f>
        <v>0</v>
      </c>
      <c r="Z108" s="45">
        <f t="shared" ref="Z108:AI108" si="250">Z85</f>
        <v>6</v>
      </c>
      <c r="AA108" s="45">
        <f t="shared" si="250"/>
        <v>5</v>
      </c>
      <c r="AB108" s="45">
        <f t="shared" si="250"/>
        <v>0</v>
      </c>
      <c r="AC108" s="45">
        <f t="shared" si="250"/>
        <v>0</v>
      </c>
      <c r="AD108" s="45">
        <f t="shared" si="250"/>
        <v>0</v>
      </c>
      <c r="AE108" s="45">
        <f t="shared" si="250"/>
        <v>0</v>
      </c>
      <c r="AF108" s="45">
        <f t="shared" si="250"/>
        <v>15.025758444714542</v>
      </c>
      <c r="AG108" s="45">
        <f t="shared" si="250"/>
        <v>215.36920437424178</v>
      </c>
      <c r="AH108" s="45">
        <f t="shared" si="250"/>
        <v>105.1803091130018</v>
      </c>
      <c r="AI108" s="45">
        <f t="shared" si="250"/>
        <v>0</v>
      </c>
      <c r="AJ108" s="45">
        <f>SUM(U$6:U108)+Z108+AE108</f>
        <v>6</v>
      </c>
      <c r="AK108" s="45">
        <f>SUM(V$6:V108)+AA108+AF108</f>
        <v>20.02575844471454</v>
      </c>
      <c r="AL108" s="45">
        <f>SUM(W$6:W108)+AB108+AG108</f>
        <v>215.36920437424178</v>
      </c>
      <c r="AM108" s="45">
        <f>SUM(X$6:X108)+AC108+AH108</f>
        <v>105.1803091130018</v>
      </c>
      <c r="AN108" s="45">
        <f>SUM(Y$6:Y108)+AD108+AI108</f>
        <v>0</v>
      </c>
    </row>
    <row r="109" spans="10:72" x14ac:dyDescent="0.15">
      <c r="J109" s="46">
        <v>12</v>
      </c>
      <c r="K109" s="45">
        <f>求节点(节奏总纲!$Z$4:$Z$83,节奏总纲!$AE$4:$AE$83,基础状态预估!C122)</f>
        <v>686.27045912077301</v>
      </c>
      <c r="L109" s="45">
        <f>基础状态预估!D122</f>
        <v>113.4549371467006</v>
      </c>
      <c r="M109" s="45">
        <f>基础状态预估!E122</f>
        <v>12</v>
      </c>
      <c r="N109" s="45" t="e">
        <f>$L$1*(求节点('[1]资源-钻石'!$K$4:$K$113,'[1]资源-钻石'!$P$4:$P$113,L109))</f>
        <v>#VALUE!</v>
      </c>
      <c r="O109" s="26">
        <f t="shared" ref="O109:S109" si="251">O86</f>
        <v>0</v>
      </c>
      <c r="P109" s="26">
        <f t="shared" si="251"/>
        <v>0</v>
      </c>
      <c r="Q109" s="26">
        <f t="shared" si="251"/>
        <v>0</v>
      </c>
      <c r="R109" s="26">
        <f t="shared" si="251"/>
        <v>0</v>
      </c>
      <c r="S109" s="26">
        <f t="shared" si="251"/>
        <v>0</v>
      </c>
      <c r="T109" s="45" t="e">
        <f t="shared" si="244"/>
        <v>#VALUE!</v>
      </c>
      <c r="U109" s="45">
        <f t="shared" si="245"/>
        <v>0</v>
      </c>
      <c r="V109" s="45">
        <f t="shared" si="246"/>
        <v>0</v>
      </c>
      <c r="W109" s="45">
        <f t="shared" si="247"/>
        <v>0</v>
      </c>
      <c r="X109" s="45">
        <f t="shared" si="248"/>
        <v>0</v>
      </c>
      <c r="Y109" s="45">
        <f t="shared" si="249"/>
        <v>0</v>
      </c>
      <c r="Z109" s="45">
        <f t="shared" ref="Z109:AI109" si="252">Z86</f>
        <v>6</v>
      </c>
      <c r="AA109" s="45">
        <f t="shared" si="252"/>
        <v>6</v>
      </c>
      <c r="AB109" s="45">
        <f t="shared" si="252"/>
        <v>0</v>
      </c>
      <c r="AC109" s="45">
        <f t="shared" si="252"/>
        <v>0</v>
      </c>
      <c r="AD109" s="45">
        <f t="shared" si="252"/>
        <v>0</v>
      </c>
      <c r="AE109" s="45">
        <f t="shared" si="252"/>
        <v>0</v>
      </c>
      <c r="AF109" s="45">
        <f t="shared" si="252"/>
        <v>31.288926707634023</v>
      </c>
      <c r="AG109" s="45">
        <f t="shared" si="252"/>
        <v>448.47461614275431</v>
      </c>
      <c r="AH109" s="45">
        <f t="shared" si="252"/>
        <v>219.02248695343815</v>
      </c>
      <c r="AI109" s="45">
        <f t="shared" si="252"/>
        <v>0</v>
      </c>
      <c r="AJ109" s="45">
        <f>SUM(U$6:U109)+Z109+AE109</f>
        <v>6</v>
      </c>
      <c r="AK109" s="45">
        <f>SUM(V$6:V109)+AA109+AF109</f>
        <v>37.288926707634019</v>
      </c>
      <c r="AL109" s="45">
        <f>SUM(W$6:W109)+AB109+AG109</f>
        <v>448.47461614275431</v>
      </c>
      <c r="AM109" s="45">
        <f>SUM(X$6:X109)+AC109+AH109</f>
        <v>219.02248695343815</v>
      </c>
      <c r="AN109" s="45">
        <f>SUM(Y$6:Y109)+AD109+AI109</f>
        <v>0</v>
      </c>
    </row>
    <row r="110" spans="10:72" x14ac:dyDescent="0.15">
      <c r="J110" s="46">
        <v>13</v>
      </c>
      <c r="K110" s="45">
        <f>求节点(节奏总纲!$Z$4:$Z$83,节奏总纲!$AE$4:$AE$83,基础状态预估!C123)</f>
        <v>1426.7099622668038</v>
      </c>
      <c r="L110" s="45">
        <f>基础状态预估!D123</f>
        <v>124.11624751239822</v>
      </c>
      <c r="M110" s="45">
        <f>基础状态预估!E123</f>
        <v>13</v>
      </c>
      <c r="N110" s="45" t="e">
        <f>$L$1*(求节点('[1]资源-钻石'!$K$4:$K$113,'[1]资源-钻石'!$P$4:$P$113,L110))</f>
        <v>#VALUE!</v>
      </c>
      <c r="O110" s="26">
        <f t="shared" ref="O110:S110" si="253">O87</f>
        <v>0</v>
      </c>
      <c r="P110" s="26">
        <f t="shared" si="253"/>
        <v>0</v>
      </c>
      <c r="Q110" s="26">
        <f t="shared" si="253"/>
        <v>0</v>
      </c>
      <c r="R110" s="26">
        <f t="shared" si="253"/>
        <v>0</v>
      </c>
      <c r="S110" s="26">
        <f t="shared" si="253"/>
        <v>0</v>
      </c>
      <c r="T110" s="45" t="e">
        <f t="shared" si="244"/>
        <v>#VALUE!</v>
      </c>
      <c r="U110" s="45">
        <f t="shared" si="245"/>
        <v>0</v>
      </c>
      <c r="V110" s="45">
        <f t="shared" si="246"/>
        <v>0</v>
      </c>
      <c r="W110" s="45">
        <f t="shared" si="247"/>
        <v>0</v>
      </c>
      <c r="X110" s="45">
        <f t="shared" si="248"/>
        <v>0</v>
      </c>
      <c r="Y110" s="45">
        <f t="shared" si="249"/>
        <v>0</v>
      </c>
      <c r="Z110" s="45">
        <f t="shared" ref="Z110:AI110" si="254">Z87</f>
        <v>6</v>
      </c>
      <c r="AA110" s="45">
        <f t="shared" si="254"/>
        <v>6</v>
      </c>
      <c r="AB110" s="45">
        <f t="shared" si="254"/>
        <v>1</v>
      </c>
      <c r="AC110" s="45">
        <f t="shared" si="254"/>
        <v>0</v>
      </c>
      <c r="AD110" s="45">
        <f t="shared" si="254"/>
        <v>0</v>
      </c>
      <c r="AE110" s="45">
        <f t="shared" si="254"/>
        <v>0</v>
      </c>
      <c r="AF110" s="45">
        <f t="shared" si="254"/>
        <v>65.047566668699261</v>
      </c>
      <c r="AG110" s="45">
        <f t="shared" si="254"/>
        <v>932.3484555846893</v>
      </c>
      <c r="AH110" s="45">
        <f t="shared" si="254"/>
        <v>455.3329666808948</v>
      </c>
      <c r="AI110" s="45">
        <f t="shared" si="254"/>
        <v>0</v>
      </c>
      <c r="AJ110" s="45">
        <f>SUM(U$6:U110)+Z110+AE110</f>
        <v>6</v>
      </c>
      <c r="AK110" s="45">
        <f>SUM(V$6:V110)+AA110+AF110</f>
        <v>71.047566668699261</v>
      </c>
      <c r="AL110" s="45">
        <f>SUM(W$6:W110)+AB110+AG110</f>
        <v>933.3484555846893</v>
      </c>
      <c r="AM110" s="45">
        <f>SUM(X$6:X110)+AC110+AH110</f>
        <v>455.3329666808948</v>
      </c>
      <c r="AN110" s="45">
        <f>SUM(Y$6:Y110)+AD110+AI110</f>
        <v>0</v>
      </c>
    </row>
    <row r="111" spans="10:72" x14ac:dyDescent="0.15">
      <c r="J111" s="46">
        <v>14</v>
      </c>
      <c r="K111" s="45">
        <f>求节点(节奏总纲!$Z$4:$Z$83,节奏总纲!$AE$4:$AE$83,基础状态预估!C124)</f>
        <v>2961.6410125841235</v>
      </c>
      <c r="L111" s="45">
        <f>基础状态预估!D124</f>
        <v>134.91256595481366</v>
      </c>
      <c r="M111" s="45">
        <f>基础状态预估!E124</f>
        <v>14</v>
      </c>
      <c r="N111" s="45" t="e">
        <f>$L$1*(求节点('[1]资源-钻石'!$K$4:$K$113,'[1]资源-钻石'!$P$4:$P$113,L111))</f>
        <v>#VALUE!</v>
      </c>
      <c r="O111" s="26">
        <f t="shared" ref="O111:S111" si="255">O88</f>
        <v>0</v>
      </c>
      <c r="P111" s="26">
        <f t="shared" si="255"/>
        <v>0</v>
      </c>
      <c r="Q111" s="26">
        <f t="shared" si="255"/>
        <v>0</v>
      </c>
      <c r="R111" s="26">
        <f t="shared" si="255"/>
        <v>0</v>
      </c>
      <c r="S111" s="26">
        <f t="shared" si="255"/>
        <v>0</v>
      </c>
      <c r="T111" s="45" t="e">
        <f t="shared" si="244"/>
        <v>#VALUE!</v>
      </c>
      <c r="U111" s="45">
        <f t="shared" si="245"/>
        <v>0</v>
      </c>
      <c r="V111" s="45">
        <f t="shared" si="246"/>
        <v>0</v>
      </c>
      <c r="W111" s="45">
        <f t="shared" si="247"/>
        <v>0</v>
      </c>
      <c r="X111" s="45">
        <f t="shared" si="248"/>
        <v>0</v>
      </c>
      <c r="Y111" s="45">
        <f t="shared" si="249"/>
        <v>0</v>
      </c>
      <c r="Z111" s="45">
        <f t="shared" ref="Z111:AI111" si="256">Z88</f>
        <v>6</v>
      </c>
      <c r="AA111" s="45">
        <f t="shared" si="256"/>
        <v>6</v>
      </c>
      <c r="AB111" s="45">
        <f t="shared" si="256"/>
        <v>2</v>
      </c>
      <c r="AC111" s="45">
        <f t="shared" si="256"/>
        <v>0</v>
      </c>
      <c r="AD111" s="45">
        <f t="shared" si="256"/>
        <v>0</v>
      </c>
      <c r="AE111" s="45">
        <f t="shared" si="256"/>
        <v>0</v>
      </c>
      <c r="AF111" s="45">
        <f t="shared" si="256"/>
        <v>135.02922549775639</v>
      </c>
      <c r="AG111" s="45">
        <f t="shared" si="256"/>
        <v>1935.4188988011747</v>
      </c>
      <c r="AH111" s="45">
        <f t="shared" si="256"/>
        <v>945.20457848429464</v>
      </c>
      <c r="AI111" s="45">
        <f t="shared" si="256"/>
        <v>0</v>
      </c>
      <c r="AJ111" s="45">
        <f>SUM(U$6:U111)+Z111+AE111</f>
        <v>6</v>
      </c>
      <c r="AK111" s="45">
        <f>SUM(V$6:V111)+AA111+AF111</f>
        <v>141.02922549775639</v>
      </c>
      <c r="AL111" s="45">
        <f>SUM(W$6:W111)+AB111+AG111</f>
        <v>1937.4188988011747</v>
      </c>
      <c r="AM111" s="45">
        <f>SUM(X$6:X111)+AC111+AH111</f>
        <v>945.20457848429464</v>
      </c>
      <c r="AN111" s="45">
        <f>SUM(Y$6:Y111)+AD111+AI111</f>
        <v>0</v>
      </c>
    </row>
    <row r="112" spans="10:72" x14ac:dyDescent="0.15">
      <c r="J112" s="46">
        <v>15</v>
      </c>
      <c r="K112" s="45">
        <f>求节点(节奏总纲!$Z$4:$Z$83,节奏总纲!$AE$4:$AE$83,基础状态预估!C125)</f>
        <v>6139.6022012692774</v>
      </c>
      <c r="L112" s="45">
        <f>基础状态预估!D125</f>
        <v>145.53468456757108</v>
      </c>
      <c r="M112" s="45">
        <f>基础状态预估!E125</f>
        <v>15</v>
      </c>
      <c r="N112" s="45" t="e">
        <f>$L$1*(求节点('[1]资源-钻石'!$K$4:$K$113,'[1]资源-钻石'!$P$4:$P$113,L112))</f>
        <v>#VALUE!</v>
      </c>
      <c r="O112" s="26">
        <f t="shared" ref="O112:S112" si="257">O89</f>
        <v>0</v>
      </c>
      <c r="P112" s="26">
        <f t="shared" si="257"/>
        <v>0</v>
      </c>
      <c r="Q112" s="26">
        <f t="shared" si="257"/>
        <v>0</v>
      </c>
      <c r="R112" s="26">
        <f t="shared" si="257"/>
        <v>0</v>
      </c>
      <c r="S112" s="26">
        <f t="shared" si="257"/>
        <v>0</v>
      </c>
      <c r="T112" s="45" t="e">
        <f t="shared" si="244"/>
        <v>#VALUE!</v>
      </c>
      <c r="U112" s="45">
        <f t="shared" si="245"/>
        <v>0</v>
      </c>
      <c r="V112" s="45">
        <f t="shared" si="246"/>
        <v>0</v>
      </c>
      <c r="W112" s="45">
        <f t="shared" si="247"/>
        <v>0</v>
      </c>
      <c r="X112" s="45">
        <f t="shared" si="248"/>
        <v>0</v>
      </c>
      <c r="Y112" s="45">
        <f t="shared" si="249"/>
        <v>0</v>
      </c>
      <c r="Z112" s="45">
        <f t="shared" ref="Z112:AI112" si="258">Z89</f>
        <v>6</v>
      </c>
      <c r="AA112" s="45">
        <f t="shared" si="258"/>
        <v>6</v>
      </c>
      <c r="AB112" s="45">
        <f t="shared" si="258"/>
        <v>3</v>
      </c>
      <c r="AC112" s="45">
        <f t="shared" si="258"/>
        <v>0</v>
      </c>
      <c r="AD112" s="45">
        <f t="shared" si="258"/>
        <v>0</v>
      </c>
      <c r="AE112" s="45">
        <f t="shared" si="258"/>
        <v>0</v>
      </c>
      <c r="AF112" s="45">
        <f t="shared" si="258"/>
        <v>279.92107300619807</v>
      </c>
      <c r="AG112" s="45">
        <f t="shared" si="258"/>
        <v>4012.2020464221719</v>
      </c>
      <c r="AH112" s="45">
        <f t="shared" si="258"/>
        <v>1959.4475110433862</v>
      </c>
      <c r="AI112" s="45">
        <f t="shared" si="258"/>
        <v>0</v>
      </c>
      <c r="AJ112" s="45">
        <f>SUM(U$6:U112)+Z112+AE112</f>
        <v>6</v>
      </c>
      <c r="AK112" s="45">
        <f>SUM(V$6:V112)+AA112+AF112</f>
        <v>285.92107300619807</v>
      </c>
      <c r="AL112" s="45">
        <f>SUM(W$6:W112)+AB112+AG112</f>
        <v>4015.2020464221719</v>
      </c>
      <c r="AM112" s="45">
        <f>SUM(X$6:X112)+AC112+AH112</f>
        <v>1959.4475110433862</v>
      </c>
      <c r="AN112" s="45">
        <f>SUM(Y$6:Y112)+AD112+AI112</f>
        <v>0</v>
      </c>
    </row>
    <row r="113" spans="10:40" x14ac:dyDescent="0.15">
      <c r="J113" s="46">
        <v>16</v>
      </c>
      <c r="K113" s="45">
        <f>求节点(节奏总纲!$Z$4:$Z$83,节奏总纲!$AE$4:$AE$83,基础状态预估!C126)</f>
        <v>9502.5750000000007</v>
      </c>
      <c r="L113" s="45">
        <f>基础状态预估!D126</f>
        <v>151.0810487166913</v>
      </c>
      <c r="M113" s="45">
        <f>基础状态预估!E126</f>
        <v>16</v>
      </c>
      <c r="N113" s="45" t="e">
        <f>$L$1*(求节点('[1]资源-钻石'!$K$4:$K$113,'[1]资源-钻石'!$P$4:$P$113,L113))</f>
        <v>#VALUE!</v>
      </c>
      <c r="O113" s="26">
        <f t="shared" ref="O113:S113" si="259">O90</f>
        <v>0</v>
      </c>
      <c r="P113" s="26">
        <f t="shared" si="259"/>
        <v>0</v>
      </c>
      <c r="Q113" s="26">
        <f t="shared" si="259"/>
        <v>0</v>
      </c>
      <c r="R113" s="26">
        <f t="shared" si="259"/>
        <v>0</v>
      </c>
      <c r="S113" s="26">
        <f t="shared" si="259"/>
        <v>0</v>
      </c>
      <c r="T113" s="45" t="e">
        <f t="shared" si="244"/>
        <v>#VALUE!</v>
      </c>
      <c r="U113" s="45">
        <f t="shared" si="245"/>
        <v>0</v>
      </c>
      <c r="V113" s="45">
        <f t="shared" si="246"/>
        <v>0</v>
      </c>
      <c r="W113" s="45">
        <f t="shared" si="247"/>
        <v>0</v>
      </c>
      <c r="X113" s="45">
        <f t="shared" si="248"/>
        <v>0</v>
      </c>
      <c r="Y113" s="45">
        <f t="shared" si="249"/>
        <v>0</v>
      </c>
      <c r="Z113" s="45">
        <f t="shared" ref="Z113:AI113" si="260">Z90</f>
        <v>6</v>
      </c>
      <c r="AA113" s="45">
        <f t="shared" si="260"/>
        <v>6</v>
      </c>
      <c r="AB113" s="45">
        <f t="shared" si="260"/>
        <v>4</v>
      </c>
      <c r="AC113" s="45">
        <f t="shared" si="260"/>
        <v>0</v>
      </c>
      <c r="AD113" s="45">
        <f t="shared" si="260"/>
        <v>0</v>
      </c>
      <c r="AE113" s="45">
        <f t="shared" si="260"/>
        <v>0</v>
      </c>
      <c r="AF113" s="45">
        <f t="shared" si="260"/>
        <v>433.24810030395133</v>
      </c>
      <c r="AG113" s="45">
        <f t="shared" si="260"/>
        <v>6209.8894376899689</v>
      </c>
      <c r="AH113" s="45">
        <f t="shared" si="260"/>
        <v>3032.7367021276596</v>
      </c>
      <c r="AI113" s="45">
        <f t="shared" si="260"/>
        <v>0</v>
      </c>
      <c r="AJ113" s="45">
        <f>SUM(U$6:U113)+Z113+AE113</f>
        <v>6</v>
      </c>
      <c r="AK113" s="45">
        <f>SUM(V$6:V113)+AA113+AF113</f>
        <v>439.24810030395133</v>
      </c>
      <c r="AL113" s="45">
        <f>SUM(W$6:W113)+AB113+AG113</f>
        <v>6213.8894376899689</v>
      </c>
      <c r="AM113" s="45">
        <f>SUM(X$6:X113)+AC113+AH113</f>
        <v>3032.7367021276596</v>
      </c>
      <c r="AN113" s="45">
        <f>SUM(Y$6:Y113)+AD113+AI113</f>
        <v>0</v>
      </c>
    </row>
  </sheetData>
  <mergeCells count="43">
    <mergeCell ref="K3:N4"/>
    <mergeCell ref="K26:N27"/>
    <mergeCell ref="K49:N50"/>
    <mergeCell ref="K72:N73"/>
    <mergeCell ref="O72:Y72"/>
    <mergeCell ref="U27:Y27"/>
    <mergeCell ref="U50:Y50"/>
    <mergeCell ref="O49:Y49"/>
    <mergeCell ref="T50:T51"/>
    <mergeCell ref="Z72:AD73"/>
    <mergeCell ref="AJ72:AN73"/>
    <mergeCell ref="O73:S73"/>
    <mergeCell ref="K95:N96"/>
    <mergeCell ref="U96:Y96"/>
    <mergeCell ref="U73:Y73"/>
    <mergeCell ref="O95:Y95"/>
    <mergeCell ref="Z95:AD96"/>
    <mergeCell ref="AJ95:AN96"/>
    <mergeCell ref="O96:S96"/>
    <mergeCell ref="T73:T74"/>
    <mergeCell ref="T96:T97"/>
    <mergeCell ref="AE95:AI96"/>
    <mergeCell ref="AE72:AI73"/>
    <mergeCell ref="Z49:AD50"/>
    <mergeCell ref="AJ49:AN50"/>
    <mergeCell ref="O50:S50"/>
    <mergeCell ref="T4:T5"/>
    <mergeCell ref="AJ3:AN4"/>
    <mergeCell ref="O26:Y26"/>
    <mergeCell ref="Z26:AD27"/>
    <mergeCell ref="AJ26:AN27"/>
    <mergeCell ref="O27:S27"/>
    <mergeCell ref="O3:Y3"/>
    <mergeCell ref="U4:Y4"/>
    <mergeCell ref="O4:S4"/>
    <mergeCell ref="Z3:AD4"/>
    <mergeCell ref="T27:T28"/>
    <mergeCell ref="AT7:AX7"/>
    <mergeCell ref="AE3:AI4"/>
    <mergeCell ref="AE26:AI27"/>
    <mergeCell ref="AE49:AI50"/>
    <mergeCell ref="BH3:BL3"/>
    <mergeCell ref="AY7:BC7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节奏总纲</vt:lpstr>
      <vt:lpstr>其他调用</vt:lpstr>
      <vt:lpstr>基础信息</vt:lpstr>
      <vt:lpstr>门客升级</vt:lpstr>
      <vt:lpstr>门客进修</vt:lpstr>
      <vt:lpstr>属性汇总新</vt:lpstr>
      <vt:lpstr>基础投放</vt:lpstr>
      <vt:lpstr>寻访</vt:lpstr>
      <vt:lpstr>六艺&amp;奇遇</vt:lpstr>
      <vt:lpstr>付费投放</vt:lpstr>
      <vt:lpstr>门客经验</vt:lpstr>
      <vt:lpstr>门客产销</vt:lpstr>
      <vt:lpstr>门客效用&amp;特技行动力</vt:lpstr>
      <vt:lpstr>门客实力</vt:lpstr>
      <vt:lpstr>基础状态预估</vt:lpstr>
      <vt:lpstr>门客属性</vt:lpstr>
      <vt:lpstr>门客等级</vt:lpstr>
      <vt:lpstr>属性汇总</vt:lpstr>
      <vt:lpstr>门客获得情况预估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2023-02-21T03:36:08Z</dcterms:modified>
</cp:coreProperties>
</file>